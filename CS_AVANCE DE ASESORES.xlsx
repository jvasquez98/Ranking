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queryTables/queryTable1.xml" ContentType="application/vnd.openxmlformats-officedocument.spreadsheetml.query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26D3FF50-6715-4897-A35C-3BECD2837B56}" xr6:coauthVersionLast="47" xr6:coauthVersionMax="47" xr10:uidLastSave="{00000000-0000-0000-0000-000000000000}"/>
  <bookViews>
    <workbookView xWindow="-120" yWindow="-120" windowWidth="20730" windowHeight="11040" firstSheet="9" activeTab="12" xr2:uid="{FB309F9D-9D94-4EEA-B5AF-3266FE344876}"/>
  </bookViews>
  <sheets>
    <sheet name="ENERO_2025" sheetId="16" r:id="rId1"/>
    <sheet name="FEBRERO_2025" sheetId="12" r:id="rId2"/>
    <sheet name="MARZO_2025" sheetId="13" r:id="rId3"/>
    <sheet name="ABRIL_2025" sheetId="15" r:id="rId4"/>
    <sheet name="MAYO_2025" sheetId="14" r:id="rId5"/>
    <sheet name="JUNIO_2025" sheetId="11" r:id="rId6"/>
    <sheet name="JULIO_2025" sheetId="3" r:id="rId7"/>
    <sheet name="AGOSTO_2025" sheetId="10" r:id="rId8"/>
    <sheet name="ING" sheetId="8" state="hidden" r:id="rId9"/>
    <sheet name="OCTUBRE_2025" sheetId="18" r:id="rId10"/>
    <sheet name="NOVIEMBRE_2025" sheetId="21" r:id="rId11"/>
    <sheet name="DICIEMBRE_2025" sheetId="23" r:id="rId12"/>
    <sheet name="ENERO_2026" sheetId="17" r:id="rId13"/>
    <sheet name="INF" sheetId="28" r:id="rId14"/>
    <sheet name="DIM" sheetId="20" r:id="rId15"/>
    <sheet name="METAS" sheetId="22" r:id="rId16"/>
    <sheet name="CAPA" sheetId="29" r:id="rId17"/>
  </sheets>
  <definedNames>
    <definedName name="_xlnm._FilterDatabase" localSheetId="6" hidden="1">JULIO_2025!#REF!</definedName>
    <definedName name="DatosExternos_1" localSheetId="13" hidden="1">INF!$A$1:$E$105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13" i="17" l="1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F2" i="28"/>
  <c r="F3" i="28"/>
  <c r="F4" i="28"/>
  <c r="F5" i="28"/>
  <c r="F6" i="28"/>
  <c r="F7" i="28"/>
  <c r="F8" i="28"/>
  <c r="F9" i="28"/>
  <c r="F10" i="28"/>
  <c r="F11" i="28"/>
  <c r="F12" i="28"/>
  <c r="F13" i="28"/>
  <c r="F14" i="28"/>
  <c r="F15" i="28"/>
  <c r="F16" i="28"/>
  <c r="F17" i="28"/>
  <c r="F18" i="28"/>
  <c r="F19" i="28"/>
  <c r="F20" i="28"/>
  <c r="F21" i="28"/>
  <c r="F22" i="28"/>
  <c r="F23" i="28"/>
  <c r="F24" i="28"/>
  <c r="F25" i="28"/>
  <c r="F26" i="28"/>
  <c r="F27" i="28"/>
  <c r="F28" i="28"/>
  <c r="F29" i="28"/>
  <c r="F30" i="28"/>
  <c r="F31" i="28"/>
  <c r="F32" i="28"/>
  <c r="F33" i="28"/>
  <c r="F34" i="28"/>
  <c r="F35" i="28"/>
  <c r="F36" i="28"/>
  <c r="F37" i="28"/>
  <c r="F38" i="28"/>
  <c r="F39" i="28"/>
  <c r="F40" i="28"/>
  <c r="F41" i="28"/>
  <c r="F42" i="28"/>
  <c r="F43" i="28"/>
  <c r="F44" i="28"/>
  <c r="F45" i="28"/>
  <c r="F46" i="28"/>
  <c r="F47" i="28"/>
  <c r="F48" i="28"/>
  <c r="F49" i="28"/>
  <c r="F50" i="28"/>
  <c r="F51" i="28"/>
  <c r="F52" i="28"/>
  <c r="F53" i="28"/>
  <c r="F54" i="28"/>
  <c r="F55" i="28"/>
  <c r="F56" i="28"/>
  <c r="F57" i="28"/>
  <c r="F58" i="28"/>
  <c r="F59" i="28"/>
  <c r="F60" i="28"/>
  <c r="F61" i="28"/>
  <c r="F62" i="28"/>
  <c r="F63" i="28"/>
  <c r="F64" i="28"/>
  <c r="F65" i="28"/>
  <c r="F66" i="28"/>
  <c r="F67" i="28"/>
  <c r="F68" i="28"/>
  <c r="F69" i="28"/>
  <c r="F70" i="28"/>
  <c r="F71" i="28"/>
  <c r="F72" i="28"/>
  <c r="F73" i="28"/>
  <c r="F74" i="28"/>
  <c r="F75" i="28"/>
  <c r="F76" i="28"/>
  <c r="F77" i="28"/>
  <c r="F78" i="28"/>
  <c r="F79" i="28"/>
  <c r="F80" i="28"/>
  <c r="F81" i="28"/>
  <c r="F82" i="28"/>
  <c r="F83" i="28"/>
  <c r="F84" i="28"/>
  <c r="F85" i="28"/>
  <c r="F86" i="28"/>
  <c r="F87" i="28"/>
  <c r="F88" i="28"/>
  <c r="F89" i="28"/>
  <c r="F90" i="28"/>
  <c r="F91" i="28"/>
  <c r="F92" i="28"/>
  <c r="F93" i="28"/>
  <c r="F94" i="28"/>
  <c r="F95" i="28"/>
  <c r="F96" i="28"/>
  <c r="F97" i="28"/>
  <c r="F98" i="28"/>
  <c r="F99" i="28"/>
  <c r="F100" i="28"/>
  <c r="F101" i="28"/>
  <c r="F102" i="28"/>
  <c r="F103" i="28"/>
  <c r="F104" i="28"/>
  <c r="F105" i="28"/>
  <c r="G2" i="28"/>
  <c r="G3" i="28"/>
  <c r="G4" i="28"/>
  <c r="G5" i="28"/>
  <c r="G6" i="28"/>
  <c r="G7" i="28"/>
  <c r="G8" i="28"/>
  <c r="G9" i="28"/>
  <c r="G10" i="28"/>
  <c r="G11" i="28"/>
  <c r="G12" i="28"/>
  <c r="G13" i="28"/>
  <c r="G14" i="28"/>
  <c r="G15" i="28"/>
  <c r="G16" i="28"/>
  <c r="G17" i="28"/>
  <c r="G18" i="28"/>
  <c r="G19" i="28"/>
  <c r="G20" i="28"/>
  <c r="G21" i="28"/>
  <c r="G22" i="28"/>
  <c r="G23" i="28"/>
  <c r="G24" i="28"/>
  <c r="G25" i="28"/>
  <c r="G26" i="28"/>
  <c r="G27" i="28"/>
  <c r="G28" i="28"/>
  <c r="G29" i="28"/>
  <c r="G30" i="28"/>
  <c r="G31" i="28"/>
  <c r="G32" i="28"/>
  <c r="G33" i="28"/>
  <c r="G34" i="28"/>
  <c r="G35" i="28"/>
  <c r="G36" i="28"/>
  <c r="G37" i="28"/>
  <c r="G38" i="28"/>
  <c r="G39" i="28"/>
  <c r="G40" i="28"/>
  <c r="G41" i="28"/>
  <c r="G42" i="28"/>
  <c r="G43" i="28"/>
  <c r="G44" i="28"/>
  <c r="G45" i="28"/>
  <c r="G46" i="28"/>
  <c r="G47" i="28"/>
  <c r="G48" i="28"/>
  <c r="G49" i="28"/>
  <c r="G50" i="28"/>
  <c r="G51" i="28"/>
  <c r="G52" i="28"/>
  <c r="G53" i="28"/>
  <c r="G54" i="28"/>
  <c r="G55" i="28"/>
  <c r="G56" i="28"/>
  <c r="G57" i="28"/>
  <c r="G58" i="28"/>
  <c r="G59" i="28"/>
  <c r="G60" i="28"/>
  <c r="G61" i="28"/>
  <c r="G62" i="28"/>
  <c r="G63" i="28"/>
  <c r="G64" i="28"/>
  <c r="G65" i="28"/>
  <c r="G66" i="28"/>
  <c r="G67" i="28"/>
  <c r="G68" i="28"/>
  <c r="G69" i="28"/>
  <c r="G70" i="28"/>
  <c r="G71" i="28"/>
  <c r="G72" i="28"/>
  <c r="G73" i="28"/>
  <c r="G74" i="28"/>
  <c r="G75" i="28"/>
  <c r="G76" i="28"/>
  <c r="G77" i="28"/>
  <c r="G78" i="28"/>
  <c r="G79" i="28"/>
  <c r="G80" i="28"/>
  <c r="G81" i="28"/>
  <c r="G82" i="28"/>
  <c r="G83" i="28"/>
  <c r="G84" i="28"/>
  <c r="G85" i="28"/>
  <c r="G86" i="28"/>
  <c r="G87" i="28"/>
  <c r="G88" i="28"/>
  <c r="G89" i="28"/>
  <c r="G90" i="28"/>
  <c r="G91" i="28"/>
  <c r="G92" i="28"/>
  <c r="G93" i="28"/>
  <c r="G94" i="28"/>
  <c r="G95" i="28"/>
  <c r="G96" i="28"/>
  <c r="G97" i="28"/>
  <c r="G98" i="28"/>
  <c r="G99" i="28"/>
  <c r="G100" i="28"/>
  <c r="G101" i="28"/>
  <c r="G102" i="28"/>
  <c r="G103" i="28"/>
  <c r="G104" i="28"/>
  <c r="G105" i="28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A75" i="16"/>
  <c r="C75" i="16" s="1"/>
  <c r="D75" i="16" s="1"/>
  <c r="A76" i="16"/>
  <c r="A3" i="16"/>
  <c r="P15" i="16"/>
  <c r="M15" i="16" s="1"/>
  <c r="N15" i="16" s="1" a="1"/>
  <c r="N15" i="16" s="1"/>
  <c r="P16" i="16"/>
  <c r="M16" i="16" s="1"/>
  <c r="N16" i="16" s="1" a="1"/>
  <c r="N16" i="16" s="1"/>
  <c r="P17" i="16"/>
  <c r="M17" i="16" s="1"/>
  <c r="N17" i="16" s="1" a="1"/>
  <c r="N17" i="16" s="1"/>
  <c r="P18" i="16"/>
  <c r="M18" i="16" s="1"/>
  <c r="N18" i="16" s="1" a="1"/>
  <c r="N18" i="16" s="1"/>
  <c r="P19" i="16"/>
  <c r="M19" i="16" s="1"/>
  <c r="N19" i="16" s="1" a="1"/>
  <c r="N19" i="16" s="1"/>
  <c r="P20" i="16"/>
  <c r="M20" i="16" s="1"/>
  <c r="N20" i="16" s="1" a="1"/>
  <c r="N20" i="16" s="1"/>
  <c r="P25" i="16"/>
  <c r="M25" i="16" s="1"/>
  <c r="N25" i="16" s="1" a="1"/>
  <c r="N25" i="16" s="1"/>
  <c r="P26" i="16"/>
  <c r="M26" i="16" s="1"/>
  <c r="N26" i="16" s="1" a="1"/>
  <c r="N26" i="16" s="1"/>
  <c r="P27" i="16"/>
  <c r="M27" i="16" s="1"/>
  <c r="N27" i="16" s="1" a="1"/>
  <c r="N27" i="16" s="1"/>
  <c r="P28" i="16"/>
  <c r="M28" i="16" s="1"/>
  <c r="N28" i="16" s="1" a="1"/>
  <c r="N28" i="16" s="1"/>
  <c r="P29" i="16"/>
  <c r="M29" i="16" s="1"/>
  <c r="N29" i="16" s="1" a="1"/>
  <c r="N29" i="16" s="1"/>
  <c r="P30" i="16"/>
  <c r="M30" i="16" s="1"/>
  <c r="N30" i="16" s="1" a="1"/>
  <c r="N30" i="16" s="1"/>
  <c r="P31" i="16"/>
  <c r="M31" i="16" s="1"/>
  <c r="N31" i="16" s="1" a="1"/>
  <c r="N31" i="16" s="1"/>
  <c r="P32" i="16"/>
  <c r="M32" i="16" s="1"/>
  <c r="N32" i="16" s="1" a="1"/>
  <c r="N32" i="16" s="1"/>
  <c r="P35" i="16"/>
  <c r="M35" i="16" s="1"/>
  <c r="N35" i="16" s="1" a="1"/>
  <c r="N35" i="16" s="1"/>
  <c r="P40" i="16"/>
  <c r="M40" i="16" s="1"/>
  <c r="N40" i="16" s="1" a="1"/>
  <c r="N40" i="16" s="1"/>
  <c r="P41" i="16"/>
  <c r="M41" i="16" s="1"/>
  <c r="N41" i="16" s="1" a="1"/>
  <c r="N41" i="16" s="1"/>
  <c r="P42" i="16"/>
  <c r="M42" i="16" s="1"/>
  <c r="N42" i="16" s="1" a="1"/>
  <c r="N42" i="16" s="1"/>
  <c r="P43" i="16"/>
  <c r="M43" i="16" s="1"/>
  <c r="N43" i="16" s="1" a="1"/>
  <c r="N43" i="16" s="1"/>
  <c r="P44" i="16"/>
  <c r="M44" i="16" s="1"/>
  <c r="N44" i="16" s="1" a="1"/>
  <c r="N44" i="16" s="1"/>
  <c r="P47" i="16"/>
  <c r="M47" i="16" s="1"/>
  <c r="N47" i="16" s="1" a="1"/>
  <c r="N47" i="16" s="1"/>
  <c r="P65" i="16"/>
  <c r="M65" i="16" s="1"/>
  <c r="N65" i="16" s="1" a="1"/>
  <c r="N65" i="16" s="1"/>
  <c r="P66" i="16"/>
  <c r="M66" i="16" s="1"/>
  <c r="N66" i="16" s="1" a="1"/>
  <c r="N66" i="16" s="1"/>
  <c r="P67" i="16"/>
  <c r="M67" i="16" s="1"/>
  <c r="N67" i="16" s="1" a="1"/>
  <c r="N67" i="16" s="1"/>
  <c r="P68" i="16"/>
  <c r="M68" i="16" s="1"/>
  <c r="N68" i="16" s="1" a="1"/>
  <c r="N68" i="16" s="1"/>
  <c r="P70" i="16"/>
  <c r="M70" i="16" s="1"/>
  <c r="N70" i="16" s="1" a="1"/>
  <c r="N70" i="16" s="1"/>
  <c r="P71" i="16"/>
  <c r="M71" i="16" s="1"/>
  <c r="N71" i="16" s="1" a="1"/>
  <c r="N71" i="16" s="1"/>
  <c r="P74" i="16"/>
  <c r="M74" i="16" s="1"/>
  <c r="N74" i="16" s="1" a="1"/>
  <c r="N74" i="16" s="1"/>
  <c r="P75" i="16"/>
  <c r="M75" i="16" s="1"/>
  <c r="N75" i="16" s="1" a="1"/>
  <c r="N75" i="16" s="1"/>
  <c r="P76" i="16"/>
  <c r="M76" i="16" s="1"/>
  <c r="N76" i="16" s="1" a="1"/>
  <c r="N76" i="16" s="1"/>
  <c r="P77" i="16"/>
  <c r="M77" i="16" s="1"/>
  <c r="N77" i="16" s="1" a="1"/>
  <c r="N77" i="16" s="1"/>
  <c r="P78" i="16"/>
  <c r="M78" i="16" s="1"/>
  <c r="N78" i="16" s="1" a="1"/>
  <c r="N78" i="16" s="1"/>
  <c r="P79" i="16"/>
  <c r="M79" i="16" s="1"/>
  <c r="N79" i="16" s="1" a="1"/>
  <c r="N79" i="16" s="1"/>
  <c r="P80" i="16"/>
  <c r="M80" i="16" s="1"/>
  <c r="N80" i="16" s="1" a="1"/>
  <c r="N80" i="16" s="1"/>
  <c r="P14" i="16"/>
  <c r="M14" i="16" s="1"/>
  <c r="N14" i="16" s="1" a="1"/>
  <c r="N14" i="16" s="1"/>
  <c r="P22" i="16"/>
  <c r="M22" i="16" s="1"/>
  <c r="N22" i="16" s="1" a="1"/>
  <c r="N22" i="16" s="1"/>
  <c r="P23" i="16"/>
  <c r="M23" i="16" s="1"/>
  <c r="N23" i="16" s="1" a="1"/>
  <c r="N23" i="16" s="1"/>
  <c r="P24" i="16"/>
  <c r="M24" i="16" s="1"/>
  <c r="N24" i="16" s="1" a="1"/>
  <c r="N24" i="16" s="1"/>
  <c r="P36" i="16"/>
  <c r="M36" i="16" s="1"/>
  <c r="N36" i="16" s="1" a="1"/>
  <c r="N36" i="16" s="1"/>
  <c r="P37" i="16"/>
  <c r="M37" i="16" s="1"/>
  <c r="N37" i="16" s="1" a="1"/>
  <c r="N37" i="16" s="1"/>
  <c r="P38" i="16"/>
  <c r="M38" i="16" s="1"/>
  <c r="N38" i="16" s="1" a="1"/>
  <c r="N38" i="16" s="1"/>
  <c r="P39" i="16"/>
  <c r="M39" i="16" s="1"/>
  <c r="N39" i="16" s="1" a="1"/>
  <c r="N39" i="16" s="1"/>
  <c r="P49" i="16"/>
  <c r="M49" i="16" s="1"/>
  <c r="N49" i="16" s="1" a="1"/>
  <c r="N49" i="16" s="1"/>
  <c r="P50" i="16"/>
  <c r="M50" i="16" s="1"/>
  <c r="N50" i="16" s="1" a="1"/>
  <c r="N50" i="16" s="1"/>
  <c r="P51" i="16"/>
  <c r="M51" i="16" s="1"/>
  <c r="N51" i="16" s="1" a="1"/>
  <c r="N51" i="16" s="1"/>
  <c r="P52" i="16"/>
  <c r="M52" i="16" s="1"/>
  <c r="N52" i="16" s="1" a="1"/>
  <c r="N52" i="16" s="1"/>
  <c r="P53" i="16"/>
  <c r="M53" i="16" s="1"/>
  <c r="N53" i="16" s="1" a="1"/>
  <c r="N53" i="16" s="1"/>
  <c r="P55" i="16"/>
  <c r="M55" i="16" s="1"/>
  <c r="N55" i="16" s="1" a="1"/>
  <c r="N55" i="16" s="1"/>
  <c r="P56" i="16"/>
  <c r="M56" i="16" s="1"/>
  <c r="N56" i="16" s="1" a="1"/>
  <c r="N56" i="16" s="1"/>
  <c r="P57" i="16"/>
  <c r="M57" i="16" s="1"/>
  <c r="N57" i="16" s="1" a="1"/>
  <c r="N57" i="16" s="1"/>
  <c r="P58" i="16"/>
  <c r="M58" i="16" s="1"/>
  <c r="N58" i="16" s="1" a="1"/>
  <c r="N58" i="16" s="1"/>
  <c r="P59" i="16"/>
  <c r="M59" i="16" s="1"/>
  <c r="N59" i="16" s="1" a="1"/>
  <c r="N59" i="16" s="1"/>
  <c r="P60" i="16"/>
  <c r="M60" i="16" s="1"/>
  <c r="N60" i="16" s="1" a="1"/>
  <c r="N60" i="16" s="1"/>
  <c r="P61" i="16"/>
  <c r="M61" i="16" s="1"/>
  <c r="N61" i="16" s="1" a="1"/>
  <c r="N61" i="16" s="1"/>
  <c r="P62" i="16"/>
  <c r="M62" i="16" s="1"/>
  <c r="N62" i="16" s="1" a="1"/>
  <c r="N62" i="16" s="1"/>
  <c r="P63" i="16"/>
  <c r="M63" i="16" s="1"/>
  <c r="N63" i="16" s="1" a="1"/>
  <c r="N63" i="16" s="1"/>
  <c r="P69" i="16"/>
  <c r="M69" i="16" s="1"/>
  <c r="N69" i="16" s="1" a="1"/>
  <c r="N69" i="16" s="1"/>
  <c r="P81" i="16"/>
  <c r="M81" i="16" s="1"/>
  <c r="N81" i="16" s="1" a="1"/>
  <c r="N81" i="16" s="1"/>
  <c r="P82" i="16"/>
  <c r="P64" i="16"/>
  <c r="P54" i="16"/>
  <c r="M54" i="16" s="1"/>
  <c r="N54" i="16" s="1" a="1"/>
  <c r="N54" i="16" s="1"/>
  <c r="C76" i="16"/>
  <c r="D76" i="16" s="1"/>
  <c r="C74" i="16"/>
  <c r="P9" i="16"/>
  <c r="P10" i="16"/>
  <c r="M10" i="16" s="1"/>
  <c r="N10" i="16" s="1" a="1"/>
  <c r="N10" i="16" s="1"/>
  <c r="P12" i="16"/>
  <c r="M12" i="16" s="1"/>
  <c r="N12" i="16" s="1" a="1"/>
  <c r="N12" i="16" s="1"/>
  <c r="P13" i="16"/>
  <c r="M13" i="16" s="1"/>
  <c r="N13" i="16" s="1" a="1"/>
  <c r="N13" i="16" s="1"/>
  <c r="P21" i="16"/>
  <c r="M21" i="16" s="1"/>
  <c r="N21" i="16" s="1" a="1"/>
  <c r="N21" i="16" s="1"/>
  <c r="P33" i="16"/>
  <c r="M33" i="16" s="1"/>
  <c r="N33" i="16" s="1" a="1"/>
  <c r="N33" i="16" s="1"/>
  <c r="P34" i="16"/>
  <c r="M34" i="16" s="1"/>
  <c r="N34" i="16" s="1" a="1"/>
  <c r="N34" i="16" s="1"/>
  <c r="P45" i="16"/>
  <c r="M45" i="16" s="1"/>
  <c r="N45" i="16" s="1" a="1"/>
  <c r="N45" i="16" s="1"/>
  <c r="P46" i="16"/>
  <c r="M46" i="16" s="1"/>
  <c r="N46" i="16" s="1" a="1"/>
  <c r="N46" i="16" s="1"/>
  <c r="P48" i="16"/>
  <c r="M48" i="16" s="1"/>
  <c r="N48" i="16" s="1" a="1"/>
  <c r="N48" i="16" s="1"/>
  <c r="P73" i="16"/>
  <c r="M73" i="16" s="1"/>
  <c r="N73" i="16" s="1" a="1"/>
  <c r="N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N11" i="16" s="1"/>
  <c r="D7" i="12"/>
  <c r="D8" i="12"/>
  <c r="D9" i="12"/>
  <c r="D10" i="12"/>
  <c r="D11" i="12"/>
  <c r="D12" i="12"/>
  <c r="D13" i="12"/>
  <c r="D14" i="12"/>
  <c r="D19" i="12"/>
  <c r="D20" i="12"/>
  <c r="D21" i="12"/>
  <c r="D22" i="12"/>
  <c r="D23" i="12"/>
  <c r="D24" i="12"/>
  <c r="D25" i="12"/>
  <c r="D26" i="12"/>
  <c r="D31" i="12"/>
  <c r="D32" i="12"/>
  <c r="D33" i="12"/>
  <c r="D34" i="12"/>
  <c r="D35" i="12"/>
  <c r="D36" i="12"/>
  <c r="D37" i="12"/>
  <c r="D38" i="12"/>
  <c r="D43" i="12"/>
  <c r="D44" i="12"/>
  <c r="D45" i="12"/>
  <c r="D46" i="12"/>
  <c r="D47" i="12"/>
  <c r="D48" i="12"/>
  <c r="D49" i="12"/>
  <c r="D50" i="12"/>
  <c r="D55" i="12"/>
  <c r="D56" i="12"/>
  <c r="D57" i="12"/>
  <c r="D58" i="12"/>
  <c r="D59" i="12"/>
  <c r="D60" i="12"/>
  <c r="D61" i="12"/>
  <c r="D62" i="12"/>
  <c r="D67" i="12"/>
  <c r="D68" i="12"/>
  <c r="D69" i="12"/>
  <c r="D70" i="12"/>
  <c r="D71" i="12"/>
  <c r="D72" i="12"/>
  <c r="D4" i="12"/>
  <c r="D5" i="12"/>
  <c r="D6" i="12"/>
  <c r="D15" i="12"/>
  <c r="D16" i="12"/>
  <c r="D17" i="12"/>
  <c r="D18" i="12"/>
  <c r="D27" i="12"/>
  <c r="D28" i="12"/>
  <c r="D29" i="12"/>
  <c r="D30" i="12"/>
  <c r="D39" i="12"/>
  <c r="D40" i="12"/>
  <c r="D41" i="12"/>
  <c r="D42" i="12"/>
  <c r="D51" i="12"/>
  <c r="D52" i="12"/>
  <c r="D53" i="12"/>
  <c r="D54" i="12"/>
  <c r="D63" i="12"/>
  <c r="D64" i="12"/>
  <c r="D65" i="12"/>
  <c r="D66" i="12"/>
  <c r="D3" i="12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N10" i="12" s="1"/>
  <c r="P11" i="12"/>
  <c r="M11" i="12" s="1"/>
  <c r="N11" i="12" s="1" a="1"/>
  <c r="N11" i="12" s="1"/>
  <c r="P12" i="12"/>
  <c r="M12" i="12" s="1"/>
  <c r="N12" i="12" s="1" a="1"/>
  <c r="N12" i="12" s="1"/>
  <c r="P13" i="12"/>
  <c r="M13" i="12" s="1"/>
  <c r="N13" i="12" s="1" a="1"/>
  <c r="N13" i="12" s="1"/>
  <c r="P14" i="12"/>
  <c r="M14" i="12" s="1"/>
  <c r="N14" i="12" s="1" a="1"/>
  <c r="N14" i="12" s="1"/>
  <c r="P15" i="12"/>
  <c r="M15" i="12" s="1"/>
  <c r="N15" i="12" s="1" a="1"/>
  <c r="N15" i="12" s="1"/>
  <c r="P16" i="12"/>
  <c r="M16" i="12" s="1"/>
  <c r="N16" i="12" s="1" a="1"/>
  <c r="N16" i="12" s="1"/>
  <c r="P17" i="12"/>
  <c r="M17" i="12" s="1"/>
  <c r="N17" i="12" s="1" a="1"/>
  <c r="N17" i="12" s="1"/>
  <c r="P18" i="12"/>
  <c r="M18" i="12" s="1"/>
  <c r="N18" i="12" s="1" a="1"/>
  <c r="N18" i="12" s="1"/>
  <c r="P19" i="12"/>
  <c r="M19" i="12" s="1"/>
  <c r="N19" i="12" s="1" a="1"/>
  <c r="N19" i="12" s="1"/>
  <c r="P20" i="12"/>
  <c r="M20" i="12" s="1"/>
  <c r="N20" i="12" s="1" a="1"/>
  <c r="N20" i="12" s="1"/>
  <c r="P21" i="12"/>
  <c r="M21" i="12" s="1"/>
  <c r="N21" i="12" s="1" a="1"/>
  <c r="N21" i="12" s="1"/>
  <c r="P22" i="12"/>
  <c r="M22" i="12" s="1"/>
  <c r="N22" i="12" s="1" a="1"/>
  <c r="N22" i="12" s="1"/>
  <c r="P23" i="12"/>
  <c r="M23" i="12" s="1"/>
  <c r="N23" i="12" s="1" a="1"/>
  <c r="N23" i="12" s="1"/>
  <c r="P24" i="12"/>
  <c r="M24" i="12" s="1"/>
  <c r="N24" i="12" s="1" a="1"/>
  <c r="N24" i="12" s="1"/>
  <c r="P25" i="12"/>
  <c r="M25" i="12" s="1"/>
  <c r="N25" i="12" s="1" a="1"/>
  <c r="N25" i="12" s="1"/>
  <c r="P26" i="12"/>
  <c r="M26" i="12" s="1"/>
  <c r="N26" i="12" s="1" a="1"/>
  <c r="N26" i="12" s="1"/>
  <c r="P27" i="12"/>
  <c r="M27" i="12" s="1"/>
  <c r="N27" i="12" s="1" a="1"/>
  <c r="N27" i="12" s="1"/>
  <c r="P28" i="12"/>
  <c r="M28" i="12" s="1"/>
  <c r="N28" i="12" s="1" a="1"/>
  <c r="N28" i="12" s="1"/>
  <c r="P29" i="12"/>
  <c r="M29" i="12" s="1"/>
  <c r="N29" i="12" s="1" a="1"/>
  <c r="N29" i="12" s="1"/>
  <c r="P30" i="12"/>
  <c r="M30" i="12" s="1"/>
  <c r="N30" i="12" s="1" a="1"/>
  <c r="N30" i="12" s="1"/>
  <c r="P31" i="12"/>
  <c r="M31" i="12" s="1"/>
  <c r="N31" i="12" s="1" a="1"/>
  <c r="N31" i="12" s="1"/>
  <c r="P32" i="12"/>
  <c r="M32" i="12" s="1"/>
  <c r="N32" i="12" s="1" a="1"/>
  <c r="N32" i="12" s="1"/>
  <c r="P33" i="12"/>
  <c r="M33" i="12" s="1"/>
  <c r="N33" i="12" s="1" a="1"/>
  <c r="N33" i="12" s="1"/>
  <c r="P34" i="12"/>
  <c r="M34" i="12" s="1"/>
  <c r="N34" i="12" s="1" a="1"/>
  <c r="N34" i="12" s="1"/>
  <c r="P35" i="12"/>
  <c r="M35" i="12" s="1"/>
  <c r="N35" i="12" s="1" a="1"/>
  <c r="N35" i="12" s="1"/>
  <c r="P36" i="12"/>
  <c r="M36" i="12" s="1"/>
  <c r="N36" i="12" s="1" a="1"/>
  <c r="N36" i="12" s="1"/>
  <c r="P37" i="12"/>
  <c r="M37" i="12" s="1"/>
  <c r="N37" i="12" s="1" a="1"/>
  <c r="N37" i="12" s="1"/>
  <c r="P38" i="12"/>
  <c r="M38" i="12" s="1"/>
  <c r="N38" i="12" s="1" a="1"/>
  <c r="N38" i="12" s="1"/>
  <c r="P39" i="12"/>
  <c r="M39" i="12" s="1"/>
  <c r="N39" i="12" s="1" a="1"/>
  <c r="N39" i="12" s="1"/>
  <c r="P40" i="12"/>
  <c r="M40" i="12" s="1"/>
  <c r="N40" i="12" s="1" a="1"/>
  <c r="N40" i="12" s="1"/>
  <c r="P41" i="12"/>
  <c r="M41" i="12" s="1"/>
  <c r="N41" i="12" s="1" a="1"/>
  <c r="N41" i="12" s="1"/>
  <c r="P42" i="12"/>
  <c r="M42" i="12" s="1"/>
  <c r="N42" i="12" s="1" a="1"/>
  <c r="N42" i="12" s="1"/>
  <c r="P43" i="12"/>
  <c r="M43" i="12" s="1"/>
  <c r="N43" i="12" s="1" a="1"/>
  <c r="N43" i="12" s="1"/>
  <c r="P44" i="12"/>
  <c r="M44" i="12" s="1"/>
  <c r="N44" i="12" s="1" a="1"/>
  <c r="N44" i="12" s="1"/>
  <c r="P45" i="12"/>
  <c r="M45" i="12" s="1"/>
  <c r="N45" i="12" s="1" a="1"/>
  <c r="N45" i="12" s="1"/>
  <c r="P46" i="12"/>
  <c r="M46" i="12" s="1"/>
  <c r="N46" i="12" s="1" a="1"/>
  <c r="N46" i="12" s="1"/>
  <c r="P47" i="12"/>
  <c r="M47" i="12" s="1"/>
  <c r="N47" i="12" s="1" a="1"/>
  <c r="N47" i="12" s="1"/>
  <c r="P48" i="12"/>
  <c r="M48" i="12" s="1"/>
  <c r="N48" i="12" s="1" a="1"/>
  <c r="N48" i="12" s="1"/>
  <c r="P49" i="12"/>
  <c r="M49" i="12" s="1"/>
  <c r="N49" i="12" s="1" a="1"/>
  <c r="N49" i="12" s="1"/>
  <c r="P50" i="12"/>
  <c r="M50" i="12" s="1"/>
  <c r="N50" i="12" s="1" a="1"/>
  <c r="N50" i="12" s="1"/>
  <c r="P51" i="12"/>
  <c r="M51" i="12" s="1"/>
  <c r="N51" i="12" s="1" a="1"/>
  <c r="N51" i="12" s="1"/>
  <c r="P52" i="12"/>
  <c r="M52" i="12" s="1"/>
  <c r="N52" i="12" s="1" a="1"/>
  <c r="N52" i="12" s="1"/>
  <c r="P53" i="12"/>
  <c r="M53" i="12" s="1"/>
  <c r="N53" i="12" s="1" a="1"/>
  <c r="N53" i="12" s="1"/>
  <c r="P54" i="12"/>
  <c r="M54" i="12" s="1"/>
  <c r="N54" i="12" s="1" a="1"/>
  <c r="N54" i="12" s="1"/>
  <c r="P55" i="12"/>
  <c r="M55" i="12" s="1"/>
  <c r="N55" i="12" s="1" a="1"/>
  <c r="N55" i="12" s="1"/>
  <c r="P56" i="12"/>
  <c r="M56" i="12" s="1"/>
  <c r="N56" i="12" s="1" a="1"/>
  <c r="N56" i="12" s="1"/>
  <c r="P57" i="12"/>
  <c r="M57" i="12" s="1"/>
  <c r="N57" i="12" s="1" a="1"/>
  <c r="N57" i="12" s="1"/>
  <c r="P58" i="12"/>
  <c r="M58" i="12" s="1"/>
  <c r="N58" i="12" s="1" a="1"/>
  <c r="N58" i="12" s="1"/>
  <c r="P59" i="12"/>
  <c r="M59" i="12" s="1"/>
  <c r="N59" i="12" s="1" a="1"/>
  <c r="N59" i="12" s="1"/>
  <c r="P60" i="12"/>
  <c r="M60" i="12" s="1"/>
  <c r="N60" i="12" s="1" a="1"/>
  <c r="N60" i="12" s="1"/>
  <c r="P61" i="12"/>
  <c r="M61" i="12" s="1"/>
  <c r="N61" i="12" s="1" a="1"/>
  <c r="N61" i="12" s="1"/>
  <c r="P62" i="12"/>
  <c r="M62" i="12" s="1"/>
  <c r="N62" i="12" s="1" a="1"/>
  <c r="N62" i="12" s="1"/>
  <c r="P63" i="12"/>
  <c r="M63" i="12" s="1"/>
  <c r="N63" i="12" s="1" a="1"/>
  <c r="N63" i="12" s="1"/>
  <c r="P64" i="12"/>
  <c r="M64" i="12" s="1"/>
  <c r="N64" i="12" s="1" a="1"/>
  <c r="N64" i="12" s="1"/>
  <c r="P65" i="12"/>
  <c r="M65" i="12" s="1"/>
  <c r="N65" i="12" s="1" a="1"/>
  <c r="N65" i="12" s="1"/>
  <c r="P66" i="12"/>
  <c r="M66" i="12" s="1"/>
  <c r="N66" i="12" s="1" a="1"/>
  <c r="N66" i="12" s="1"/>
  <c r="P67" i="12"/>
  <c r="M67" i="12" s="1"/>
  <c r="N67" i="12" s="1" a="1"/>
  <c r="N67" i="12" s="1"/>
  <c r="P68" i="12"/>
  <c r="M68" i="12" s="1"/>
  <c r="N68" i="12" s="1" a="1"/>
  <c r="N68" i="12" s="1"/>
  <c r="P69" i="12"/>
  <c r="M69" i="12" s="1"/>
  <c r="N69" i="12" s="1" a="1"/>
  <c r="N69" i="12" s="1"/>
  <c r="P70" i="12"/>
  <c r="M70" i="12" s="1"/>
  <c r="N70" i="12" s="1" a="1"/>
  <c r="N70" i="12" s="1"/>
  <c r="P71" i="12"/>
  <c r="M71" i="12" s="1"/>
  <c r="N71" i="12" s="1" a="1"/>
  <c r="N71" i="12" s="1"/>
  <c r="P72" i="12"/>
  <c r="M72" i="12" s="1"/>
  <c r="N72" i="12" s="1" a="1"/>
  <c r="N72" i="12" s="1"/>
  <c r="P73" i="12"/>
  <c r="M73" i="12" s="1"/>
  <c r="N73" i="12" s="1" a="1"/>
  <c r="N73" i="12" s="1"/>
  <c r="P74" i="12"/>
  <c r="M74" i="12" s="1"/>
  <c r="N74" i="12" s="1" a="1"/>
  <c r="N74" i="12" s="1"/>
  <c r="P75" i="12"/>
  <c r="M75" i="12" s="1"/>
  <c r="N75" i="12" s="1" a="1"/>
  <c r="N75" i="12" s="1"/>
  <c r="P76" i="12"/>
  <c r="M76" i="12" s="1"/>
  <c r="N76" i="12" s="1" a="1"/>
  <c r="N76" i="12" s="1"/>
  <c r="P77" i="12"/>
  <c r="M77" i="12" s="1"/>
  <c r="N77" i="12" s="1" a="1"/>
  <c r="N77" i="12" s="1"/>
  <c r="P78" i="12"/>
  <c r="M78" i="12" s="1"/>
  <c r="N78" i="12" s="1" a="1"/>
  <c r="N78" i="12" s="1"/>
  <c r="P9" i="12"/>
  <c r="M9" i="12" s="1"/>
  <c r="N9" i="12" s="1" a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N10" i="13" s="1"/>
  <c r="P11" i="13"/>
  <c r="M11" i="13" s="1"/>
  <c r="N11" i="13" s="1" a="1"/>
  <c r="N11" i="13" s="1"/>
  <c r="P12" i="13"/>
  <c r="M12" i="13" s="1"/>
  <c r="N12" i="13" s="1" a="1"/>
  <c r="N12" i="13" s="1"/>
  <c r="P13" i="13"/>
  <c r="M13" i="13" s="1"/>
  <c r="N13" i="13" s="1" a="1"/>
  <c r="N13" i="13" s="1"/>
  <c r="P14" i="13"/>
  <c r="M14" i="13" s="1"/>
  <c r="N14" i="13" s="1" a="1"/>
  <c r="N14" i="13" s="1"/>
  <c r="P15" i="13"/>
  <c r="P16" i="13"/>
  <c r="M16" i="13" s="1"/>
  <c r="N16" i="13" s="1" a="1"/>
  <c r="N16" i="13" s="1"/>
  <c r="P17" i="13"/>
  <c r="P18" i="13"/>
  <c r="M18" i="13" s="1"/>
  <c r="N18" i="13" s="1" a="1"/>
  <c r="N18" i="13" s="1"/>
  <c r="P19" i="13"/>
  <c r="M19" i="13" s="1"/>
  <c r="N19" i="13" s="1" a="1"/>
  <c r="N19" i="13" s="1"/>
  <c r="P20" i="13"/>
  <c r="M20" i="13" s="1"/>
  <c r="N20" i="13" s="1" a="1"/>
  <c r="N20" i="13" s="1"/>
  <c r="P21" i="13"/>
  <c r="M21" i="13" s="1"/>
  <c r="N21" i="13" s="1" a="1"/>
  <c r="N21" i="13" s="1"/>
  <c r="P22" i="13"/>
  <c r="M22" i="13" s="1"/>
  <c r="N22" i="13" s="1" a="1"/>
  <c r="N22" i="13" s="1"/>
  <c r="P23" i="13"/>
  <c r="M23" i="13" s="1"/>
  <c r="N23" i="13" s="1" a="1"/>
  <c r="N23" i="13" s="1"/>
  <c r="P24" i="13"/>
  <c r="M24" i="13" s="1"/>
  <c r="N24" i="13" s="1" a="1"/>
  <c r="N24" i="13" s="1"/>
  <c r="P25" i="13"/>
  <c r="M25" i="13" s="1"/>
  <c r="N25" i="13" s="1" a="1"/>
  <c r="N25" i="13" s="1"/>
  <c r="P26" i="13"/>
  <c r="M26" i="13" s="1"/>
  <c r="N26" i="13" s="1" a="1"/>
  <c r="N26" i="13" s="1"/>
  <c r="P27" i="13"/>
  <c r="M27" i="13" s="1"/>
  <c r="N27" i="13" s="1" a="1"/>
  <c r="N27" i="13" s="1"/>
  <c r="P28" i="13"/>
  <c r="M28" i="13" s="1"/>
  <c r="N28" i="13" s="1" a="1"/>
  <c r="N28" i="13" s="1"/>
  <c r="P29" i="13"/>
  <c r="M29" i="13" s="1"/>
  <c r="N29" i="13" s="1" a="1"/>
  <c r="N29" i="13" s="1"/>
  <c r="P30" i="13"/>
  <c r="M30" i="13" s="1"/>
  <c r="N30" i="13" s="1" a="1"/>
  <c r="N30" i="13" s="1"/>
  <c r="P31" i="13"/>
  <c r="M31" i="13" s="1"/>
  <c r="N31" i="13" s="1" a="1"/>
  <c r="N31" i="13" s="1"/>
  <c r="P32" i="13"/>
  <c r="M32" i="13" s="1"/>
  <c r="N32" i="13" s="1" a="1"/>
  <c r="N32" i="13" s="1"/>
  <c r="P33" i="13"/>
  <c r="M33" i="13" s="1"/>
  <c r="N33" i="13" s="1" a="1"/>
  <c r="N33" i="13" s="1"/>
  <c r="P34" i="13"/>
  <c r="M34" i="13" s="1"/>
  <c r="N34" i="13" s="1" a="1"/>
  <c r="N34" i="13" s="1"/>
  <c r="P35" i="13"/>
  <c r="M35" i="13" s="1"/>
  <c r="N35" i="13" s="1" a="1"/>
  <c r="N35" i="13" s="1"/>
  <c r="P36" i="13"/>
  <c r="M36" i="13" s="1"/>
  <c r="N36" i="13" s="1" a="1"/>
  <c r="N36" i="13" s="1"/>
  <c r="P37" i="13"/>
  <c r="M37" i="13" s="1"/>
  <c r="N37" i="13" s="1" a="1"/>
  <c r="N37" i="13" s="1"/>
  <c r="P38" i="13"/>
  <c r="M38" i="13" s="1"/>
  <c r="N38" i="13" s="1" a="1"/>
  <c r="N38" i="13" s="1"/>
  <c r="P39" i="13"/>
  <c r="M39" i="13" s="1"/>
  <c r="N39" i="13" s="1" a="1"/>
  <c r="N39" i="13" s="1"/>
  <c r="P40" i="13"/>
  <c r="M40" i="13" s="1"/>
  <c r="N40" i="13" s="1" a="1"/>
  <c r="N40" i="13" s="1"/>
  <c r="P41" i="13"/>
  <c r="M41" i="13" s="1"/>
  <c r="N41" i="13" s="1" a="1"/>
  <c r="N41" i="13" s="1"/>
  <c r="P42" i="13"/>
  <c r="M42" i="13" s="1"/>
  <c r="N42" i="13" s="1" a="1"/>
  <c r="N42" i="13" s="1"/>
  <c r="P43" i="13"/>
  <c r="M43" i="13" s="1"/>
  <c r="N43" i="13" s="1" a="1"/>
  <c r="N43" i="13" s="1"/>
  <c r="P44" i="13"/>
  <c r="M44" i="13" s="1"/>
  <c r="N44" i="13" s="1" a="1"/>
  <c r="N44" i="13" s="1"/>
  <c r="P45" i="13"/>
  <c r="M45" i="13" s="1"/>
  <c r="N45" i="13" s="1" a="1"/>
  <c r="N45" i="13" s="1"/>
  <c r="P46" i="13"/>
  <c r="M46" i="13" s="1"/>
  <c r="N46" i="13" s="1" a="1"/>
  <c r="N46" i="13" s="1"/>
  <c r="P47" i="13"/>
  <c r="P48" i="13"/>
  <c r="M48" i="13" s="1"/>
  <c r="N48" i="13" s="1" a="1"/>
  <c r="N48" i="13" s="1"/>
  <c r="P49" i="13"/>
  <c r="P50" i="13"/>
  <c r="M50" i="13" s="1"/>
  <c r="N50" i="13" s="1" a="1"/>
  <c r="N50" i="13" s="1"/>
  <c r="P51" i="13"/>
  <c r="M51" i="13" s="1"/>
  <c r="N51" i="13" s="1" a="1"/>
  <c r="N51" i="13" s="1"/>
  <c r="P52" i="13"/>
  <c r="M52" i="13" s="1"/>
  <c r="N52" i="13" s="1" a="1"/>
  <c r="N52" i="13" s="1"/>
  <c r="P53" i="13"/>
  <c r="M53" i="13" s="1"/>
  <c r="N53" i="13" s="1" a="1"/>
  <c r="N53" i="13" s="1"/>
  <c r="P54" i="13"/>
  <c r="M54" i="13" s="1"/>
  <c r="N54" i="13" s="1" a="1"/>
  <c r="N54" i="13" s="1"/>
  <c r="P55" i="13"/>
  <c r="M55" i="13" s="1"/>
  <c r="N55" i="13" s="1" a="1"/>
  <c r="N55" i="13" s="1"/>
  <c r="P56" i="13"/>
  <c r="M56" i="13" s="1"/>
  <c r="N56" i="13" s="1" a="1"/>
  <c r="N56" i="13" s="1"/>
  <c r="P57" i="13"/>
  <c r="M57" i="13" s="1"/>
  <c r="N57" i="13" s="1" a="1"/>
  <c r="N57" i="13" s="1"/>
  <c r="P58" i="13"/>
  <c r="M58" i="13" s="1"/>
  <c r="N58" i="13" s="1" a="1"/>
  <c r="N58" i="13" s="1"/>
  <c r="P59" i="13"/>
  <c r="M59" i="13" s="1"/>
  <c r="N59" i="13" s="1" a="1"/>
  <c r="N59" i="13" s="1"/>
  <c r="P60" i="13"/>
  <c r="M60" i="13" s="1"/>
  <c r="N60" i="13" s="1" a="1"/>
  <c r="N60" i="13" s="1"/>
  <c r="P61" i="13"/>
  <c r="M61" i="13" s="1"/>
  <c r="N61" i="13" s="1" a="1"/>
  <c r="N61" i="13" s="1"/>
  <c r="P62" i="13"/>
  <c r="M62" i="13" s="1"/>
  <c r="N62" i="13" s="1" a="1"/>
  <c r="N62" i="13" s="1"/>
  <c r="P63" i="13"/>
  <c r="M63" i="13" s="1"/>
  <c r="N63" i="13" s="1" a="1"/>
  <c r="N63" i="13" s="1"/>
  <c r="P64" i="13"/>
  <c r="M64" i="13" s="1"/>
  <c r="N64" i="13" s="1" a="1"/>
  <c r="N64" i="13" s="1"/>
  <c r="P65" i="13"/>
  <c r="M65" i="13" s="1"/>
  <c r="N65" i="13" s="1" a="1"/>
  <c r="N65" i="13" s="1"/>
  <c r="P66" i="13"/>
  <c r="M66" i="13" s="1"/>
  <c r="N66" i="13" s="1" a="1"/>
  <c r="N66" i="13" s="1"/>
  <c r="P67" i="13"/>
  <c r="M67" i="13" s="1"/>
  <c r="N67" i="13" s="1" a="1"/>
  <c r="N67" i="13" s="1"/>
  <c r="P68" i="13"/>
  <c r="M68" i="13" s="1"/>
  <c r="N68" i="13" s="1" a="1"/>
  <c r="N68" i="13" s="1"/>
  <c r="P69" i="13"/>
  <c r="M69" i="13" s="1"/>
  <c r="N69" i="13" s="1" a="1"/>
  <c r="N69" i="13" s="1"/>
  <c r="P70" i="13"/>
  <c r="M70" i="13" s="1"/>
  <c r="N70" i="13" s="1" a="1"/>
  <c r="N70" i="13" s="1"/>
  <c r="P71" i="13"/>
  <c r="M71" i="13" s="1"/>
  <c r="N71" i="13" s="1" a="1"/>
  <c r="N71" i="13" s="1"/>
  <c r="P72" i="13"/>
  <c r="M72" i="13" s="1"/>
  <c r="N72" i="13" s="1" a="1"/>
  <c r="N72" i="13" s="1"/>
  <c r="P73" i="13"/>
  <c r="M73" i="13" s="1"/>
  <c r="N73" i="13" s="1" a="1"/>
  <c r="N73" i="13" s="1"/>
  <c r="P74" i="13"/>
  <c r="M74" i="13" s="1"/>
  <c r="N74" i="13" s="1" a="1"/>
  <c r="N74" i="13" s="1"/>
  <c r="P75" i="13"/>
  <c r="M75" i="13" s="1"/>
  <c r="N75" i="13" s="1" a="1"/>
  <c r="N75" i="13" s="1"/>
  <c r="P76" i="13"/>
  <c r="M76" i="13" s="1"/>
  <c r="N76" i="13" s="1" a="1"/>
  <c r="N76" i="13" s="1"/>
  <c r="P77" i="13"/>
  <c r="M77" i="13" s="1"/>
  <c r="N77" i="13" s="1" a="1"/>
  <c r="N77" i="13" s="1"/>
  <c r="P78" i="13"/>
  <c r="M78" i="13" s="1"/>
  <c r="N78" i="13" s="1" a="1"/>
  <c r="N78" i="13" s="1"/>
  <c r="P79" i="13"/>
  <c r="M79" i="13" s="1"/>
  <c r="N79" i="13" s="1" a="1"/>
  <c r="N79" i="13" s="1"/>
  <c r="P80" i="13"/>
  <c r="M80" i="13" s="1"/>
  <c r="N80" i="13" s="1" a="1"/>
  <c r="N80" i="13" s="1"/>
  <c r="P81" i="13"/>
  <c r="M81" i="13" s="1"/>
  <c r="N81" i="13" s="1" a="1"/>
  <c r="N81" i="13" s="1"/>
  <c r="P82" i="13"/>
  <c r="M82" i="13" s="1"/>
  <c r="N82" i="13" s="1" a="1"/>
  <c r="N82" i="13" s="1"/>
  <c r="P83" i="13"/>
  <c r="M83" i="13" s="1"/>
  <c r="N83" i="13" s="1" a="1"/>
  <c r="N83" i="13" s="1"/>
  <c r="P84" i="13"/>
  <c r="M84" i="13" s="1"/>
  <c r="N84" i="13" s="1" a="1"/>
  <c r="N84" i="13" s="1"/>
  <c r="P85" i="13"/>
  <c r="M85" i="13" s="1"/>
  <c r="N85" i="13" s="1" a="1"/>
  <c r="N85" i="13" s="1"/>
  <c r="P9" i="13"/>
  <c r="M9" i="13" s="1"/>
  <c r="N9" i="13" s="1" a="1"/>
  <c r="N9" i="13" s="1"/>
  <c r="M15" i="13"/>
  <c r="N15" i="13" s="1" a="1"/>
  <c r="N15" i="13" s="1"/>
  <c r="M17" i="13"/>
  <c r="N17" i="13" s="1" a="1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N47" i="13" s="1"/>
  <c r="B75" i="13"/>
  <c r="C75" i="13"/>
  <c r="D75" i="13" s="1"/>
  <c r="M49" i="13"/>
  <c r="N49" i="13" s="1" a="1"/>
  <c r="N49" i="13" s="1"/>
  <c r="D9" i="15"/>
  <c r="D10" i="15"/>
  <c r="D11" i="15"/>
  <c r="D12" i="15"/>
  <c r="D13" i="15"/>
  <c r="D14" i="15"/>
  <c r="D21" i="15"/>
  <c r="D22" i="15"/>
  <c r="D23" i="15"/>
  <c r="D24" i="15"/>
  <c r="D25" i="15"/>
  <c r="D26" i="15"/>
  <c r="D33" i="15"/>
  <c r="D34" i="15"/>
  <c r="D35" i="15"/>
  <c r="D36" i="15"/>
  <c r="D37" i="15"/>
  <c r="D38" i="15"/>
  <c r="D45" i="15"/>
  <c r="D46" i="15"/>
  <c r="D47" i="15"/>
  <c r="D48" i="15"/>
  <c r="D49" i="15"/>
  <c r="D50" i="15"/>
  <c r="D57" i="15"/>
  <c r="D58" i="15"/>
  <c r="D59" i="15"/>
  <c r="D60" i="15"/>
  <c r="D61" i="15"/>
  <c r="D62" i="15"/>
  <c r="D69" i="15"/>
  <c r="D4" i="15"/>
  <c r="D5" i="15"/>
  <c r="D6" i="15"/>
  <c r="D7" i="15"/>
  <c r="D8" i="15"/>
  <c r="D15" i="15"/>
  <c r="D16" i="15"/>
  <c r="D17" i="15"/>
  <c r="D18" i="15"/>
  <c r="D19" i="15"/>
  <c r="D20" i="15"/>
  <c r="D27" i="15"/>
  <c r="D28" i="15"/>
  <c r="D29" i="15"/>
  <c r="D30" i="15"/>
  <c r="D31" i="15"/>
  <c r="D32" i="15"/>
  <c r="D39" i="15"/>
  <c r="D40" i="15"/>
  <c r="D41" i="15"/>
  <c r="D42" i="15"/>
  <c r="D43" i="15"/>
  <c r="D44" i="15"/>
  <c r="D51" i="15"/>
  <c r="D52" i="15"/>
  <c r="D53" i="15"/>
  <c r="D54" i="15"/>
  <c r="D55" i="15"/>
  <c r="D56" i="15"/>
  <c r="D63" i="15"/>
  <c r="D64" i="15"/>
  <c r="D65" i="15"/>
  <c r="D66" i="15"/>
  <c r="D67" i="15"/>
  <c r="D68" i="15"/>
  <c r="D3" i="15"/>
  <c r="M14" i="15"/>
  <c r="N14" i="15" s="1" a="1"/>
  <c r="N14" i="15" s="1"/>
  <c r="M15" i="15"/>
  <c r="N15" i="15" s="1" a="1"/>
  <c r="N15" i="15" s="1"/>
  <c r="M16" i="15"/>
  <c r="N16" i="15" s="1" a="1"/>
  <c r="N16" i="15" s="1"/>
  <c r="M17" i="15"/>
  <c r="N17" i="15" s="1" a="1"/>
  <c r="M18" i="15"/>
  <c r="M19" i="15"/>
  <c r="N19" i="15" s="1" a="1"/>
  <c r="N19" i="15" s="1"/>
  <c r="M20" i="15"/>
  <c r="N20" i="15" s="1" a="1"/>
  <c r="N20" i="15" s="1"/>
  <c r="M26" i="15"/>
  <c r="M27" i="15"/>
  <c r="N27" i="15" s="1" a="1"/>
  <c r="N27" i="15" s="1"/>
  <c r="M28" i="15"/>
  <c r="N28" i="15" s="1" a="1"/>
  <c r="N28" i="15" s="1"/>
  <c r="M29" i="15"/>
  <c r="N29" i="15" s="1" a="1"/>
  <c r="N29" i="15" s="1"/>
  <c r="M30" i="15"/>
  <c r="N30" i="15" s="1" a="1"/>
  <c r="N30" i="15" s="1"/>
  <c r="M31" i="15"/>
  <c r="N31" i="15" s="1" a="1"/>
  <c r="N31" i="15" s="1"/>
  <c r="M38" i="15"/>
  <c r="M39" i="15"/>
  <c r="M40" i="15"/>
  <c r="N40" i="15" s="1" a="1"/>
  <c r="N40" i="15" s="1"/>
  <c r="M41" i="15"/>
  <c r="N41" i="15" s="1" a="1"/>
  <c r="N41" i="15" s="1"/>
  <c r="M42" i="15"/>
  <c r="N42" i="15" s="1" a="1"/>
  <c r="N42" i="15" s="1"/>
  <c r="M43" i="15"/>
  <c r="N43" i="15" s="1" a="1"/>
  <c r="N43" i="15" s="1"/>
  <c r="M50" i="15"/>
  <c r="M51" i="15"/>
  <c r="M52" i="15"/>
  <c r="M53" i="15"/>
  <c r="N53" i="15" s="1" a="1"/>
  <c r="N53" i="15" s="1"/>
  <c r="M54" i="15"/>
  <c r="N54" i="15" s="1" a="1"/>
  <c r="N54" i="15" s="1"/>
  <c r="M55" i="15"/>
  <c r="N55" i="15" s="1" a="1"/>
  <c r="N55" i="15" s="1"/>
  <c r="M62" i="15"/>
  <c r="M63" i="15"/>
  <c r="M64" i="15"/>
  <c r="M65" i="15"/>
  <c r="N65" i="15" s="1" a="1"/>
  <c r="N65" i="15" s="1"/>
  <c r="M66" i="15"/>
  <c r="N66" i="15" s="1" a="1"/>
  <c r="N66" i="15" s="1"/>
  <c r="M67" i="15"/>
  <c r="N67" i="15" s="1" a="1"/>
  <c r="N67" i="15" s="1"/>
  <c r="M74" i="15"/>
  <c r="N74" i="15" s="1" a="1"/>
  <c r="N74" i="15" s="1"/>
  <c r="M75" i="15"/>
  <c r="N11" i="15" a="1"/>
  <c r="N11" i="15"/>
  <c r="N12" i="15" a="1"/>
  <c r="N12" i="15"/>
  <c r="N13" i="15" a="1"/>
  <c r="N13" i="15" s="1"/>
  <c r="N17" i="15"/>
  <c r="N18" i="15" a="1"/>
  <c r="N18" i="15"/>
  <c r="N24" i="15" a="1"/>
  <c r="N24" i="15"/>
  <c r="N25" i="15" a="1"/>
  <c r="N25" i="15"/>
  <c r="N26" i="15" a="1"/>
  <c r="N26" i="15" s="1"/>
  <c r="N38" i="15" a="1"/>
  <c r="N38" i="15"/>
  <c r="N39" i="15" a="1"/>
  <c r="N39" i="15" s="1"/>
  <c r="N50" i="15" a="1"/>
  <c r="N50" i="15"/>
  <c r="N51" i="15" a="1"/>
  <c r="N51" i="15" s="1"/>
  <c r="N52" i="15" a="1"/>
  <c r="N52" i="15" s="1"/>
  <c r="N59" i="15" a="1"/>
  <c r="N59" i="15" s="1"/>
  <c r="N62" i="15" a="1"/>
  <c r="N62" i="15"/>
  <c r="N63" i="15" a="1"/>
  <c r="N63" i="15"/>
  <c r="N64" i="15" a="1"/>
  <c r="N64" i="15" s="1"/>
  <c r="N71" i="15" a="1"/>
  <c r="N71" i="15"/>
  <c r="N72" i="15" a="1"/>
  <c r="N72" i="15" s="1"/>
  <c r="N75" i="15" a="1"/>
  <c r="N75" i="15"/>
  <c r="P9" i="15"/>
  <c r="M9" i="15" s="1"/>
  <c r="N9" i="15" s="1" a="1"/>
  <c r="N9" i="15" s="1"/>
  <c r="P10" i="15"/>
  <c r="M10" i="15" s="1"/>
  <c r="N10" i="15" s="1" a="1"/>
  <c r="N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P20" i="15"/>
  <c r="P21" i="15"/>
  <c r="M21" i="15" s="1"/>
  <c r="N21" i="15" s="1" a="1"/>
  <c r="N21" i="15" s="1"/>
  <c r="P22" i="15"/>
  <c r="M22" i="15" s="1"/>
  <c r="N22" i="15" s="1" a="1"/>
  <c r="N22" i="15" s="1"/>
  <c r="P23" i="15"/>
  <c r="M23" i="15" s="1"/>
  <c r="N23" i="15" s="1" a="1"/>
  <c r="N23" i="15" s="1"/>
  <c r="P24" i="15"/>
  <c r="M24" i="15" s="1"/>
  <c r="P25" i="15"/>
  <c r="M25" i="15" s="1"/>
  <c r="P26" i="15"/>
  <c r="P27" i="15"/>
  <c r="P28" i="15"/>
  <c r="P29" i="15"/>
  <c r="P30" i="15"/>
  <c r="P31" i="15"/>
  <c r="P32" i="15"/>
  <c r="M32" i="15" s="1"/>
  <c r="N32" i="15" s="1" a="1"/>
  <c r="N32" i="15" s="1"/>
  <c r="P33" i="15"/>
  <c r="M33" i="15" s="1"/>
  <c r="N33" i="15" s="1" a="1"/>
  <c r="N33" i="15" s="1"/>
  <c r="P34" i="15"/>
  <c r="M34" i="15" s="1"/>
  <c r="N34" i="15" s="1" a="1"/>
  <c r="N34" i="15" s="1"/>
  <c r="P35" i="15"/>
  <c r="M35" i="15" s="1"/>
  <c r="N35" i="15" s="1" a="1"/>
  <c r="N35" i="15" s="1"/>
  <c r="P36" i="15"/>
  <c r="M36" i="15" s="1"/>
  <c r="N36" i="15" s="1" a="1"/>
  <c r="N36" i="15" s="1"/>
  <c r="P37" i="15"/>
  <c r="M37" i="15" s="1"/>
  <c r="N37" i="15" s="1" a="1"/>
  <c r="N37" i="15" s="1"/>
  <c r="P38" i="15"/>
  <c r="P39" i="15"/>
  <c r="P40" i="15"/>
  <c r="P41" i="15"/>
  <c r="P42" i="15"/>
  <c r="P43" i="15"/>
  <c r="P44" i="15"/>
  <c r="M44" i="15" s="1"/>
  <c r="N44" i="15" s="1" a="1"/>
  <c r="N44" i="15" s="1"/>
  <c r="P45" i="15"/>
  <c r="M45" i="15" s="1"/>
  <c r="N45" i="15" s="1" a="1"/>
  <c r="N45" i="15" s="1"/>
  <c r="P46" i="15"/>
  <c r="M46" i="15" s="1"/>
  <c r="N46" i="15" s="1" a="1"/>
  <c r="N46" i="15" s="1"/>
  <c r="P47" i="15"/>
  <c r="M47" i="15" s="1"/>
  <c r="N47" i="15" s="1" a="1"/>
  <c r="N47" i="15" s="1"/>
  <c r="P48" i="15"/>
  <c r="M48" i="15" s="1"/>
  <c r="N48" i="15" s="1" a="1"/>
  <c r="N48" i="15" s="1"/>
  <c r="P49" i="15"/>
  <c r="M49" i="15" s="1"/>
  <c r="N49" i="15" s="1" a="1"/>
  <c r="N49" i="15" s="1"/>
  <c r="P50" i="15"/>
  <c r="P51" i="15"/>
  <c r="P52" i="15"/>
  <c r="P53" i="15"/>
  <c r="P54" i="15"/>
  <c r="P55" i="15"/>
  <c r="P56" i="15"/>
  <c r="M56" i="15" s="1"/>
  <c r="N56" i="15" s="1" a="1"/>
  <c r="N56" i="15" s="1"/>
  <c r="P57" i="15"/>
  <c r="M57" i="15" s="1"/>
  <c r="N57" i="15" s="1" a="1"/>
  <c r="N57" i="15" s="1"/>
  <c r="P58" i="15"/>
  <c r="M58" i="15" s="1"/>
  <c r="N58" i="15" s="1" a="1"/>
  <c r="N58" i="15" s="1"/>
  <c r="P59" i="15"/>
  <c r="M59" i="15" s="1"/>
  <c r="P60" i="15"/>
  <c r="M60" i="15" s="1"/>
  <c r="N60" i="15" s="1" a="1"/>
  <c r="N60" i="15" s="1"/>
  <c r="P61" i="15"/>
  <c r="M61" i="15" s="1"/>
  <c r="N61" i="15" s="1" a="1"/>
  <c r="N61" i="15" s="1"/>
  <c r="P62" i="15"/>
  <c r="P63" i="15"/>
  <c r="P64" i="15"/>
  <c r="P65" i="15"/>
  <c r="P66" i="15"/>
  <c r="P67" i="15"/>
  <c r="P68" i="15"/>
  <c r="M68" i="15" s="1"/>
  <c r="N68" i="15" s="1" a="1"/>
  <c r="N68" i="15" s="1"/>
  <c r="P69" i="15"/>
  <c r="M69" i="15" s="1"/>
  <c r="N69" i="15" s="1" a="1"/>
  <c r="N69" i="15" s="1"/>
  <c r="P70" i="15"/>
  <c r="M70" i="15" s="1"/>
  <c r="N70" i="15" s="1" a="1"/>
  <c r="N70" i="15" s="1"/>
  <c r="P71" i="15"/>
  <c r="M71" i="15" s="1"/>
  <c r="P72" i="15"/>
  <c r="M72" i="15" s="1"/>
  <c r="P73" i="15"/>
  <c r="M73" i="15" s="1"/>
  <c r="N73" i="15" s="1" a="1"/>
  <c r="N73" i="15" s="1"/>
  <c r="P74" i="15"/>
  <c r="P75" i="15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D74" i="16" l="1"/>
  <c r="P72" i="16"/>
  <c r="M72" i="16" s="1"/>
  <c r="N72" i="16" s="1" a="1"/>
  <c r="N72" i="16" s="1"/>
  <c r="M64" i="16"/>
  <c r="N64" i="16" s="1" a="1"/>
  <c r="N64" i="16" s="1"/>
  <c r="M82" i="16"/>
  <c r="N82" i="16" s="1" a="1"/>
  <c r="N82" i="16" s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27" i="14"/>
  <c r="N27" i="14" s="1" a="1"/>
  <c r="N27" i="14" s="1"/>
  <c r="M33" i="14"/>
  <c r="N33" i="14" s="1" a="1"/>
  <c r="N33" i="14" s="1"/>
  <c r="M39" i="14"/>
  <c r="N39" i="14" s="1" a="1"/>
  <c r="N39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M56" i="14"/>
  <c r="N56" i="14" s="1" a="1"/>
  <c r="N56" i="14" s="1"/>
  <c r="M57" i="14"/>
  <c r="N57" i="14" s="1" a="1"/>
  <c r="N57" i="14" s="1"/>
  <c r="M67" i="14"/>
  <c r="N67" i="14" s="1" a="1"/>
  <c r="N67" i="14" s="1"/>
  <c r="M77" i="14"/>
  <c r="N77" i="14" a="1"/>
  <c r="N77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P57" i="14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58" i="23" s="1" a="1"/>
  <c r="N58" i="23" s="1"/>
  <c r="P16" i="23"/>
  <c r="M16" i="23" s="1"/>
  <c r="N14" i="23" s="1" a="1"/>
  <c r="N14" i="23" s="1"/>
  <c r="P17" i="23"/>
  <c r="M17" i="23" s="1"/>
  <c r="N15" i="23" s="1" a="1"/>
  <c r="N15" i="23" s="1"/>
  <c r="P18" i="23"/>
  <c r="M18" i="23" s="1"/>
  <c r="N16" i="23" s="1" a="1"/>
  <c r="N16" i="23" s="1"/>
  <c r="P19" i="23"/>
  <c r="M19" i="23" s="1"/>
  <c r="P20" i="23"/>
  <c r="M20" i="23" s="1"/>
  <c r="N18" i="23" s="1" a="1"/>
  <c r="N18" i="23" s="1"/>
  <c r="P28" i="23"/>
  <c r="M28" i="23" s="1"/>
  <c r="P30" i="23"/>
  <c r="M30" i="23" s="1"/>
  <c r="P31" i="23"/>
  <c r="M31" i="23" s="1"/>
  <c r="P32" i="23"/>
  <c r="M32" i="23" s="1"/>
  <c r="P36" i="23"/>
  <c r="M36" i="23" s="1"/>
  <c r="N34" i="23" s="1" a="1"/>
  <c r="N34" i="23" s="1"/>
  <c r="P39" i="23"/>
  <c r="M39" i="23" s="1"/>
  <c r="P40" i="23"/>
  <c r="M40" i="23" s="1"/>
  <c r="P41" i="23"/>
  <c r="M41" i="23" s="1"/>
  <c r="P42" i="23"/>
  <c r="M42" i="23" s="1"/>
  <c r="P43" i="23"/>
  <c r="M43" i="23" s="1"/>
  <c r="P44" i="23"/>
  <c r="M44" i="23" s="1"/>
  <c r="P55" i="23"/>
  <c r="M55" i="23" s="1"/>
  <c r="P56" i="23"/>
  <c r="M56" i="23" s="1"/>
  <c r="P24" i="23"/>
  <c r="M24" i="23" s="1"/>
  <c r="P25" i="23"/>
  <c r="M25" i="23" s="1"/>
  <c r="P26" i="23"/>
  <c r="M26" i="23" s="1"/>
  <c r="P27" i="23"/>
  <c r="M27" i="23" s="1"/>
  <c r="P49" i="23"/>
  <c r="M49" i="23" s="1"/>
  <c r="P50" i="23"/>
  <c r="M50" i="23" s="1"/>
  <c r="N48" i="23" s="1" a="1"/>
  <c r="N48" i="23" s="1"/>
  <c r="P52" i="23"/>
  <c r="M52" i="23" s="1"/>
  <c r="P54" i="23"/>
  <c r="M54" i="23" s="1"/>
  <c r="P38" i="23"/>
  <c r="M38" i="23" s="1"/>
  <c r="N36" i="23" s="1" a="1"/>
  <c r="N36" i="23" s="1"/>
  <c r="P15" i="23"/>
  <c r="M15" i="23" s="1"/>
  <c r="P33" i="23"/>
  <c r="M33" i="23" s="1"/>
  <c r="P53" i="23"/>
  <c r="M53" i="23" s="1"/>
  <c r="P48" i="23"/>
  <c r="M48" i="23" s="1"/>
  <c r="P9" i="23"/>
  <c r="M9" i="23" s="1"/>
  <c r="P21" i="23"/>
  <c r="M21" i="23" s="1"/>
  <c r="P58" i="23"/>
  <c r="M58" i="23" s="1"/>
  <c r="P34" i="23"/>
  <c r="M34" i="23" s="1"/>
  <c r="P23" i="23"/>
  <c r="M23" i="23" s="1"/>
  <c r="P35" i="23"/>
  <c r="M35" i="23" s="1"/>
  <c r="P46" i="23"/>
  <c r="M46" i="23" s="1"/>
  <c r="P22" i="23"/>
  <c r="M22" i="23" s="1"/>
  <c r="P47" i="23"/>
  <c r="M47" i="23" s="1"/>
  <c r="P13" i="23"/>
  <c r="M13" i="23" s="1"/>
  <c r="P45" i="23"/>
  <c r="M45" i="23" s="1"/>
  <c r="P59" i="23"/>
  <c r="M59" i="23" s="1"/>
  <c r="P51" i="23"/>
  <c r="M51" i="23" s="1"/>
  <c r="P37" i="23"/>
  <c r="M37" i="23" s="1"/>
  <c r="P57" i="23"/>
  <c r="M57" i="23" s="1"/>
  <c r="P11" i="23"/>
  <c r="M11" i="23" s="1"/>
  <c r="P10" i="23"/>
  <c r="M10" i="23" s="1"/>
  <c r="P29" i="23"/>
  <c r="M29" i="23" s="1"/>
  <c r="P14" i="23"/>
  <c r="M14" i="23" s="1"/>
  <c r="N59" i="23" a="1"/>
  <c r="N59" i="23" s="1"/>
  <c r="P14" i="21"/>
  <c r="M14" i="21" s="1"/>
  <c r="P15" i="21"/>
  <c r="M15" i="21" s="1"/>
  <c r="P16" i="21"/>
  <c r="M16" i="21" s="1"/>
  <c r="P17" i="21"/>
  <c r="M17" i="21" s="1"/>
  <c r="P18" i="21"/>
  <c r="M18" i="21" s="1"/>
  <c r="P19" i="21"/>
  <c r="M19" i="21" s="1"/>
  <c r="N15" i="21" s="1" a="1"/>
  <c r="N15" i="21" s="1"/>
  <c r="P20" i="21"/>
  <c r="M20" i="21" s="1"/>
  <c r="N18" i="21" s="1" a="1"/>
  <c r="N18" i="21" s="1"/>
  <c r="P30" i="21"/>
  <c r="M30" i="21" s="1"/>
  <c r="P32" i="21"/>
  <c r="M32" i="21" s="1"/>
  <c r="P38" i="21"/>
  <c r="M38" i="21" s="1"/>
  <c r="N36" i="21" s="1" a="1"/>
  <c r="N36" i="21" s="1"/>
  <c r="P39" i="21"/>
  <c r="M39" i="21" s="1"/>
  <c r="P40" i="21"/>
  <c r="M40" i="21" s="1"/>
  <c r="P41" i="21"/>
  <c r="M41" i="21" s="1"/>
  <c r="P42" i="21"/>
  <c r="M42" i="21" s="1"/>
  <c r="P43" i="21"/>
  <c r="M43" i="21" s="1"/>
  <c r="P44" i="21"/>
  <c r="M44" i="21" s="1"/>
  <c r="P48" i="21"/>
  <c r="M48" i="21" s="1"/>
  <c r="N46" i="21" s="1" a="1"/>
  <c r="N46" i="21" s="1"/>
  <c r="P49" i="21"/>
  <c r="M49" i="21" s="1"/>
  <c r="N47" i="21" s="1" a="1"/>
  <c r="N47" i="21" s="1"/>
  <c r="P50" i="21"/>
  <c r="M50" i="21" s="1"/>
  <c r="N48" i="21" s="1" a="1"/>
  <c r="N48" i="21" s="1"/>
  <c r="P51" i="21"/>
  <c r="M51" i="21" s="1"/>
  <c r="P53" i="21"/>
  <c r="M53" i="21" s="1"/>
  <c r="P54" i="21"/>
  <c r="M54" i="21" s="1"/>
  <c r="P55" i="21"/>
  <c r="M55" i="21" s="1"/>
  <c r="N40" i="21" s="1" a="1"/>
  <c r="N40" i="21" s="1"/>
  <c r="P56" i="21"/>
  <c r="M56" i="21" s="1"/>
  <c r="P64" i="21"/>
  <c r="M64" i="21" s="1"/>
  <c r="N62" i="21" s="1" a="1"/>
  <c r="N62" i="21" s="1"/>
  <c r="P66" i="21"/>
  <c r="M66" i="21" s="1"/>
  <c r="P25" i="21"/>
  <c r="M25" i="21" s="1"/>
  <c r="P26" i="21"/>
  <c r="M26" i="21" s="1"/>
  <c r="P28" i="21"/>
  <c r="M28" i="21" s="1"/>
  <c r="N26" i="21" s="1" a="1"/>
  <c r="N26" i="21" s="1"/>
  <c r="P29" i="21"/>
  <c r="M29" i="21" s="1"/>
  <c r="P31" i="21"/>
  <c r="M31" i="21" s="1"/>
  <c r="P67" i="21"/>
  <c r="M67" i="21" s="1"/>
  <c r="P68" i="21"/>
  <c r="M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N67" i="21" a="1"/>
  <c r="N67" i="21"/>
  <c r="N68" i="21" a="1"/>
  <c r="N68" i="21"/>
  <c r="P61" i="21"/>
  <c r="M61" i="21" s="1"/>
  <c r="P47" i="21"/>
  <c r="M47" i="21" s="1"/>
  <c r="P57" i="21"/>
  <c r="M57" i="21" s="1"/>
  <c r="P12" i="21"/>
  <c r="M12" i="21" s="1"/>
  <c r="P58" i="21"/>
  <c r="M58" i="21" s="1"/>
  <c r="P36" i="21"/>
  <c r="M36" i="21" s="1"/>
  <c r="P10" i="21"/>
  <c r="M10" i="21" s="1"/>
  <c r="P60" i="21"/>
  <c r="M60" i="21" s="1"/>
  <c r="P45" i="21"/>
  <c r="M45" i="21" s="1"/>
  <c r="P37" i="21"/>
  <c r="M37" i="21" s="1"/>
  <c r="P9" i="21"/>
  <c r="M9" i="21" s="1"/>
  <c r="P27" i="21"/>
  <c r="M27" i="21" s="1"/>
  <c r="N25" i="21" s="1" a="1"/>
  <c r="N25" i="21" s="1"/>
  <c r="P21" i="21"/>
  <c r="M21" i="21" s="1"/>
  <c r="N19" i="21" s="1" a="1"/>
  <c r="N19" i="21" s="1"/>
  <c r="P65" i="21"/>
  <c r="M65" i="21" s="1"/>
  <c r="N63" i="21" s="1" a="1"/>
  <c r="N63" i="21" s="1"/>
  <c r="P59" i="21"/>
  <c r="M59" i="21" s="1"/>
  <c r="N57" i="21" s="1" a="1"/>
  <c r="N57" i="21" s="1"/>
  <c r="P24" i="21"/>
  <c r="M24" i="21" s="1"/>
  <c r="P13" i="21"/>
  <c r="M13" i="21" s="1"/>
  <c r="P63" i="21"/>
  <c r="M63" i="21" s="1"/>
  <c r="P22" i="21"/>
  <c r="M22" i="21" s="1"/>
  <c r="P11" i="21"/>
  <c r="M11" i="21" s="1"/>
  <c r="P23" i="21"/>
  <c r="M23" i="21" s="1"/>
  <c r="P46" i="21"/>
  <c r="M46" i="21" s="1"/>
  <c r="P52" i="21"/>
  <c r="M52" i="21" s="1"/>
  <c r="P34" i="21"/>
  <c r="M34" i="21" s="1"/>
  <c r="P33" i="21"/>
  <c r="M33" i="21" s="1"/>
  <c r="P35" i="21"/>
  <c r="M35" i="21" s="1"/>
  <c r="P62" i="21"/>
  <c r="M62" i="21" s="1"/>
  <c r="P51" i="18"/>
  <c r="C79" i="18"/>
  <c r="C31" i="29"/>
  <c r="C30" i="29"/>
  <c r="C29" i="29"/>
  <c r="C28" i="29"/>
  <c r="C27" i="29"/>
  <c r="C26" i="29"/>
  <c r="C25" i="29"/>
  <c r="C24" i="29"/>
  <c r="C23" i="29"/>
  <c r="C22" i="29"/>
  <c r="C21" i="29"/>
  <c r="C20" i="29"/>
  <c r="C19" i="29"/>
  <c r="C18" i="29"/>
  <c r="C17" i="29"/>
  <c r="C16" i="29"/>
  <c r="C15" i="29"/>
  <c r="C14" i="29"/>
  <c r="C13" i="29"/>
  <c r="C12" i="29"/>
  <c r="C11" i="29"/>
  <c r="C10" i="29"/>
  <c r="C9" i="29"/>
  <c r="C8" i="29"/>
  <c r="C7" i="29"/>
  <c r="C6" i="29"/>
  <c r="C5" i="29"/>
  <c r="C4" i="29"/>
  <c r="C3" i="29"/>
  <c r="C2" i="29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C55" i="20"/>
  <c r="C54" i="20"/>
  <c r="C53" i="20"/>
  <c r="C52" i="20"/>
  <c r="C51" i="20"/>
  <c r="C50" i="20"/>
  <c r="C49" i="20"/>
  <c r="C48" i="20"/>
  <c r="C47" i="20"/>
  <c r="C46" i="20"/>
  <c r="C45" i="20"/>
  <c r="C44" i="20"/>
  <c r="C43" i="20"/>
  <c r="C42" i="20"/>
  <c r="C41" i="20"/>
  <c r="C40" i="20"/>
  <c r="C39" i="20"/>
  <c r="C38" i="20"/>
  <c r="C37" i="20"/>
  <c r="C36" i="20"/>
  <c r="C35" i="20"/>
  <c r="C34" i="20"/>
  <c r="C33" i="20"/>
  <c r="C32" i="20"/>
  <c r="C31" i="20"/>
  <c r="C30" i="20"/>
  <c r="C29" i="20"/>
  <c r="C28" i="20"/>
  <c r="C27" i="20"/>
  <c r="C26" i="20"/>
  <c r="C25" i="20"/>
  <c r="C24" i="20"/>
  <c r="C23" i="20"/>
  <c r="C22" i="20"/>
  <c r="C21" i="20"/>
  <c r="C20" i="20"/>
  <c r="C19" i="20"/>
  <c r="C18" i="20"/>
  <c r="C17" i="20"/>
  <c r="C16" i="20"/>
  <c r="C15" i="20"/>
  <c r="C14" i="20"/>
  <c r="C13" i="20"/>
  <c r="C12" i="20"/>
  <c r="C11" i="20"/>
  <c r="C10" i="20"/>
  <c r="C9" i="20"/>
  <c r="C8" i="20"/>
  <c r="C7" i="20"/>
  <c r="C6" i="20"/>
  <c r="C5" i="20"/>
  <c r="C4" i="20"/>
  <c r="C3" i="20"/>
  <c r="C2" i="20"/>
  <c r="B56" i="17" a="1"/>
  <c r="B56" i="17" s="1"/>
  <c r="B55" i="17" a="1"/>
  <c r="B55" i="17" s="1"/>
  <c r="A55" i="17" s="1"/>
  <c r="B54" i="17" a="1"/>
  <c r="B54" i="17" s="1"/>
  <c r="B53" i="17" a="1"/>
  <c r="B53" i="17" s="1"/>
  <c r="B52" i="17" a="1"/>
  <c r="B52" i="17" s="1"/>
  <c r="B51" i="17" a="1"/>
  <c r="B51" i="17" s="1"/>
  <c r="B50" i="17" a="1"/>
  <c r="B50" i="17" s="1"/>
  <c r="B49" i="17" a="1"/>
  <c r="B49" i="17" s="1"/>
  <c r="B48" i="17" a="1"/>
  <c r="B48" i="17" s="1"/>
  <c r="A48" i="17" s="1"/>
  <c r="B47" i="17" a="1"/>
  <c r="B47" i="17" s="1"/>
  <c r="B46" i="17" a="1"/>
  <c r="B46" i="17" s="1"/>
  <c r="B45" i="17" a="1"/>
  <c r="B45" i="17" s="1"/>
  <c r="B44" i="17" a="1"/>
  <c r="B44" i="17" s="1"/>
  <c r="B43" i="17" a="1"/>
  <c r="B43" i="17" s="1"/>
  <c r="B42" i="17" a="1"/>
  <c r="B42" i="17" s="1"/>
  <c r="H42" i="17" s="1"/>
  <c r="B41" i="17" a="1"/>
  <c r="B41" i="17" s="1"/>
  <c r="A41" i="17" s="1"/>
  <c r="B40" i="17" a="1"/>
  <c r="B40" i="17" s="1"/>
  <c r="B39" i="17" a="1"/>
  <c r="B39" i="17" s="1"/>
  <c r="B38" i="17" a="1"/>
  <c r="B38" i="17" s="1"/>
  <c r="B37" i="17" a="1"/>
  <c r="B37" i="17" s="1"/>
  <c r="B36" i="17" a="1"/>
  <c r="B36" i="17" s="1"/>
  <c r="B35" i="17" a="1"/>
  <c r="B35" i="17" s="1"/>
  <c r="B34" i="17" a="1"/>
  <c r="B34" i="17" s="1"/>
  <c r="H34" i="17" s="1"/>
  <c r="B33" i="17" a="1"/>
  <c r="B33" i="17" s="1"/>
  <c r="B32" i="17" a="1"/>
  <c r="B32" i="17" s="1"/>
  <c r="B31" i="17" a="1"/>
  <c r="B31" i="17" s="1"/>
  <c r="B30" i="17" a="1"/>
  <c r="B30" i="17" s="1"/>
  <c r="B29" i="17" a="1"/>
  <c r="B29" i="17" s="1"/>
  <c r="B28" i="17" a="1"/>
  <c r="B28" i="17" s="1"/>
  <c r="B27" i="17" a="1"/>
  <c r="B27" i="17" s="1"/>
  <c r="J27" i="17" s="1"/>
  <c r="B26" i="17" a="1"/>
  <c r="B26" i="17" s="1"/>
  <c r="J26" i="17" s="1"/>
  <c r="B25" i="17" a="1"/>
  <c r="B25" i="17" s="1"/>
  <c r="B24" i="17" a="1"/>
  <c r="B24" i="17" s="1"/>
  <c r="B23" i="17" a="1"/>
  <c r="B23" i="17" s="1"/>
  <c r="B22" i="17" a="1"/>
  <c r="B22" i="17" s="1"/>
  <c r="B21" i="17" a="1"/>
  <c r="B21" i="17" s="1"/>
  <c r="B20" i="17" a="1"/>
  <c r="B20" i="17" s="1"/>
  <c r="B19" i="17" a="1"/>
  <c r="B19" i="17" s="1"/>
  <c r="B18" i="17" a="1"/>
  <c r="B18" i="17" s="1"/>
  <c r="J18" i="17" s="1"/>
  <c r="B17" i="17" a="1"/>
  <c r="B17" i="17" s="1"/>
  <c r="B16" i="17" a="1"/>
  <c r="B16" i="17" s="1"/>
  <c r="B15" i="17" a="1"/>
  <c r="B15" i="17" s="1"/>
  <c r="J15" i="17" s="1"/>
  <c r="B14" i="17" a="1"/>
  <c r="B14" i="17" s="1"/>
  <c r="E14" i="17" s="1"/>
  <c r="B13" i="17" a="1"/>
  <c r="B13" i="17" s="1"/>
  <c r="B12" i="17" a="1"/>
  <c r="B12" i="17" s="1"/>
  <c r="J12" i="17" s="1"/>
  <c r="B11" i="17" a="1"/>
  <c r="B11" i="17" s="1"/>
  <c r="A11" i="17" s="1"/>
  <c r="B10" i="17" a="1"/>
  <c r="B10" i="17" s="1"/>
  <c r="B9" i="17" a="1"/>
  <c r="B9" i="17" s="1"/>
  <c r="A9" i="17" s="1"/>
  <c r="B8" i="17" a="1"/>
  <c r="B8" i="17" s="1"/>
  <c r="B7" i="17" a="1"/>
  <c r="B7" i="17" s="1"/>
  <c r="B6" i="17" a="1"/>
  <c r="B6" i="17" s="1"/>
  <c r="J6" i="17" s="1"/>
  <c r="C5" i="17"/>
  <c r="B5" i="17" a="1"/>
  <c r="B5" i="17" s="1"/>
  <c r="C4" i="17"/>
  <c r="B4" i="17" a="1"/>
  <c r="B4" i="17" s="1"/>
  <c r="C3" i="17"/>
  <c r="B3" i="17" a="1"/>
  <c r="B3" i="17" s="1"/>
  <c r="J3" i="17" s="1"/>
  <c r="C53" i="23"/>
  <c r="D53" i="23" s="1"/>
  <c r="C52" i="23"/>
  <c r="D52" i="23" s="1"/>
  <c r="C51" i="23"/>
  <c r="D51" i="23" s="1"/>
  <c r="C50" i="23"/>
  <c r="C49" i="23"/>
  <c r="C48" i="23"/>
  <c r="C47" i="23"/>
  <c r="D47" i="23" s="1"/>
  <c r="C46" i="23"/>
  <c r="C45" i="23"/>
  <c r="D45" i="23" s="1"/>
  <c r="C44" i="23"/>
  <c r="D44" i="23" s="1"/>
  <c r="C43" i="23"/>
  <c r="C42" i="23"/>
  <c r="D42" i="23" s="1"/>
  <c r="C41" i="23"/>
  <c r="D41" i="23" s="1"/>
  <c r="C40" i="23"/>
  <c r="D40" i="23" s="1"/>
  <c r="C39" i="23"/>
  <c r="D39" i="23" s="1"/>
  <c r="C38" i="23"/>
  <c r="C37" i="23"/>
  <c r="C36" i="23"/>
  <c r="C35" i="23"/>
  <c r="D35" i="23" s="1"/>
  <c r="C34" i="23"/>
  <c r="C33" i="23"/>
  <c r="D33" i="23" s="1"/>
  <c r="C32" i="23"/>
  <c r="D32" i="23" s="1"/>
  <c r="C31" i="23"/>
  <c r="C30" i="23"/>
  <c r="D30" i="23" s="1"/>
  <c r="C29" i="23"/>
  <c r="D29" i="23" s="1"/>
  <c r="C28" i="23"/>
  <c r="D28" i="23" s="1"/>
  <c r="C27" i="23"/>
  <c r="D27" i="23" s="1"/>
  <c r="C26" i="23"/>
  <c r="C25" i="23"/>
  <c r="C24" i="23"/>
  <c r="C23" i="23"/>
  <c r="D23" i="23" s="1"/>
  <c r="C22" i="23"/>
  <c r="C21" i="23"/>
  <c r="D21" i="23" s="1"/>
  <c r="C20" i="23"/>
  <c r="D20" i="23" s="1"/>
  <c r="C19" i="23"/>
  <c r="C18" i="23"/>
  <c r="D18" i="23" s="1"/>
  <c r="C17" i="23"/>
  <c r="D17" i="23" s="1"/>
  <c r="C16" i="23"/>
  <c r="D16" i="23" s="1"/>
  <c r="C15" i="23"/>
  <c r="D15" i="23" s="1"/>
  <c r="C14" i="23"/>
  <c r="C13" i="23"/>
  <c r="C12" i="23"/>
  <c r="C11" i="23"/>
  <c r="D11" i="23" s="1"/>
  <c r="C10" i="23"/>
  <c r="C9" i="23"/>
  <c r="D9" i="23" s="1"/>
  <c r="C8" i="23"/>
  <c r="D8" i="23" s="1"/>
  <c r="C7" i="23"/>
  <c r="C6" i="23"/>
  <c r="D6" i="23" s="1"/>
  <c r="C5" i="23"/>
  <c r="D5" i="23" s="1"/>
  <c r="C4" i="23"/>
  <c r="D4" i="23" s="1"/>
  <c r="C3" i="23"/>
  <c r="D3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2" i="18" s="1" a="1"/>
  <c r="N32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N79" i="18" a="1"/>
  <c r="N79" i="18" s="1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5" i="18" s="1" a="1"/>
  <c r="N55" i="18" s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7" i="10" s="1" a="1"/>
  <c r="N87" i="10" s="1"/>
  <c r="N89" i="10" a="1"/>
  <c r="N89" i="10" s="1"/>
  <c r="C89" i="10"/>
  <c r="D89" i="10" s="1"/>
  <c r="P88" i="10"/>
  <c r="M88" i="10" s="1"/>
  <c r="N86" i="10" s="1" a="1"/>
  <c r="N86" i="10" s="1"/>
  <c r="N88" i="10" a="1"/>
  <c r="N88" i="10" s="1"/>
  <c r="C88" i="10"/>
  <c r="D88" i="10" s="1"/>
  <c r="P87" i="10"/>
  <c r="M87" i="10"/>
  <c r="N85" i="10" s="1" a="1"/>
  <c r="N85" i="10" s="1"/>
  <c r="C87" i="10"/>
  <c r="D87" i="10" s="1"/>
  <c r="P86" i="10"/>
  <c r="M86" i="10" s="1"/>
  <c r="N84" i="10" s="1" a="1"/>
  <c r="N84" i="10" s="1"/>
  <c r="C86" i="10"/>
  <c r="D86" i="10" s="1"/>
  <c r="P85" i="10"/>
  <c r="M85" i="10" s="1"/>
  <c r="N83" i="10" s="1" a="1"/>
  <c r="N83" i="10" s="1"/>
  <c r="C85" i="10"/>
  <c r="D85" i="10" s="1"/>
  <c r="P84" i="10"/>
  <c r="M84" i="10" s="1"/>
  <c r="N82" i="10" s="1" a="1"/>
  <c r="N82" i="10" s="1"/>
  <c r="C84" i="10"/>
  <c r="D84" i="10" s="1"/>
  <c r="P83" i="10"/>
  <c r="M83" i="10"/>
  <c r="N81" i="10" s="1" a="1"/>
  <c r="N81" i="10" s="1"/>
  <c r="C83" i="10"/>
  <c r="D83" i="10" s="1"/>
  <c r="P82" i="10"/>
  <c r="M82" i="10" s="1"/>
  <c r="N80" i="10" s="1" a="1"/>
  <c r="N80" i="10" s="1"/>
  <c r="C82" i="10"/>
  <c r="D82" i="10" s="1"/>
  <c r="P81" i="10"/>
  <c r="M81" i="10" s="1"/>
  <c r="N79" i="10" s="1" a="1"/>
  <c r="N79" i="10" s="1"/>
  <c r="C81" i="10"/>
  <c r="D81" i="10" s="1"/>
  <c r="P80" i="10"/>
  <c r="M80" i="10" s="1"/>
  <c r="N78" i="10" s="1" a="1"/>
  <c r="N78" i="10" s="1"/>
  <c r="C80" i="10"/>
  <c r="D80" i="10" s="1"/>
  <c r="P79" i="10"/>
  <c r="M79" i="10"/>
  <c r="N77" i="10" s="1" a="1"/>
  <c r="N77" i="10" s="1"/>
  <c r="C79" i="10"/>
  <c r="D79" i="10" s="1"/>
  <c r="P78" i="10"/>
  <c r="M78" i="10" s="1"/>
  <c r="N76" i="10" s="1" a="1"/>
  <c r="N76" i="10" s="1"/>
  <c r="C78" i="10"/>
  <c r="D78" i="10" s="1"/>
  <c r="P77" i="10"/>
  <c r="M77" i="10" s="1"/>
  <c r="N75" i="10" s="1" a="1"/>
  <c r="N75" i="10" s="1"/>
  <c r="C77" i="10"/>
  <c r="D77" i="10" s="1"/>
  <c r="P76" i="10"/>
  <c r="M76" i="10" s="1"/>
  <c r="N74" i="10" s="1" a="1"/>
  <c r="N74" i="10" s="1"/>
  <c r="C76" i="10"/>
  <c r="D76" i="10" s="1"/>
  <c r="P75" i="10"/>
  <c r="M75" i="10" s="1"/>
  <c r="N73" i="10" s="1" a="1"/>
  <c r="N73" i="10" s="1"/>
  <c r="C75" i="10"/>
  <c r="D75" i="10" s="1"/>
  <c r="P74" i="10"/>
  <c r="M74" i="10" s="1"/>
  <c r="N72" i="10" s="1" a="1"/>
  <c r="N72" i="10" s="1"/>
  <c r="C74" i="10"/>
  <c r="D74" i="10" s="1"/>
  <c r="P73" i="10"/>
  <c r="M73" i="10" s="1"/>
  <c r="N71" i="10" s="1" a="1"/>
  <c r="N71" i="10" s="1"/>
  <c r="C73" i="10"/>
  <c r="D73" i="10" s="1"/>
  <c r="P72" i="10"/>
  <c r="M72" i="10" s="1"/>
  <c r="N70" i="10" s="1" a="1"/>
  <c r="N70" i="10" s="1"/>
  <c r="C72" i="10"/>
  <c r="D72" i="10" s="1"/>
  <c r="P71" i="10"/>
  <c r="M71" i="10" s="1"/>
  <c r="N69" i="10" s="1" a="1"/>
  <c r="N69" i="10" s="1"/>
  <c r="C71" i="10"/>
  <c r="D71" i="10" s="1"/>
  <c r="P70" i="10"/>
  <c r="M70" i="10" s="1"/>
  <c r="N68" i="10" s="1" a="1"/>
  <c r="N68" i="10" s="1"/>
  <c r="C70" i="10"/>
  <c r="D70" i="10" s="1"/>
  <c r="P69" i="10"/>
  <c r="M69" i="10" s="1"/>
  <c r="N67" i="10" s="1" a="1"/>
  <c r="N67" i="10" s="1"/>
  <c r="C69" i="10"/>
  <c r="D69" i="10" s="1"/>
  <c r="P68" i="10"/>
  <c r="M68" i="10" s="1"/>
  <c r="N66" i="10" s="1" a="1"/>
  <c r="N66" i="10" s="1"/>
  <c r="C68" i="10"/>
  <c r="D68" i="10" s="1"/>
  <c r="P67" i="10"/>
  <c r="M67" i="10" s="1"/>
  <c r="N65" i="10" s="1" a="1"/>
  <c r="N65" i="10" s="1"/>
  <c r="C67" i="10"/>
  <c r="D67" i="10" s="1"/>
  <c r="P66" i="10"/>
  <c r="M66" i="10" s="1"/>
  <c r="N64" i="10" s="1" a="1"/>
  <c r="N64" i="10" s="1"/>
  <c r="C66" i="10"/>
  <c r="D66" i="10" s="1"/>
  <c r="P65" i="10"/>
  <c r="M65" i="10" s="1"/>
  <c r="N63" i="10" s="1" a="1"/>
  <c r="N63" i="10" s="1"/>
  <c r="C65" i="10"/>
  <c r="D65" i="10" s="1"/>
  <c r="P64" i="10"/>
  <c r="M64" i="10" s="1"/>
  <c r="N62" i="10" s="1" a="1"/>
  <c r="N62" i="10" s="1"/>
  <c r="C64" i="10"/>
  <c r="D64" i="10" s="1"/>
  <c r="P63" i="10"/>
  <c r="M63" i="10" s="1"/>
  <c r="N61" i="10" s="1" a="1"/>
  <c r="N61" i="10" s="1"/>
  <c r="C63" i="10"/>
  <c r="D63" i="10" s="1"/>
  <c r="P62" i="10"/>
  <c r="M62" i="10" s="1"/>
  <c r="N60" i="10" s="1" a="1"/>
  <c r="N60" i="10" s="1"/>
  <c r="C62" i="10"/>
  <c r="D62" i="10" s="1"/>
  <c r="P61" i="10"/>
  <c r="M61" i="10" s="1"/>
  <c r="N59" i="10" s="1" a="1"/>
  <c r="N59" i="10" s="1"/>
  <c r="C61" i="10"/>
  <c r="D61" i="10" s="1"/>
  <c r="P60" i="10"/>
  <c r="M60" i="10" s="1"/>
  <c r="N58" i="10" s="1" a="1"/>
  <c r="N58" i="10" s="1"/>
  <c r="C60" i="10"/>
  <c r="D60" i="10" s="1"/>
  <c r="P59" i="10"/>
  <c r="M59" i="10"/>
  <c r="N57" i="10" s="1" a="1"/>
  <c r="N57" i="10" s="1"/>
  <c r="C59" i="10"/>
  <c r="D59" i="10" s="1"/>
  <c r="P58" i="10"/>
  <c r="M58" i="10" s="1"/>
  <c r="N56" i="10" s="1" a="1"/>
  <c r="N56" i="10" s="1"/>
  <c r="C58" i="10"/>
  <c r="D58" i="10" s="1"/>
  <c r="P57" i="10"/>
  <c r="M57" i="10" s="1"/>
  <c r="N55" i="10" s="1" a="1"/>
  <c r="N55" i="10" s="1"/>
  <c r="C57" i="10"/>
  <c r="D57" i="10" s="1"/>
  <c r="P56" i="10"/>
  <c r="M56" i="10" s="1"/>
  <c r="N54" i="10" s="1" a="1"/>
  <c r="N54" i="10" s="1"/>
  <c r="C56" i="10"/>
  <c r="D56" i="10" s="1"/>
  <c r="P55" i="10"/>
  <c r="M55" i="10" s="1"/>
  <c r="N53" i="10" s="1" a="1"/>
  <c r="N53" i="10" s="1"/>
  <c r="C55" i="10"/>
  <c r="D55" i="10" s="1"/>
  <c r="P54" i="10"/>
  <c r="M54" i="10" s="1"/>
  <c r="N52" i="10" s="1" a="1"/>
  <c r="N52" i="10" s="1"/>
  <c r="C54" i="10"/>
  <c r="D54" i="10" s="1"/>
  <c r="P53" i="10"/>
  <c r="M53" i="10"/>
  <c r="N51" i="10" s="1" a="1"/>
  <c r="N51" i="10" s="1"/>
  <c r="C53" i="10"/>
  <c r="D53" i="10" s="1"/>
  <c r="P52" i="10"/>
  <c r="M52" i="10" s="1"/>
  <c r="N50" i="10" s="1" a="1"/>
  <c r="N50" i="10" s="1"/>
  <c r="C52" i="10"/>
  <c r="D52" i="10" s="1"/>
  <c r="P51" i="10"/>
  <c r="M51" i="10"/>
  <c r="N49" i="10" s="1" a="1"/>
  <c r="N49" i="10" s="1"/>
  <c r="C51" i="10"/>
  <c r="D51" i="10" s="1"/>
  <c r="P50" i="10"/>
  <c r="M50" i="10" s="1"/>
  <c r="N48" i="10" s="1" a="1"/>
  <c r="N48" i="10" s="1"/>
  <c r="C50" i="10"/>
  <c r="D50" i="10" s="1"/>
  <c r="P49" i="10"/>
  <c r="M49" i="10" s="1"/>
  <c r="N47" i="10" s="1" a="1"/>
  <c r="N47" i="10" s="1"/>
  <c r="C49" i="10"/>
  <c r="D49" i="10" s="1"/>
  <c r="P48" i="10"/>
  <c r="M48" i="10" s="1"/>
  <c r="N46" i="10" s="1" a="1"/>
  <c r="N46" i="10" s="1"/>
  <c r="C48" i="10"/>
  <c r="D48" i="10" s="1"/>
  <c r="P47" i="10"/>
  <c r="M47" i="10"/>
  <c r="N45" i="10" s="1" a="1"/>
  <c r="N45" i="10" s="1"/>
  <c r="C47" i="10"/>
  <c r="D47" i="10" s="1"/>
  <c r="P46" i="10"/>
  <c r="M46" i="10" s="1"/>
  <c r="N44" i="10" s="1" a="1"/>
  <c r="N44" i="10" s="1"/>
  <c r="C46" i="10"/>
  <c r="D46" i="10" s="1"/>
  <c r="P45" i="10"/>
  <c r="M45" i="10" s="1"/>
  <c r="N43" i="10" s="1" a="1"/>
  <c r="N43" i="10" s="1"/>
  <c r="C45" i="10"/>
  <c r="D45" i="10" s="1"/>
  <c r="P44" i="10"/>
  <c r="M44" i="10" s="1"/>
  <c r="N42" i="10" s="1" a="1"/>
  <c r="N42" i="10" s="1"/>
  <c r="C44" i="10"/>
  <c r="D44" i="10" s="1"/>
  <c r="P43" i="10"/>
  <c r="M43" i="10" s="1"/>
  <c r="N41" i="10" s="1" a="1"/>
  <c r="N41" i="10" s="1"/>
  <c r="C43" i="10"/>
  <c r="D43" i="10" s="1"/>
  <c r="P42" i="10"/>
  <c r="M42" i="10" s="1"/>
  <c r="N40" i="10" s="1" a="1"/>
  <c r="N40" i="10" s="1"/>
  <c r="C42" i="10"/>
  <c r="D42" i="10" s="1"/>
  <c r="P41" i="10"/>
  <c r="M41" i="10" s="1"/>
  <c r="N39" i="10" s="1" a="1"/>
  <c r="N39" i="10" s="1"/>
  <c r="C41" i="10"/>
  <c r="D41" i="10" s="1"/>
  <c r="P40" i="10"/>
  <c r="M40" i="10" s="1"/>
  <c r="N38" i="10" s="1" a="1"/>
  <c r="N38" i="10" s="1"/>
  <c r="C40" i="10"/>
  <c r="D40" i="10" s="1"/>
  <c r="P39" i="10"/>
  <c r="M39" i="10" s="1"/>
  <c r="N37" i="10" s="1" a="1"/>
  <c r="N37" i="10" s="1"/>
  <c r="C39" i="10"/>
  <c r="D39" i="10" s="1"/>
  <c r="P38" i="10"/>
  <c r="M38" i="10" s="1"/>
  <c r="N36" i="10" s="1" a="1"/>
  <c r="N36" i="10" s="1"/>
  <c r="C38" i="10"/>
  <c r="D38" i="10" s="1"/>
  <c r="P37" i="10"/>
  <c r="M37" i="10" s="1"/>
  <c r="N35" i="10" s="1" a="1"/>
  <c r="N35" i="10" s="1"/>
  <c r="C37" i="10"/>
  <c r="D37" i="10" s="1"/>
  <c r="P36" i="10"/>
  <c r="M36" i="10" s="1"/>
  <c r="N34" i="10" s="1" a="1"/>
  <c r="N34" i="10" s="1"/>
  <c r="C36" i="10"/>
  <c r="D36" i="10" s="1"/>
  <c r="P35" i="10"/>
  <c r="M35" i="10"/>
  <c r="N33" i="10" s="1" a="1"/>
  <c r="N33" i="10" s="1"/>
  <c r="C35" i="10"/>
  <c r="D35" i="10" s="1"/>
  <c r="P34" i="10"/>
  <c r="M34" i="10" s="1"/>
  <c r="N32" i="10" s="1" a="1"/>
  <c r="N32" i="10" s="1"/>
  <c r="C34" i="10"/>
  <c r="D34" i="10" s="1"/>
  <c r="P33" i="10"/>
  <c r="M33" i="10" s="1"/>
  <c r="N31" i="10" s="1" a="1"/>
  <c r="N31" i="10" s="1"/>
  <c r="C33" i="10"/>
  <c r="D33" i="10" s="1"/>
  <c r="P32" i="10"/>
  <c r="M32" i="10" s="1"/>
  <c r="N30" i="10" s="1" a="1"/>
  <c r="N30" i="10" s="1"/>
  <c r="C32" i="10"/>
  <c r="D32" i="10" s="1"/>
  <c r="P31" i="10"/>
  <c r="M31" i="10"/>
  <c r="N29" i="10" s="1" a="1"/>
  <c r="N29" i="10" s="1"/>
  <c r="C31" i="10"/>
  <c r="D31" i="10" s="1"/>
  <c r="P30" i="10"/>
  <c r="M30" i="10" s="1"/>
  <c r="N28" i="10" s="1" a="1"/>
  <c r="N28" i="10" s="1"/>
  <c r="C30" i="10"/>
  <c r="D30" i="10" s="1"/>
  <c r="P29" i="10"/>
  <c r="M29" i="10" s="1"/>
  <c r="N27" i="10" s="1" a="1"/>
  <c r="N27" i="10" s="1"/>
  <c r="C29" i="10"/>
  <c r="D29" i="10" s="1"/>
  <c r="P28" i="10"/>
  <c r="M28" i="10" s="1"/>
  <c r="N26" i="10" s="1" a="1"/>
  <c r="N26" i="10" s="1"/>
  <c r="C28" i="10"/>
  <c r="D28" i="10" s="1"/>
  <c r="P27" i="10"/>
  <c r="M27" i="10" s="1"/>
  <c r="N25" i="10" s="1" a="1"/>
  <c r="N25" i="10" s="1"/>
  <c r="C27" i="10"/>
  <c r="D27" i="10" s="1"/>
  <c r="P26" i="10"/>
  <c r="M26" i="10" s="1"/>
  <c r="N24" i="10" s="1" a="1"/>
  <c r="N24" i="10" s="1"/>
  <c r="C26" i="10"/>
  <c r="D26" i="10" s="1"/>
  <c r="P25" i="10"/>
  <c r="M25" i="10" s="1"/>
  <c r="N23" i="10" s="1" a="1"/>
  <c r="N23" i="10" s="1"/>
  <c r="C25" i="10"/>
  <c r="D25" i="10" s="1"/>
  <c r="P24" i="10"/>
  <c r="M24" i="10" s="1"/>
  <c r="N22" i="10" s="1" a="1"/>
  <c r="N22" i="10" s="1"/>
  <c r="C24" i="10"/>
  <c r="D24" i="10" s="1"/>
  <c r="P23" i="10"/>
  <c r="M23" i="10" s="1"/>
  <c r="N21" i="10" s="1" a="1"/>
  <c r="N21" i="10" s="1"/>
  <c r="C23" i="10"/>
  <c r="D23" i="10" s="1"/>
  <c r="P22" i="10"/>
  <c r="M22" i="10" s="1"/>
  <c r="N20" i="10" s="1" a="1"/>
  <c r="N20" i="10" s="1"/>
  <c r="C22" i="10"/>
  <c r="D22" i="10" s="1"/>
  <c r="P21" i="10"/>
  <c r="M21" i="10" s="1"/>
  <c r="N19" i="10" s="1" a="1"/>
  <c r="N19" i="10" s="1"/>
  <c r="C21" i="10"/>
  <c r="D21" i="10" s="1"/>
  <c r="P20" i="10"/>
  <c r="M20" i="10" s="1"/>
  <c r="N18" i="10" s="1" a="1"/>
  <c r="N18" i="10" s="1"/>
  <c r="C20" i="10"/>
  <c r="D20" i="10" s="1"/>
  <c r="P19" i="10"/>
  <c r="M19" i="10" s="1"/>
  <c r="N17" i="10" s="1" a="1"/>
  <c r="N17" i="10" s="1"/>
  <c r="C19" i="10"/>
  <c r="D19" i="10" s="1"/>
  <c r="P18" i="10"/>
  <c r="M18" i="10" s="1"/>
  <c r="N16" i="10" s="1" a="1"/>
  <c r="N16" i="10" s="1"/>
  <c r="C18" i="10"/>
  <c r="D18" i="10" s="1"/>
  <c r="P17" i="10"/>
  <c r="M17" i="10" s="1"/>
  <c r="N15" i="10" s="1" a="1"/>
  <c r="N15" i="10" s="1"/>
  <c r="C17" i="10"/>
  <c r="D17" i="10" s="1"/>
  <c r="BA16" i="10"/>
  <c r="BB16" i="10" s="1"/>
  <c r="P16" i="10"/>
  <c r="M16" i="10" s="1"/>
  <c r="N14" i="10" s="1" a="1"/>
  <c r="N14" i="10" s="1"/>
  <c r="C16" i="10"/>
  <c r="D16" i="10" s="1"/>
  <c r="BA15" i="10"/>
  <c r="BB15" i="10" s="1"/>
  <c r="P15" i="10"/>
  <c r="M15" i="10" s="1"/>
  <c r="N13" i="10" s="1" a="1"/>
  <c r="N13" i="10" s="1"/>
  <c r="C15" i="10"/>
  <c r="D15" i="10" s="1"/>
  <c r="BA14" i="10"/>
  <c r="BB14" i="10" s="1"/>
  <c r="P14" i="10"/>
  <c r="M14" i="10" s="1"/>
  <c r="N12" i="10" s="1" a="1"/>
  <c r="N12" i="10" s="1"/>
  <c r="C14" i="10"/>
  <c r="D14" i="10" s="1"/>
  <c r="BA13" i="10"/>
  <c r="BB13" i="10" s="1"/>
  <c r="P13" i="10"/>
  <c r="M13" i="10" s="1"/>
  <c r="N11" i="10" s="1" a="1"/>
  <c r="N11" i="10" s="1"/>
  <c r="C13" i="10"/>
  <c r="D13" i="10" s="1"/>
  <c r="BA12" i="10"/>
  <c r="BB12" i="10" s="1"/>
  <c r="P12" i="10"/>
  <c r="M12" i="10" s="1"/>
  <c r="N10" i="10" s="1" a="1"/>
  <c r="N10" i="10" s="1"/>
  <c r="C12" i="10"/>
  <c r="D12" i="10" s="1"/>
  <c r="BA11" i="10"/>
  <c r="BB11" i="10" s="1"/>
  <c r="P11" i="10"/>
  <c r="M11" i="10"/>
  <c r="N9" i="10" s="1" a="1"/>
  <c r="N9" i="10" s="1"/>
  <c r="C11" i="10"/>
  <c r="D11" i="10" s="1"/>
  <c r="BA10" i="10"/>
  <c r="BB10" i="10" s="1"/>
  <c r="P10" i="10"/>
  <c r="M10" i="10" s="1"/>
  <c r="BA9" i="10"/>
  <c r="BB9" i="10" s="1"/>
  <c r="P9" i="10"/>
  <c r="M9" i="10" s="1"/>
  <c r="P89" i="3"/>
  <c r="N89" i="3"/>
  <c r="N89" i="3" a="1"/>
  <c r="M89" i="3"/>
  <c r="P88" i="3"/>
  <c r="N88" i="3"/>
  <c r="N88" i="3" a="1"/>
  <c r="M88" i="3"/>
  <c r="P87" i="3"/>
  <c r="N87" i="3"/>
  <c r="N87" i="3" a="1"/>
  <c r="M87" i="3"/>
  <c r="P86" i="3"/>
  <c r="N86" i="3"/>
  <c r="N86" i="3" a="1"/>
  <c r="M86" i="3"/>
  <c r="P85" i="3"/>
  <c r="N85" i="3"/>
  <c r="N85" i="3" a="1"/>
  <c r="M85" i="3"/>
  <c r="D85" i="3"/>
  <c r="C85" i="3"/>
  <c r="B85" i="3"/>
  <c r="A85" i="3"/>
  <c r="P84" i="3"/>
  <c r="N84" i="3"/>
  <c r="N84" i="3" a="1"/>
  <c r="M84" i="3"/>
  <c r="D84" i="3"/>
  <c r="C84" i="3"/>
  <c r="B84" i="3"/>
  <c r="A84" i="3"/>
  <c r="P83" i="3"/>
  <c r="N83" i="3"/>
  <c r="N83" i="3" a="1"/>
  <c r="M83" i="3"/>
  <c r="D83" i="3"/>
  <c r="C83" i="3"/>
  <c r="B83" i="3"/>
  <c r="A83" i="3"/>
  <c r="P82" i="3"/>
  <c r="N82" i="3"/>
  <c r="N82" i="3" a="1"/>
  <c r="M82" i="3"/>
  <c r="D82" i="3"/>
  <c r="C82" i="3"/>
  <c r="B82" i="3"/>
  <c r="A82" i="3"/>
  <c r="P81" i="3"/>
  <c r="N81" i="3"/>
  <c r="N81" i="3" a="1"/>
  <c r="M81" i="3"/>
  <c r="D81" i="3"/>
  <c r="C81" i="3"/>
  <c r="B81" i="3"/>
  <c r="A81" i="3"/>
  <c r="P80" i="3"/>
  <c r="N80" i="3"/>
  <c r="N80" i="3" a="1"/>
  <c r="M80" i="3"/>
  <c r="D80" i="3"/>
  <c r="C80" i="3"/>
  <c r="B80" i="3"/>
  <c r="A80" i="3"/>
  <c r="P79" i="3"/>
  <c r="N79" i="3"/>
  <c r="N79" i="3" a="1"/>
  <c r="M79" i="3"/>
  <c r="D79" i="3"/>
  <c r="C79" i="3"/>
  <c r="B79" i="3"/>
  <c r="A79" i="3"/>
  <c r="P78" i="3"/>
  <c r="N78" i="3"/>
  <c r="N78" i="3" a="1"/>
  <c r="M78" i="3"/>
  <c r="D78" i="3"/>
  <c r="C78" i="3"/>
  <c r="B78" i="3"/>
  <c r="A78" i="3"/>
  <c r="P77" i="3"/>
  <c r="N77" i="3"/>
  <c r="N77" i="3" a="1"/>
  <c r="M77" i="3"/>
  <c r="D77" i="3"/>
  <c r="C77" i="3"/>
  <c r="B77" i="3"/>
  <c r="A77" i="3"/>
  <c r="P76" i="3"/>
  <c r="N76" i="3"/>
  <c r="N76" i="3" a="1"/>
  <c r="M76" i="3"/>
  <c r="D76" i="3"/>
  <c r="C76" i="3"/>
  <c r="B76" i="3"/>
  <c r="A76" i="3"/>
  <c r="P75" i="3"/>
  <c r="N75" i="3"/>
  <c r="N75" i="3" a="1"/>
  <c r="M75" i="3"/>
  <c r="D75" i="3"/>
  <c r="C75" i="3"/>
  <c r="B75" i="3"/>
  <c r="A75" i="3"/>
  <c r="P74" i="3"/>
  <c r="N74" i="3"/>
  <c r="N74" i="3" a="1"/>
  <c r="M74" i="3"/>
  <c r="D74" i="3"/>
  <c r="C74" i="3"/>
  <c r="B74" i="3"/>
  <c r="A74" i="3"/>
  <c r="P73" i="3"/>
  <c r="N73" i="3"/>
  <c r="N73" i="3" a="1"/>
  <c r="M73" i="3"/>
  <c r="D73" i="3"/>
  <c r="C73" i="3"/>
  <c r="B73" i="3"/>
  <c r="A73" i="3"/>
  <c r="P72" i="3"/>
  <c r="N72" i="3"/>
  <c r="N72" i="3" a="1"/>
  <c r="M72" i="3"/>
  <c r="D72" i="3"/>
  <c r="C72" i="3"/>
  <c r="B72" i="3"/>
  <c r="A72" i="3"/>
  <c r="P71" i="3"/>
  <c r="N71" i="3"/>
  <c r="N71" i="3" a="1"/>
  <c r="M71" i="3"/>
  <c r="D71" i="3"/>
  <c r="C71" i="3"/>
  <c r="B71" i="3"/>
  <c r="A71" i="3"/>
  <c r="P70" i="3"/>
  <c r="N70" i="3"/>
  <c r="N70" i="3" a="1"/>
  <c r="M70" i="3"/>
  <c r="D70" i="3"/>
  <c r="C70" i="3"/>
  <c r="B70" i="3"/>
  <c r="A70" i="3"/>
  <c r="P69" i="3"/>
  <c r="N69" i="3"/>
  <c r="N69" i="3" a="1"/>
  <c r="M69" i="3"/>
  <c r="D69" i="3"/>
  <c r="C69" i="3"/>
  <c r="B69" i="3"/>
  <c r="A69" i="3"/>
  <c r="P68" i="3"/>
  <c r="N68" i="3"/>
  <c r="N68" i="3" a="1"/>
  <c r="M68" i="3"/>
  <c r="D68" i="3"/>
  <c r="C68" i="3"/>
  <c r="B68" i="3"/>
  <c r="A68" i="3"/>
  <c r="P67" i="3"/>
  <c r="N67" i="3"/>
  <c r="N67" i="3" a="1"/>
  <c r="M67" i="3"/>
  <c r="D67" i="3"/>
  <c r="C67" i="3"/>
  <c r="B67" i="3"/>
  <c r="A67" i="3"/>
  <c r="P66" i="3"/>
  <c r="N66" i="3"/>
  <c r="N66" i="3" a="1"/>
  <c r="M66" i="3"/>
  <c r="D66" i="3"/>
  <c r="C66" i="3"/>
  <c r="B66" i="3"/>
  <c r="A66" i="3"/>
  <c r="P65" i="3"/>
  <c r="N65" i="3"/>
  <c r="N65" i="3" a="1"/>
  <c r="M65" i="3"/>
  <c r="D65" i="3"/>
  <c r="C65" i="3"/>
  <c r="B65" i="3"/>
  <c r="A65" i="3"/>
  <c r="P64" i="3"/>
  <c r="N64" i="3"/>
  <c r="N64" i="3" a="1"/>
  <c r="M64" i="3"/>
  <c r="D64" i="3"/>
  <c r="C64" i="3"/>
  <c r="B64" i="3"/>
  <c r="A64" i="3"/>
  <c r="P63" i="3"/>
  <c r="N63" i="3"/>
  <c r="N63" i="3" a="1"/>
  <c r="M63" i="3"/>
  <c r="D63" i="3"/>
  <c r="C63" i="3"/>
  <c r="B63" i="3"/>
  <c r="A63" i="3"/>
  <c r="P62" i="3"/>
  <c r="N62" i="3"/>
  <c r="N62" i="3" a="1"/>
  <c r="M62" i="3"/>
  <c r="D62" i="3"/>
  <c r="C62" i="3"/>
  <c r="B62" i="3"/>
  <c r="A62" i="3"/>
  <c r="P61" i="3"/>
  <c r="N61" i="3"/>
  <c r="N61" i="3" a="1"/>
  <c r="M61" i="3"/>
  <c r="D61" i="3"/>
  <c r="C61" i="3"/>
  <c r="B61" i="3"/>
  <c r="A61" i="3"/>
  <c r="P60" i="3"/>
  <c r="N60" i="3"/>
  <c r="N60" i="3" a="1"/>
  <c r="M60" i="3"/>
  <c r="D60" i="3"/>
  <c r="C60" i="3"/>
  <c r="B60" i="3"/>
  <c r="A60" i="3"/>
  <c r="P59" i="3"/>
  <c r="N59" i="3"/>
  <c r="N59" i="3" a="1"/>
  <c r="M59" i="3"/>
  <c r="D59" i="3"/>
  <c r="C59" i="3"/>
  <c r="B59" i="3"/>
  <c r="A59" i="3"/>
  <c r="P58" i="3"/>
  <c r="N58" i="3"/>
  <c r="N58" i="3" a="1"/>
  <c r="M58" i="3"/>
  <c r="D58" i="3"/>
  <c r="C58" i="3"/>
  <c r="B58" i="3"/>
  <c r="A58" i="3"/>
  <c r="P57" i="3"/>
  <c r="N57" i="3"/>
  <c r="N57" i="3" a="1"/>
  <c r="M57" i="3"/>
  <c r="D57" i="3"/>
  <c r="C57" i="3"/>
  <c r="B57" i="3"/>
  <c r="A57" i="3"/>
  <c r="P56" i="3"/>
  <c r="N56" i="3"/>
  <c r="N56" i="3" a="1"/>
  <c r="M56" i="3"/>
  <c r="D56" i="3"/>
  <c r="C56" i="3"/>
  <c r="B56" i="3"/>
  <c r="A56" i="3"/>
  <c r="P55" i="3"/>
  <c r="N55" i="3"/>
  <c r="N55" i="3" a="1"/>
  <c r="M55" i="3"/>
  <c r="D55" i="3"/>
  <c r="C55" i="3"/>
  <c r="B55" i="3"/>
  <c r="A55" i="3"/>
  <c r="P54" i="3"/>
  <c r="N54" i="3"/>
  <c r="N54" i="3" a="1"/>
  <c r="M54" i="3"/>
  <c r="D54" i="3"/>
  <c r="C54" i="3"/>
  <c r="B54" i="3"/>
  <c r="A54" i="3"/>
  <c r="P53" i="3"/>
  <c r="N53" i="3"/>
  <c r="N53" i="3" a="1"/>
  <c r="M53" i="3"/>
  <c r="D53" i="3"/>
  <c r="C53" i="3"/>
  <c r="B53" i="3"/>
  <c r="A53" i="3"/>
  <c r="P52" i="3"/>
  <c r="N52" i="3"/>
  <c r="N52" i="3" a="1"/>
  <c r="M52" i="3"/>
  <c r="D52" i="3"/>
  <c r="C52" i="3"/>
  <c r="B52" i="3"/>
  <c r="A52" i="3"/>
  <c r="P51" i="3"/>
  <c r="N51" i="3"/>
  <c r="N51" i="3" a="1"/>
  <c r="M51" i="3"/>
  <c r="D51" i="3"/>
  <c r="C51" i="3"/>
  <c r="B51" i="3"/>
  <c r="A51" i="3"/>
  <c r="P50" i="3"/>
  <c r="N50" i="3"/>
  <c r="N50" i="3" a="1"/>
  <c r="M50" i="3"/>
  <c r="D50" i="3"/>
  <c r="C50" i="3"/>
  <c r="B50" i="3"/>
  <c r="A50" i="3"/>
  <c r="P49" i="3"/>
  <c r="N49" i="3"/>
  <c r="N49" i="3" a="1"/>
  <c r="M49" i="3"/>
  <c r="D49" i="3"/>
  <c r="C49" i="3"/>
  <c r="B49" i="3"/>
  <c r="A49" i="3"/>
  <c r="P48" i="3"/>
  <c r="N48" i="3"/>
  <c r="N48" i="3" a="1"/>
  <c r="M48" i="3"/>
  <c r="D48" i="3"/>
  <c r="C48" i="3"/>
  <c r="B48" i="3"/>
  <c r="A48" i="3"/>
  <c r="P47" i="3"/>
  <c r="N47" i="3"/>
  <c r="N47" i="3" a="1"/>
  <c r="M47" i="3"/>
  <c r="D47" i="3"/>
  <c r="C47" i="3"/>
  <c r="B47" i="3"/>
  <c r="A47" i="3"/>
  <c r="P46" i="3"/>
  <c r="N46" i="3"/>
  <c r="N46" i="3" a="1"/>
  <c r="M46" i="3"/>
  <c r="D46" i="3"/>
  <c r="C46" i="3"/>
  <c r="B46" i="3"/>
  <c r="A46" i="3"/>
  <c r="P45" i="3"/>
  <c r="N45" i="3"/>
  <c r="N45" i="3" a="1"/>
  <c r="M45" i="3"/>
  <c r="D45" i="3"/>
  <c r="C45" i="3"/>
  <c r="B45" i="3"/>
  <c r="A45" i="3"/>
  <c r="P44" i="3"/>
  <c r="N44" i="3"/>
  <c r="N44" i="3" a="1"/>
  <c r="M44" i="3"/>
  <c r="D44" i="3"/>
  <c r="C44" i="3"/>
  <c r="B44" i="3"/>
  <c r="A44" i="3"/>
  <c r="P43" i="3"/>
  <c r="N43" i="3"/>
  <c r="N43" i="3" a="1"/>
  <c r="M43" i="3"/>
  <c r="D43" i="3"/>
  <c r="C43" i="3"/>
  <c r="B43" i="3"/>
  <c r="A43" i="3"/>
  <c r="P42" i="3"/>
  <c r="N42" i="3"/>
  <c r="N42" i="3" a="1"/>
  <c r="M42" i="3"/>
  <c r="D42" i="3"/>
  <c r="C42" i="3"/>
  <c r="B42" i="3"/>
  <c r="A42" i="3"/>
  <c r="P41" i="3"/>
  <c r="N41" i="3"/>
  <c r="N41" i="3" a="1"/>
  <c r="M41" i="3"/>
  <c r="D41" i="3"/>
  <c r="C41" i="3"/>
  <c r="B41" i="3"/>
  <c r="A41" i="3"/>
  <c r="P40" i="3"/>
  <c r="N40" i="3"/>
  <c r="N40" i="3" a="1"/>
  <c r="M40" i="3"/>
  <c r="D40" i="3"/>
  <c r="C40" i="3"/>
  <c r="B40" i="3"/>
  <c r="A40" i="3"/>
  <c r="P39" i="3"/>
  <c r="N39" i="3"/>
  <c r="N39" i="3" a="1"/>
  <c r="M39" i="3"/>
  <c r="D39" i="3"/>
  <c r="C39" i="3"/>
  <c r="B39" i="3"/>
  <c r="A39" i="3"/>
  <c r="P38" i="3"/>
  <c r="N38" i="3"/>
  <c r="N38" i="3" a="1"/>
  <c r="M38" i="3"/>
  <c r="D38" i="3"/>
  <c r="C38" i="3"/>
  <c r="B38" i="3"/>
  <c r="A38" i="3"/>
  <c r="P37" i="3"/>
  <c r="N37" i="3"/>
  <c r="N37" i="3" a="1"/>
  <c r="M37" i="3"/>
  <c r="D37" i="3"/>
  <c r="C37" i="3"/>
  <c r="B37" i="3"/>
  <c r="A37" i="3"/>
  <c r="P36" i="3"/>
  <c r="N36" i="3"/>
  <c r="N36" i="3" a="1"/>
  <c r="M36" i="3"/>
  <c r="D36" i="3"/>
  <c r="C36" i="3"/>
  <c r="B36" i="3"/>
  <c r="A36" i="3"/>
  <c r="P35" i="3"/>
  <c r="N35" i="3"/>
  <c r="N35" i="3" a="1"/>
  <c r="M35" i="3"/>
  <c r="D35" i="3"/>
  <c r="C35" i="3"/>
  <c r="B35" i="3"/>
  <c r="A35" i="3"/>
  <c r="P34" i="3"/>
  <c r="N34" i="3"/>
  <c r="N34" i="3" a="1"/>
  <c r="M34" i="3"/>
  <c r="D34" i="3"/>
  <c r="C34" i="3"/>
  <c r="B34" i="3"/>
  <c r="A34" i="3"/>
  <c r="P33" i="3"/>
  <c r="N33" i="3"/>
  <c r="N33" i="3" a="1"/>
  <c r="M33" i="3"/>
  <c r="D33" i="3"/>
  <c r="C33" i="3"/>
  <c r="B33" i="3"/>
  <c r="A33" i="3"/>
  <c r="P32" i="3"/>
  <c r="N32" i="3"/>
  <c r="N32" i="3" a="1"/>
  <c r="M32" i="3"/>
  <c r="D32" i="3"/>
  <c r="C32" i="3"/>
  <c r="B32" i="3"/>
  <c r="A32" i="3"/>
  <c r="P31" i="3"/>
  <c r="N31" i="3"/>
  <c r="N31" i="3" a="1"/>
  <c r="M31" i="3"/>
  <c r="D31" i="3"/>
  <c r="C31" i="3"/>
  <c r="B31" i="3"/>
  <c r="A31" i="3"/>
  <c r="P30" i="3"/>
  <c r="N30" i="3"/>
  <c r="N30" i="3" a="1"/>
  <c r="M30" i="3"/>
  <c r="D30" i="3"/>
  <c r="C30" i="3"/>
  <c r="B30" i="3"/>
  <c r="A30" i="3"/>
  <c r="P29" i="3"/>
  <c r="N29" i="3"/>
  <c r="N29" i="3" a="1"/>
  <c r="M29" i="3"/>
  <c r="D29" i="3"/>
  <c r="C29" i="3"/>
  <c r="B29" i="3"/>
  <c r="A29" i="3"/>
  <c r="P28" i="3"/>
  <c r="N28" i="3"/>
  <c r="N28" i="3" a="1"/>
  <c r="M28" i="3"/>
  <c r="D28" i="3"/>
  <c r="C28" i="3"/>
  <c r="B28" i="3"/>
  <c r="A28" i="3"/>
  <c r="P27" i="3"/>
  <c r="N27" i="3"/>
  <c r="N27" i="3" a="1"/>
  <c r="M27" i="3"/>
  <c r="D27" i="3"/>
  <c r="C27" i="3"/>
  <c r="B27" i="3"/>
  <c r="A27" i="3"/>
  <c r="P26" i="3"/>
  <c r="N26" i="3"/>
  <c r="N26" i="3" a="1"/>
  <c r="M26" i="3"/>
  <c r="D26" i="3"/>
  <c r="C26" i="3"/>
  <c r="B26" i="3"/>
  <c r="A26" i="3"/>
  <c r="P25" i="3"/>
  <c r="N25" i="3"/>
  <c r="N25" i="3" a="1"/>
  <c r="M25" i="3"/>
  <c r="D25" i="3"/>
  <c r="C25" i="3"/>
  <c r="B25" i="3"/>
  <c r="A25" i="3"/>
  <c r="P24" i="3"/>
  <c r="N24" i="3"/>
  <c r="N24" i="3" a="1"/>
  <c r="M24" i="3"/>
  <c r="D24" i="3"/>
  <c r="C24" i="3"/>
  <c r="B24" i="3"/>
  <c r="A24" i="3"/>
  <c r="P23" i="3"/>
  <c r="N23" i="3"/>
  <c r="N23" i="3" a="1"/>
  <c r="M23" i="3"/>
  <c r="D23" i="3"/>
  <c r="C23" i="3"/>
  <c r="B23" i="3"/>
  <c r="A23" i="3"/>
  <c r="P22" i="3"/>
  <c r="N22" i="3"/>
  <c r="N22" i="3" a="1"/>
  <c r="M22" i="3"/>
  <c r="D22" i="3"/>
  <c r="C22" i="3"/>
  <c r="B22" i="3"/>
  <c r="A22" i="3"/>
  <c r="P21" i="3"/>
  <c r="N21" i="3"/>
  <c r="N21" i="3" a="1"/>
  <c r="M21" i="3"/>
  <c r="D21" i="3"/>
  <c r="C21" i="3"/>
  <c r="B21" i="3"/>
  <c r="A21" i="3"/>
  <c r="P20" i="3"/>
  <c r="N20" i="3"/>
  <c r="N20" i="3" a="1"/>
  <c r="M20" i="3"/>
  <c r="D20" i="3"/>
  <c r="C20" i="3"/>
  <c r="B20" i="3"/>
  <c r="A20" i="3"/>
  <c r="P19" i="3"/>
  <c r="N19" i="3"/>
  <c r="N19" i="3" a="1"/>
  <c r="M19" i="3"/>
  <c r="D19" i="3"/>
  <c r="C19" i="3"/>
  <c r="B19" i="3"/>
  <c r="A19" i="3"/>
  <c r="P18" i="3"/>
  <c r="N18" i="3"/>
  <c r="N18" i="3" a="1"/>
  <c r="M18" i="3"/>
  <c r="D18" i="3"/>
  <c r="C18" i="3"/>
  <c r="B18" i="3"/>
  <c r="A18" i="3"/>
  <c r="P17" i="3"/>
  <c r="N17" i="3"/>
  <c r="N17" i="3" a="1"/>
  <c r="M17" i="3"/>
  <c r="D17" i="3"/>
  <c r="C17" i="3"/>
  <c r="B17" i="3"/>
  <c r="A17" i="3"/>
  <c r="BB16" i="3"/>
  <c r="P16" i="3"/>
  <c r="N16" i="3"/>
  <c r="N16" i="3" a="1"/>
  <c r="M16" i="3"/>
  <c r="D16" i="3"/>
  <c r="C16" i="3"/>
  <c r="B16" i="3"/>
  <c r="A16" i="3"/>
  <c r="BB15" i="3"/>
  <c r="P15" i="3"/>
  <c r="N15" i="3"/>
  <c r="N15" i="3" a="1"/>
  <c r="M15" i="3"/>
  <c r="D15" i="3"/>
  <c r="C15" i="3"/>
  <c r="B15" i="3"/>
  <c r="A15" i="3"/>
  <c r="BB14" i="3"/>
  <c r="P14" i="3"/>
  <c r="N14" i="3"/>
  <c r="N14" i="3" a="1"/>
  <c r="M14" i="3"/>
  <c r="D14" i="3"/>
  <c r="C14" i="3"/>
  <c r="B14" i="3"/>
  <c r="A14" i="3"/>
  <c r="BB13" i="3"/>
  <c r="P13" i="3"/>
  <c r="N13" i="3"/>
  <c r="N13" i="3" a="1"/>
  <c r="M13" i="3"/>
  <c r="D13" i="3"/>
  <c r="C13" i="3"/>
  <c r="B13" i="3"/>
  <c r="A13" i="3"/>
  <c r="BB12" i="3"/>
  <c r="P12" i="3"/>
  <c r="N12" i="3"/>
  <c r="N12" i="3" a="1"/>
  <c r="M12" i="3"/>
  <c r="D12" i="3"/>
  <c r="C12" i="3"/>
  <c r="B12" i="3"/>
  <c r="A12" i="3"/>
  <c r="BB11" i="3"/>
  <c r="P11" i="3"/>
  <c r="N11" i="3"/>
  <c r="N11" i="3" a="1"/>
  <c r="M11" i="3"/>
  <c r="D11" i="3"/>
  <c r="C11" i="3"/>
  <c r="B11" i="3"/>
  <c r="A11" i="3"/>
  <c r="BB10" i="3"/>
  <c r="P10" i="3"/>
  <c r="N10" i="3"/>
  <c r="N10" i="3" a="1"/>
  <c r="M10" i="3"/>
  <c r="D10" i="3"/>
  <c r="C10" i="3"/>
  <c r="B10" i="3"/>
  <c r="A10" i="3"/>
  <c r="BB9" i="3"/>
  <c r="P9" i="3"/>
  <c r="N9" i="3"/>
  <c r="N9" i="3" a="1"/>
  <c r="M9" i="3"/>
  <c r="D9" i="3"/>
  <c r="C9" i="3"/>
  <c r="B9" i="3"/>
  <c r="A9" i="3"/>
  <c r="D8" i="3"/>
  <c r="C8" i="3"/>
  <c r="B8" i="3"/>
  <c r="A8" i="3"/>
  <c r="D7" i="3"/>
  <c r="C7" i="3"/>
  <c r="B7" i="3"/>
  <c r="A7" i="3"/>
  <c r="D6" i="3"/>
  <c r="C6" i="3"/>
  <c r="B6" i="3"/>
  <c r="A6" i="3"/>
  <c r="D5" i="3"/>
  <c r="C5" i="3"/>
  <c r="B5" i="3"/>
  <c r="A5" i="3"/>
  <c r="D4" i="3"/>
  <c r="C4" i="3"/>
  <c r="B4" i="3"/>
  <c r="A4" i="3"/>
  <c r="D3" i="3"/>
  <c r="C3" i="3"/>
  <c r="B3" i="3"/>
  <c r="A3" i="3"/>
  <c r="P83" i="11"/>
  <c r="N83" i="11"/>
  <c r="N83" i="11" a="1"/>
  <c r="M83" i="11"/>
  <c r="D83" i="11"/>
  <c r="C83" i="11"/>
  <c r="P82" i="11"/>
  <c r="N82" i="11"/>
  <c r="N82" i="11" a="1"/>
  <c r="M82" i="11"/>
  <c r="D82" i="11"/>
  <c r="C82" i="11"/>
  <c r="P81" i="11"/>
  <c r="N81" i="11"/>
  <c r="N81" i="11" a="1"/>
  <c r="M81" i="11"/>
  <c r="D81" i="11"/>
  <c r="C81" i="11"/>
  <c r="P80" i="11"/>
  <c r="N80" i="11"/>
  <c r="N80" i="11" a="1"/>
  <c r="M80" i="11"/>
  <c r="D80" i="11"/>
  <c r="C80" i="11"/>
  <c r="P79" i="11"/>
  <c r="N79" i="11"/>
  <c r="N79" i="11" a="1"/>
  <c r="M79" i="11"/>
  <c r="D79" i="11"/>
  <c r="C79" i="11"/>
  <c r="P78" i="11"/>
  <c r="N78" i="11"/>
  <c r="N78" i="11" a="1"/>
  <c r="M78" i="11"/>
  <c r="D78" i="11"/>
  <c r="C78" i="11"/>
  <c r="P77" i="11"/>
  <c r="N77" i="11"/>
  <c r="N77" i="11" a="1"/>
  <c r="M77" i="11"/>
  <c r="D77" i="11"/>
  <c r="C77" i="11"/>
  <c r="P76" i="11"/>
  <c r="N76" i="11"/>
  <c r="N76" i="11" a="1"/>
  <c r="M76" i="11"/>
  <c r="D76" i="11"/>
  <c r="C76" i="11"/>
  <c r="P75" i="11"/>
  <c r="N75" i="11"/>
  <c r="N75" i="11" a="1"/>
  <c r="M75" i="11"/>
  <c r="D75" i="11"/>
  <c r="C75" i="11"/>
  <c r="P74" i="11"/>
  <c r="N74" i="11"/>
  <c r="N74" i="11" a="1"/>
  <c r="M74" i="11"/>
  <c r="D74" i="11"/>
  <c r="C74" i="11"/>
  <c r="P73" i="11"/>
  <c r="N73" i="11"/>
  <c r="N73" i="11" a="1"/>
  <c r="M73" i="11"/>
  <c r="D73" i="11"/>
  <c r="C73" i="11"/>
  <c r="P72" i="11"/>
  <c r="N72" i="11"/>
  <c r="N72" i="11" a="1"/>
  <c r="M72" i="11"/>
  <c r="D72" i="11"/>
  <c r="C72" i="11"/>
  <c r="P71" i="11"/>
  <c r="N71" i="11"/>
  <c r="N71" i="11" a="1"/>
  <c r="M71" i="11"/>
  <c r="D71" i="11"/>
  <c r="C71" i="11"/>
  <c r="P70" i="11"/>
  <c r="N70" i="11"/>
  <c r="N70" i="11" a="1"/>
  <c r="M70" i="11"/>
  <c r="D70" i="11"/>
  <c r="C70" i="11"/>
  <c r="P69" i="11"/>
  <c r="N69" i="11"/>
  <c r="N69" i="11" a="1"/>
  <c r="M69" i="11"/>
  <c r="D69" i="11"/>
  <c r="C69" i="11"/>
  <c r="P68" i="11"/>
  <c r="N68" i="11"/>
  <c r="N68" i="11" a="1"/>
  <c r="M68" i="11"/>
  <c r="D68" i="11"/>
  <c r="C68" i="11"/>
  <c r="P67" i="11"/>
  <c r="N67" i="11"/>
  <c r="N67" i="11" a="1"/>
  <c r="M67" i="11"/>
  <c r="D67" i="11"/>
  <c r="C67" i="11"/>
  <c r="P66" i="11"/>
  <c r="N66" i="11"/>
  <c r="N66" i="11" a="1"/>
  <c r="M66" i="11"/>
  <c r="D66" i="11"/>
  <c r="C66" i="11"/>
  <c r="P65" i="11"/>
  <c r="N65" i="11"/>
  <c r="N65" i="11" a="1"/>
  <c r="M65" i="11"/>
  <c r="D65" i="11"/>
  <c r="C65" i="11"/>
  <c r="P64" i="11"/>
  <c r="N64" i="11"/>
  <c r="N64" i="11" a="1"/>
  <c r="M64" i="11"/>
  <c r="D64" i="11"/>
  <c r="C64" i="11"/>
  <c r="P63" i="11"/>
  <c r="N63" i="11"/>
  <c r="N63" i="11" a="1"/>
  <c r="M63" i="11"/>
  <c r="D63" i="11"/>
  <c r="C63" i="11"/>
  <c r="P62" i="11"/>
  <c r="N62" i="11"/>
  <c r="N62" i="11" a="1"/>
  <c r="M62" i="11"/>
  <c r="D62" i="11"/>
  <c r="C62" i="11"/>
  <c r="P61" i="11"/>
  <c r="N61" i="11"/>
  <c r="N61" i="11" a="1"/>
  <c r="M61" i="11"/>
  <c r="D61" i="11"/>
  <c r="C61" i="11"/>
  <c r="P60" i="11"/>
  <c r="N60" i="11"/>
  <c r="N60" i="11" a="1"/>
  <c r="M60" i="11"/>
  <c r="D60" i="11"/>
  <c r="C60" i="11"/>
  <c r="P59" i="11"/>
  <c r="N59" i="11"/>
  <c r="N59" i="11" a="1"/>
  <c r="M59" i="11"/>
  <c r="D59" i="11"/>
  <c r="C59" i="11"/>
  <c r="P58" i="11"/>
  <c r="N58" i="11"/>
  <c r="N58" i="11" a="1"/>
  <c r="M58" i="11"/>
  <c r="D58" i="11"/>
  <c r="C58" i="11"/>
  <c r="P57" i="11"/>
  <c r="N57" i="11"/>
  <c r="N57" i="11" a="1"/>
  <c r="M57" i="11"/>
  <c r="D57" i="11"/>
  <c r="C57" i="11"/>
  <c r="P56" i="11"/>
  <c r="N56" i="11"/>
  <c r="N56" i="11" a="1"/>
  <c r="M56" i="11"/>
  <c r="D56" i="11"/>
  <c r="C56" i="11"/>
  <c r="P55" i="11"/>
  <c r="N55" i="11"/>
  <c r="N55" i="11" a="1"/>
  <c r="M55" i="11"/>
  <c r="D55" i="11"/>
  <c r="C55" i="11"/>
  <c r="P54" i="11"/>
  <c r="N54" i="11"/>
  <c r="N54" i="11" a="1"/>
  <c r="M54" i="11"/>
  <c r="D54" i="11"/>
  <c r="C54" i="11"/>
  <c r="P53" i="11"/>
  <c r="N53" i="11"/>
  <c r="N53" i="11" a="1"/>
  <c r="M53" i="11"/>
  <c r="D53" i="11"/>
  <c r="C53" i="11"/>
  <c r="P52" i="11"/>
  <c r="N52" i="11"/>
  <c r="N52" i="11" a="1"/>
  <c r="M52" i="11"/>
  <c r="D52" i="11"/>
  <c r="C52" i="11"/>
  <c r="P51" i="11"/>
  <c r="N51" i="11"/>
  <c r="N51" i="11" a="1"/>
  <c r="M51" i="11"/>
  <c r="D51" i="11"/>
  <c r="C51" i="11"/>
  <c r="P50" i="11"/>
  <c r="N50" i="11"/>
  <c r="N50" i="11" a="1"/>
  <c r="M50" i="11"/>
  <c r="D50" i="11"/>
  <c r="C50" i="11"/>
  <c r="P49" i="11"/>
  <c r="N49" i="11"/>
  <c r="N49" i="11" a="1"/>
  <c r="M49" i="11"/>
  <c r="D49" i="11"/>
  <c r="C49" i="11"/>
  <c r="P48" i="11"/>
  <c r="N48" i="11"/>
  <c r="N48" i="11" a="1"/>
  <c r="M48" i="11"/>
  <c r="D48" i="11"/>
  <c r="C48" i="11"/>
  <c r="P47" i="11"/>
  <c r="N47" i="11"/>
  <c r="N47" i="11" a="1"/>
  <c r="M47" i="11"/>
  <c r="D47" i="11"/>
  <c r="C47" i="11"/>
  <c r="P46" i="11"/>
  <c r="N46" i="11"/>
  <c r="N46" i="11" a="1"/>
  <c r="M46" i="11"/>
  <c r="D46" i="11"/>
  <c r="C46" i="11"/>
  <c r="P45" i="11"/>
  <c r="N45" i="11"/>
  <c r="N45" i="11" a="1"/>
  <c r="M45" i="11"/>
  <c r="D45" i="11"/>
  <c r="C45" i="11"/>
  <c r="P44" i="11"/>
  <c r="N44" i="11"/>
  <c r="N44" i="11" a="1"/>
  <c r="M44" i="11"/>
  <c r="D44" i="11"/>
  <c r="C44" i="11"/>
  <c r="P43" i="11"/>
  <c r="N43" i="11"/>
  <c r="N43" i="11" a="1"/>
  <c r="M43" i="11"/>
  <c r="D43" i="11"/>
  <c r="C43" i="11"/>
  <c r="P42" i="11"/>
  <c r="N42" i="11"/>
  <c r="N42" i="11" a="1"/>
  <c r="M42" i="11"/>
  <c r="D42" i="11"/>
  <c r="C42" i="11"/>
  <c r="P41" i="11"/>
  <c r="N41" i="11"/>
  <c r="N41" i="11" a="1"/>
  <c r="M41" i="11"/>
  <c r="D41" i="11"/>
  <c r="C41" i="11"/>
  <c r="P40" i="11"/>
  <c r="N40" i="11"/>
  <c r="N40" i="11" a="1"/>
  <c r="M40" i="11"/>
  <c r="D40" i="11"/>
  <c r="C40" i="11"/>
  <c r="P39" i="11"/>
  <c r="N39" i="11"/>
  <c r="N39" i="11" a="1"/>
  <c r="M39" i="11"/>
  <c r="D39" i="11"/>
  <c r="C39" i="11"/>
  <c r="P38" i="11"/>
  <c r="N38" i="11"/>
  <c r="N38" i="11" a="1"/>
  <c r="M38" i="11"/>
  <c r="D38" i="11"/>
  <c r="C38" i="11"/>
  <c r="P37" i="11"/>
  <c r="N37" i="11"/>
  <c r="N37" i="11" a="1"/>
  <c r="M37" i="11"/>
  <c r="D37" i="11"/>
  <c r="C37" i="11"/>
  <c r="P36" i="11"/>
  <c r="N36" i="11"/>
  <c r="N36" i="11" a="1"/>
  <c r="M36" i="11"/>
  <c r="D36" i="11"/>
  <c r="C36" i="11"/>
  <c r="P35" i="11"/>
  <c r="N35" i="11"/>
  <c r="N35" i="11" a="1"/>
  <c r="M35" i="11"/>
  <c r="D35" i="11"/>
  <c r="C35" i="11"/>
  <c r="P34" i="11"/>
  <c r="N34" i="11"/>
  <c r="N34" i="11" a="1"/>
  <c r="M34" i="11"/>
  <c r="D34" i="11"/>
  <c r="C34" i="11"/>
  <c r="P33" i="11"/>
  <c r="N33" i="11"/>
  <c r="N33" i="11" a="1"/>
  <c r="M33" i="11"/>
  <c r="D33" i="11"/>
  <c r="C33" i="11"/>
  <c r="P32" i="11"/>
  <c r="N32" i="11"/>
  <c r="N32" i="11" a="1"/>
  <c r="M32" i="11"/>
  <c r="D32" i="11"/>
  <c r="C32" i="11"/>
  <c r="P31" i="11"/>
  <c r="N31" i="11"/>
  <c r="N31" i="11" a="1"/>
  <c r="M31" i="11"/>
  <c r="D31" i="11"/>
  <c r="C31" i="11"/>
  <c r="P30" i="11"/>
  <c r="N30" i="11"/>
  <c r="N30" i="11" a="1"/>
  <c r="M30" i="11"/>
  <c r="D30" i="11"/>
  <c r="C30" i="11"/>
  <c r="P29" i="11"/>
  <c r="N29" i="11"/>
  <c r="N29" i="11" a="1"/>
  <c r="M29" i="11"/>
  <c r="D29" i="11"/>
  <c r="C29" i="11"/>
  <c r="P28" i="11"/>
  <c r="N28" i="11"/>
  <c r="N28" i="11" a="1"/>
  <c r="M28" i="11"/>
  <c r="D28" i="11"/>
  <c r="C28" i="11"/>
  <c r="P27" i="11"/>
  <c r="N27" i="11"/>
  <c r="N27" i="11" a="1"/>
  <c r="M27" i="11"/>
  <c r="D27" i="11"/>
  <c r="C27" i="11"/>
  <c r="P26" i="11"/>
  <c r="N26" i="11"/>
  <c r="N26" i="11" a="1"/>
  <c r="M26" i="11"/>
  <c r="D26" i="11"/>
  <c r="C26" i="11"/>
  <c r="P25" i="11"/>
  <c r="N25" i="11"/>
  <c r="N25" i="11" a="1"/>
  <c r="M25" i="11"/>
  <c r="D25" i="11"/>
  <c r="C25" i="11"/>
  <c r="P24" i="11"/>
  <c r="N24" i="11"/>
  <c r="N24" i="11" a="1"/>
  <c r="M24" i="11"/>
  <c r="D24" i="11"/>
  <c r="C24" i="11"/>
  <c r="P23" i="11"/>
  <c r="N23" i="11"/>
  <c r="N23" i="11" a="1"/>
  <c r="M23" i="11"/>
  <c r="D23" i="11"/>
  <c r="C23" i="11"/>
  <c r="P22" i="11"/>
  <c r="N22" i="11"/>
  <c r="N22" i="11" a="1"/>
  <c r="M22" i="11"/>
  <c r="D22" i="11"/>
  <c r="C22" i="11"/>
  <c r="P21" i="11"/>
  <c r="N21" i="11"/>
  <c r="N21" i="11" a="1"/>
  <c r="M21" i="11"/>
  <c r="D21" i="11"/>
  <c r="C21" i="11"/>
  <c r="P20" i="11"/>
  <c r="N20" i="11"/>
  <c r="N20" i="11" a="1"/>
  <c r="M20" i="11"/>
  <c r="D20" i="11"/>
  <c r="C20" i="11"/>
  <c r="P19" i="11"/>
  <c r="N19" i="11"/>
  <c r="N19" i="11" a="1"/>
  <c r="M19" i="11"/>
  <c r="D19" i="11"/>
  <c r="C19" i="11"/>
  <c r="P18" i="11"/>
  <c r="N18" i="11"/>
  <c r="N18" i="11" a="1"/>
  <c r="M18" i="11"/>
  <c r="D18" i="11"/>
  <c r="C18" i="11"/>
  <c r="P17" i="11"/>
  <c r="N17" i="11"/>
  <c r="N17" i="11" a="1"/>
  <c r="M17" i="11"/>
  <c r="D17" i="11"/>
  <c r="C17" i="11"/>
  <c r="BB16" i="11"/>
  <c r="P16" i="11"/>
  <c r="N16" i="11"/>
  <c r="N16" i="11" a="1"/>
  <c r="M16" i="11"/>
  <c r="D16" i="11"/>
  <c r="C16" i="11"/>
  <c r="BB15" i="11"/>
  <c r="P15" i="11"/>
  <c r="N15" i="11"/>
  <c r="N15" i="11" a="1"/>
  <c r="M15" i="11"/>
  <c r="D15" i="11"/>
  <c r="C15" i="11"/>
  <c r="BB14" i="11"/>
  <c r="P14" i="11"/>
  <c r="N14" i="11"/>
  <c r="N14" i="11" a="1"/>
  <c r="M14" i="11"/>
  <c r="D14" i="11"/>
  <c r="C14" i="11"/>
  <c r="BB13" i="11"/>
  <c r="P13" i="11"/>
  <c r="N13" i="11"/>
  <c r="N13" i="11" a="1"/>
  <c r="M13" i="11"/>
  <c r="D13" i="11"/>
  <c r="C13" i="11"/>
  <c r="BB12" i="11"/>
  <c r="P12" i="11"/>
  <c r="N12" i="11"/>
  <c r="N12" i="11" a="1"/>
  <c r="M12" i="11"/>
  <c r="D12" i="11"/>
  <c r="C12" i="11"/>
  <c r="BB11" i="11"/>
  <c r="P11" i="11"/>
  <c r="N11" i="11"/>
  <c r="N11" i="11" a="1"/>
  <c r="M11" i="11"/>
  <c r="D11" i="11"/>
  <c r="C11" i="11"/>
  <c r="BB10" i="11"/>
  <c r="P10" i="11"/>
  <c r="N10" i="11"/>
  <c r="N10" i="11" a="1"/>
  <c r="M10" i="11"/>
  <c r="D10" i="11"/>
  <c r="C10" i="11"/>
  <c r="BB9" i="11"/>
  <c r="P9" i="11"/>
  <c r="N9" i="11"/>
  <c r="N9" i="11" a="1"/>
  <c r="M9" i="11"/>
  <c r="D9" i="11"/>
  <c r="C9" i="1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C68" i="15"/>
  <c r="C67" i="15"/>
  <c r="C66" i="15"/>
  <c r="C65" i="15"/>
  <c r="C64" i="15"/>
  <c r="C63" i="15"/>
  <c r="C62" i="15"/>
  <c r="C61" i="15"/>
  <c r="C60" i="15"/>
  <c r="C59" i="15"/>
  <c r="C58" i="15"/>
  <c r="C57" i="15"/>
  <c r="C56" i="15"/>
  <c r="C55" i="15"/>
  <c r="C54" i="15"/>
  <c r="C53" i="15"/>
  <c r="C52" i="15"/>
  <c r="C51" i="15"/>
  <c r="C50" i="15"/>
  <c r="C49" i="15"/>
  <c r="C48" i="15"/>
  <c r="C47" i="15"/>
  <c r="C46" i="15"/>
  <c r="C45" i="15"/>
  <c r="C44" i="15"/>
  <c r="C43" i="15"/>
  <c r="C42" i="15"/>
  <c r="C41" i="15"/>
  <c r="C40" i="15"/>
  <c r="C39" i="15"/>
  <c r="C38" i="15"/>
  <c r="C37" i="15"/>
  <c r="C36" i="15"/>
  <c r="C35" i="15"/>
  <c r="C34" i="15"/>
  <c r="C33" i="15"/>
  <c r="C32" i="15"/>
  <c r="C31" i="15"/>
  <c r="C30" i="15"/>
  <c r="C29" i="15"/>
  <c r="C28" i="15"/>
  <c r="C27" i="15"/>
  <c r="C26" i="15"/>
  <c r="C25" i="15"/>
  <c r="C24" i="15"/>
  <c r="C23" i="15"/>
  <c r="C22" i="15"/>
  <c r="C21" i="15"/>
  <c r="C20" i="15"/>
  <c r="C19" i="15"/>
  <c r="C18" i="15"/>
  <c r="C17" i="15"/>
  <c r="C16" i="15"/>
  <c r="C15" i="15"/>
  <c r="C14" i="15"/>
  <c r="C13" i="15"/>
  <c r="C12" i="15"/>
  <c r="C11" i="15"/>
  <c r="C10" i="15"/>
  <c r="C9" i="15"/>
  <c r="C8" i="15"/>
  <c r="C7" i="15"/>
  <c r="C6" i="15"/>
  <c r="C5" i="15"/>
  <c r="C4" i="15"/>
  <c r="C3" i="15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C71" i="12"/>
  <c r="C70" i="12"/>
  <c r="C69" i="12"/>
  <c r="C68" i="12"/>
  <c r="C67" i="12"/>
  <c r="C66" i="12"/>
  <c r="C65" i="12"/>
  <c r="C64" i="12"/>
  <c r="C63" i="12"/>
  <c r="C62" i="12"/>
  <c r="C61" i="12"/>
  <c r="C60" i="12"/>
  <c r="C59" i="12"/>
  <c r="C58" i="12"/>
  <c r="C57" i="12"/>
  <c r="C56" i="12"/>
  <c r="C55" i="12"/>
  <c r="C54" i="12"/>
  <c r="C53" i="12"/>
  <c r="C52" i="12"/>
  <c r="C51" i="12"/>
  <c r="C50" i="12"/>
  <c r="C49" i="12"/>
  <c r="C48" i="12"/>
  <c r="C47" i="12"/>
  <c r="C46" i="12"/>
  <c r="C45" i="12"/>
  <c r="C44" i="12"/>
  <c r="C43" i="12"/>
  <c r="C42" i="12"/>
  <c r="C41" i="12"/>
  <c r="C40" i="12"/>
  <c r="C39" i="12"/>
  <c r="C38" i="12"/>
  <c r="C37" i="12"/>
  <c r="C36" i="12"/>
  <c r="C35" i="12"/>
  <c r="C34" i="12"/>
  <c r="C33" i="12"/>
  <c r="C32" i="12"/>
  <c r="C31" i="12"/>
  <c r="C30" i="12"/>
  <c r="C29" i="12"/>
  <c r="C28" i="12"/>
  <c r="C27" i="12"/>
  <c r="C26" i="12"/>
  <c r="C25" i="12"/>
  <c r="C24" i="12"/>
  <c r="C23" i="12"/>
  <c r="C22" i="12"/>
  <c r="C21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AZ15" i="18" l="1"/>
  <c r="BB15" i="18" s="1"/>
  <c r="A6" i="17"/>
  <c r="D6" i="17" s="1"/>
  <c r="D55" i="17"/>
  <c r="AZ11" i="18"/>
  <c r="BB11" i="18" s="1"/>
  <c r="AQ11" i="17"/>
  <c r="CI13" i="18"/>
  <c r="AQ9" i="17"/>
  <c r="BQ11" i="17"/>
  <c r="AR11" i="17" s="1"/>
  <c r="AS11" i="17" s="1"/>
  <c r="AZ16" i="18"/>
  <c r="BB16" i="18" s="1"/>
  <c r="D41" i="17"/>
  <c r="BQ13" i="17"/>
  <c r="AR13" i="17" s="1"/>
  <c r="AS13" i="17" s="1"/>
  <c r="CI11" i="18"/>
  <c r="AZ14" i="18"/>
  <c r="BB14" i="18" s="1"/>
  <c r="BQ12" i="17"/>
  <c r="AR12" i="17" s="1"/>
  <c r="CI10" i="18"/>
  <c r="CI15" i="18"/>
  <c r="BQ9" i="17"/>
  <c r="AR9" i="17" s="1"/>
  <c r="CI16" i="18"/>
  <c r="CI9" i="18"/>
  <c r="AQ10" i="17"/>
  <c r="AZ12" i="18"/>
  <c r="BB12" i="18" s="1"/>
  <c r="CI14" i="18"/>
  <c r="AZ13" i="18"/>
  <c r="BB13" i="18" s="1"/>
  <c r="AZ9" i="18"/>
  <c r="BB9" i="18" s="1"/>
  <c r="AQ12" i="17"/>
  <c r="AZ10" i="18"/>
  <c r="BB10" i="18" s="1"/>
  <c r="CI12" i="18"/>
  <c r="BQ10" i="17"/>
  <c r="AR10" i="17" s="1"/>
  <c r="D48" i="17"/>
  <c r="D9" i="17"/>
  <c r="D11" i="17"/>
  <c r="M24" i="18"/>
  <c r="N22" i="18" s="1" a="1"/>
  <c r="N22" i="18" s="1"/>
  <c r="M15" i="18"/>
  <c r="N13" i="18" s="1" a="1"/>
  <c r="N13" i="18" s="1"/>
  <c r="M31" i="18"/>
  <c r="N29" i="18" s="1" a="1"/>
  <c r="N29" i="18" s="1"/>
  <c r="M39" i="18"/>
  <c r="N37" i="18" s="1" a="1"/>
  <c r="N37" i="18" s="1"/>
  <c r="M77" i="18"/>
  <c r="N75" i="18" s="1" a="1"/>
  <c r="N75" i="18" s="1"/>
  <c r="M26" i="18"/>
  <c r="N24" i="18" s="1" a="1"/>
  <c r="N24" i="18" s="1"/>
  <c r="M59" i="18"/>
  <c r="N57" i="18" s="1" a="1"/>
  <c r="N57" i="18" s="1"/>
  <c r="M10" i="18"/>
  <c r="M22" i="18"/>
  <c r="N20" i="18" s="1" a="1"/>
  <c r="N20" i="18" s="1"/>
  <c r="M48" i="18"/>
  <c r="N46" i="18" s="1" a="1"/>
  <c r="N46" i="18" s="1"/>
  <c r="M40" i="18"/>
  <c r="N38" i="18" s="1" a="1"/>
  <c r="N38" i="18" s="1"/>
  <c r="M29" i="18"/>
  <c r="N27" i="18" s="1" a="1"/>
  <c r="N27" i="18" s="1"/>
  <c r="M54" i="18"/>
  <c r="N52" i="18" s="1" a="1"/>
  <c r="N52" i="18" s="1"/>
  <c r="M66" i="18"/>
  <c r="N64" i="18" s="1" a="1"/>
  <c r="N64" i="18" s="1"/>
  <c r="M67" i="18"/>
  <c r="N65" i="18" s="1" a="1"/>
  <c r="N65" i="18" s="1"/>
  <c r="M25" i="18"/>
  <c r="N23" i="18" s="1" a="1"/>
  <c r="N23" i="18" s="1"/>
  <c r="M51" i="18"/>
  <c r="M71" i="18"/>
  <c r="N69" i="18" s="1" a="1"/>
  <c r="N69" i="18" s="1"/>
  <c r="M50" i="18"/>
  <c r="N48" i="18" s="1" a="1"/>
  <c r="N48" i="18" s="1"/>
  <c r="M43" i="18"/>
  <c r="N41" i="18" s="1" a="1"/>
  <c r="N41" i="18" s="1"/>
  <c r="M62" i="18"/>
  <c r="N60" i="18" s="1" a="1"/>
  <c r="N60" i="18" s="1"/>
  <c r="M70" i="18"/>
  <c r="N68" i="18" s="1" a="1"/>
  <c r="N68" i="18" s="1"/>
  <c r="M63" i="18"/>
  <c r="N61" i="18" s="1" a="1"/>
  <c r="N61" i="18" s="1"/>
  <c r="M58" i="18"/>
  <c r="N56" i="18" s="1" a="1"/>
  <c r="N56" i="18" s="1"/>
  <c r="M11" i="18"/>
  <c r="N9" i="18" s="1" a="1"/>
  <c r="N9" i="18" s="1"/>
  <c r="M60" i="18"/>
  <c r="N58" i="18" s="1" a="1"/>
  <c r="N58" i="18" s="1"/>
  <c r="M64" i="18"/>
  <c r="N62" i="18" s="1" a="1"/>
  <c r="N62" i="18" s="1"/>
  <c r="M18" i="18"/>
  <c r="N16" i="18" s="1" a="1"/>
  <c r="N16" i="18" s="1"/>
  <c r="M33" i="18"/>
  <c r="N31" i="18" s="1" a="1"/>
  <c r="N31" i="18" s="1"/>
  <c r="M45" i="18"/>
  <c r="N43" i="18" s="1" a="1"/>
  <c r="N43" i="18" s="1"/>
  <c r="M79" i="18"/>
  <c r="N77" i="18" s="1" a="1"/>
  <c r="N77" i="18" s="1"/>
  <c r="M23" i="18"/>
  <c r="N21" i="18" s="1" a="1"/>
  <c r="N21" i="18" s="1"/>
  <c r="M20" i="18"/>
  <c r="N18" i="18" s="1" a="1"/>
  <c r="N18" i="18" s="1"/>
  <c r="M28" i="18"/>
  <c r="N26" i="18" s="1" a="1"/>
  <c r="N26" i="18" s="1"/>
  <c r="M56" i="18"/>
  <c r="N54" i="18" s="1" a="1"/>
  <c r="N54" i="18" s="1"/>
  <c r="M30" i="18"/>
  <c r="N28" i="18" s="1" a="1"/>
  <c r="N28" i="18" s="1"/>
  <c r="M49" i="18"/>
  <c r="N47" i="18" s="1" a="1"/>
  <c r="N47" i="18" s="1"/>
  <c r="M37" i="18"/>
  <c r="N35" i="18" s="1" a="1"/>
  <c r="N35" i="18" s="1"/>
  <c r="M38" i="18"/>
  <c r="N36" i="18" s="1" a="1"/>
  <c r="N36" i="18" s="1"/>
  <c r="M46" i="18"/>
  <c r="N44" i="18" s="1" a="1"/>
  <c r="N44" i="18" s="1"/>
  <c r="M74" i="18"/>
  <c r="N72" i="18" s="1" a="1"/>
  <c r="N72" i="18" s="1"/>
  <c r="M44" i="18"/>
  <c r="N42" i="18" s="1" a="1"/>
  <c r="N42" i="18" s="1"/>
  <c r="M78" i="18"/>
  <c r="N76" i="18" s="1" a="1"/>
  <c r="N76" i="18" s="1"/>
  <c r="M19" i="18"/>
  <c r="N17" i="18" s="1" a="1"/>
  <c r="N17" i="18" s="1"/>
  <c r="M27" i="18"/>
  <c r="N25" i="18" s="1" a="1"/>
  <c r="N25" i="18" s="1"/>
  <c r="M36" i="18"/>
  <c r="N34" i="18" s="1" a="1"/>
  <c r="N34" i="18" s="1"/>
  <c r="M52" i="18"/>
  <c r="M35" i="18"/>
  <c r="N33" i="18" s="1" a="1"/>
  <c r="N33" i="18" s="1"/>
  <c r="M14" i="18"/>
  <c r="N12" i="18" s="1" a="1"/>
  <c r="N12" i="18" s="1"/>
  <c r="M55" i="18"/>
  <c r="N53" i="18" s="1" a="1"/>
  <c r="N53" i="18" s="1"/>
  <c r="M61" i="18"/>
  <c r="N59" i="18" s="1" a="1"/>
  <c r="N59" i="18" s="1"/>
  <c r="M65" i="18"/>
  <c r="N63" i="18" s="1" a="1"/>
  <c r="N63" i="18" s="1"/>
  <c r="M42" i="18"/>
  <c r="N40" i="18" s="1" a="1"/>
  <c r="N40" i="18" s="1"/>
  <c r="M53" i="18"/>
  <c r="N51" i="18" s="1" a="1"/>
  <c r="N51" i="18" s="1"/>
  <c r="M76" i="18"/>
  <c r="N74" i="18" s="1" a="1"/>
  <c r="N74" i="18" s="1"/>
  <c r="M16" i="18"/>
  <c r="N14" i="18" s="1" a="1"/>
  <c r="N14" i="18" s="1"/>
  <c r="M9" i="18"/>
  <c r="M12" i="18"/>
  <c r="N10" i="18" s="1" a="1"/>
  <c r="N10" i="18" s="1"/>
  <c r="M69" i="18"/>
  <c r="N67" i="18" s="1" a="1"/>
  <c r="N67" i="18" s="1"/>
  <c r="M68" i="18"/>
  <c r="N66" i="18" s="1" a="1"/>
  <c r="N66" i="18" s="1"/>
  <c r="M21" i="18"/>
  <c r="N19" i="18" s="1" a="1"/>
  <c r="N19" i="18" s="1"/>
  <c r="M32" i="18"/>
  <c r="N30" i="18" s="1" a="1"/>
  <c r="N30" i="18" s="1"/>
  <c r="M75" i="18"/>
  <c r="N73" i="18" s="1" a="1"/>
  <c r="N73" i="18" s="1"/>
  <c r="M72" i="18"/>
  <c r="N70" i="18" s="1" a="1"/>
  <c r="N70" i="18" s="1"/>
  <c r="M73" i="18"/>
  <c r="N71" i="18" s="1" a="1"/>
  <c r="N71" i="18" s="1"/>
  <c r="M17" i="18"/>
  <c r="N15" i="18" s="1" a="1"/>
  <c r="N15" i="18" s="1"/>
  <c r="M13" i="18"/>
  <c r="N11" i="18" s="1" a="1"/>
  <c r="N11" i="18" s="1"/>
  <c r="M47" i="18"/>
  <c r="N45" i="18" s="1" a="1"/>
  <c r="N45" i="18" s="1"/>
  <c r="M41" i="18"/>
  <c r="N39" i="18" s="1" a="1"/>
  <c r="N39" i="18" s="1"/>
  <c r="C55" i="17"/>
  <c r="C48" i="17"/>
  <c r="A3" i="17"/>
  <c r="D3" i="17" s="1"/>
  <c r="C41" i="17"/>
  <c r="I18" i="17"/>
  <c r="A12" i="17"/>
  <c r="D12" i="17" s="1"/>
  <c r="E55" i="17"/>
  <c r="A14" i="17"/>
  <c r="D14" i="17" s="1"/>
  <c r="A34" i="17"/>
  <c r="A15" i="17"/>
  <c r="E34" i="17"/>
  <c r="H18" i="17"/>
  <c r="A27" i="17"/>
  <c r="A19" i="17"/>
  <c r="J19" i="17"/>
  <c r="I19" i="17"/>
  <c r="J20" i="17"/>
  <c r="A20" i="17"/>
  <c r="A5" i="17"/>
  <c r="D5" i="17" s="1"/>
  <c r="I5" i="17"/>
  <c r="J5" i="17"/>
  <c r="H5" i="17"/>
  <c r="E9" i="17"/>
  <c r="E42" i="17"/>
  <c r="C11" i="17"/>
  <c r="C9" i="17"/>
  <c r="H9" i="17"/>
  <c r="I9" i="17"/>
  <c r="C6" i="17"/>
  <c r="J9" i="17"/>
  <c r="A26" i="17"/>
  <c r="J4" i="17"/>
  <c r="I4" i="17"/>
  <c r="H4" i="17"/>
  <c r="E11" i="29"/>
  <c r="E30" i="29"/>
  <c r="E5" i="29"/>
  <c r="E4" i="17"/>
  <c r="E23" i="29"/>
  <c r="E10" i="29"/>
  <c r="E29" i="29"/>
  <c r="E15" i="29"/>
  <c r="E21" i="29"/>
  <c r="E9" i="29"/>
  <c r="E14" i="29"/>
  <c r="A4" i="17"/>
  <c r="D4" i="17" s="1"/>
  <c r="A21" i="17"/>
  <c r="J21" i="17"/>
  <c r="I21" i="17"/>
  <c r="H21" i="17"/>
  <c r="E21" i="17"/>
  <c r="I24" i="17"/>
  <c r="H24" i="17"/>
  <c r="A24" i="17"/>
  <c r="J24" i="17"/>
  <c r="E24" i="17"/>
  <c r="I10" i="17"/>
  <c r="J10" i="17"/>
  <c r="H10" i="17"/>
  <c r="E10" i="17"/>
  <c r="A10" i="17"/>
  <c r="J13" i="17"/>
  <c r="I13" i="17"/>
  <c r="H13" i="17"/>
  <c r="E13" i="17"/>
  <c r="A13" i="17"/>
  <c r="J30" i="17"/>
  <c r="E30" i="17"/>
  <c r="A30" i="17"/>
  <c r="I30" i="17"/>
  <c r="H30" i="17"/>
  <c r="J33" i="17"/>
  <c r="I33" i="17"/>
  <c r="H33" i="17"/>
  <c r="E33" i="17"/>
  <c r="A33" i="17"/>
  <c r="A35" i="17"/>
  <c r="J35" i="17"/>
  <c r="I35" i="17"/>
  <c r="E35" i="17"/>
  <c r="H35" i="17"/>
  <c r="J43" i="17"/>
  <c r="I43" i="17"/>
  <c r="E43" i="17"/>
  <c r="A43" i="17"/>
  <c r="H43" i="17"/>
  <c r="J51" i="17"/>
  <c r="I51" i="17"/>
  <c r="H51" i="17"/>
  <c r="A51" i="17"/>
  <c r="E51" i="17"/>
  <c r="E54" i="17"/>
  <c r="O49" i="17" s="1"/>
  <c r="J54" i="17"/>
  <c r="I54" i="17"/>
  <c r="A54" i="17"/>
  <c r="H54" i="17"/>
  <c r="A22" i="17"/>
  <c r="J22" i="17"/>
  <c r="I22" i="17"/>
  <c r="H22" i="17"/>
  <c r="E22" i="17"/>
  <c r="E25" i="17"/>
  <c r="J25" i="17"/>
  <c r="I25" i="17"/>
  <c r="H25" i="17"/>
  <c r="A25" i="17"/>
  <c r="A29" i="17"/>
  <c r="J29" i="17"/>
  <c r="I29" i="17"/>
  <c r="H29" i="17"/>
  <c r="E29" i="17"/>
  <c r="E32" i="17"/>
  <c r="J32" i="17"/>
  <c r="I32" i="17"/>
  <c r="H32" i="17"/>
  <c r="A32" i="17"/>
  <c r="J37" i="17"/>
  <c r="I37" i="17"/>
  <c r="H37" i="17"/>
  <c r="E37" i="17"/>
  <c r="A37" i="17"/>
  <c r="J8" i="17"/>
  <c r="I8" i="17"/>
  <c r="H8" i="17"/>
  <c r="E8" i="17"/>
  <c r="A8" i="17"/>
  <c r="J40" i="17"/>
  <c r="I40" i="17"/>
  <c r="H40" i="17"/>
  <c r="E40" i="17"/>
  <c r="A40" i="17"/>
  <c r="J45" i="17"/>
  <c r="I45" i="17"/>
  <c r="H45" i="17"/>
  <c r="E45" i="17"/>
  <c r="A45" i="17"/>
  <c r="H53" i="17"/>
  <c r="E53" i="17"/>
  <c r="J53" i="17"/>
  <c r="I53" i="17"/>
  <c r="A53" i="17"/>
  <c r="A28" i="17"/>
  <c r="J28" i="17"/>
  <c r="I28" i="17"/>
  <c r="H28" i="17"/>
  <c r="E28" i="17"/>
  <c r="I31" i="17"/>
  <c r="H31" i="17"/>
  <c r="J31" i="17"/>
  <c r="E31" i="17"/>
  <c r="O54" i="17" s="1"/>
  <c r="A31" i="17"/>
  <c r="A36" i="17"/>
  <c r="J36" i="17"/>
  <c r="I36" i="17"/>
  <c r="H36" i="17"/>
  <c r="E36" i="17"/>
  <c r="H39" i="17"/>
  <c r="E39" i="17"/>
  <c r="I39" i="17"/>
  <c r="A39" i="17"/>
  <c r="J39" i="17"/>
  <c r="J44" i="17"/>
  <c r="I44" i="17"/>
  <c r="H44" i="17"/>
  <c r="E44" i="17"/>
  <c r="A44" i="17"/>
  <c r="J52" i="17"/>
  <c r="I52" i="17"/>
  <c r="H52" i="17"/>
  <c r="E52" i="17"/>
  <c r="A52" i="17"/>
  <c r="J23" i="17"/>
  <c r="I23" i="17"/>
  <c r="A23" i="17"/>
  <c r="H23" i="17"/>
  <c r="E23" i="17"/>
  <c r="J47" i="17"/>
  <c r="I47" i="17"/>
  <c r="E47" i="17"/>
  <c r="A47" i="17"/>
  <c r="H47" i="17"/>
  <c r="H7" i="17"/>
  <c r="J7" i="17"/>
  <c r="I7" i="17"/>
  <c r="E7" i="17"/>
  <c r="H17" i="17"/>
  <c r="A17" i="17"/>
  <c r="I38" i="17"/>
  <c r="H38" i="17"/>
  <c r="J38" i="17"/>
  <c r="H46" i="17"/>
  <c r="E46" i="17"/>
  <c r="J46" i="17"/>
  <c r="J50" i="17"/>
  <c r="I50" i="17"/>
  <c r="H50" i="17"/>
  <c r="J41" i="17"/>
  <c r="I41" i="17"/>
  <c r="J11" i="17"/>
  <c r="I11" i="17"/>
  <c r="H11" i="17"/>
  <c r="E11" i="17"/>
  <c r="I16" i="17"/>
  <c r="A16" i="17"/>
  <c r="E17" i="17"/>
  <c r="E38" i="17"/>
  <c r="I46" i="17"/>
  <c r="A49" i="17"/>
  <c r="J49" i="17"/>
  <c r="I49" i="17"/>
  <c r="H49" i="17"/>
  <c r="E50" i="17"/>
  <c r="O48" i="17" s="1"/>
  <c r="E12" i="17"/>
  <c r="I17" i="17"/>
  <c r="E27" i="17"/>
  <c r="H12" i="17"/>
  <c r="J17" i="17"/>
  <c r="H27" i="17"/>
  <c r="E41" i="17"/>
  <c r="J48" i="17"/>
  <c r="I48" i="17"/>
  <c r="E6" i="17"/>
  <c r="I12" i="17"/>
  <c r="E16" i="17"/>
  <c r="E26" i="17"/>
  <c r="I27" i="17"/>
  <c r="H41" i="17"/>
  <c r="E49" i="17"/>
  <c r="H6" i="17"/>
  <c r="E15" i="17"/>
  <c r="H16" i="17"/>
  <c r="H26" i="17"/>
  <c r="A56" i="17"/>
  <c r="J56" i="17"/>
  <c r="I56" i="17"/>
  <c r="H56" i="17"/>
  <c r="E56" i="17"/>
  <c r="O50" i="17" s="1"/>
  <c r="AO50" i="17" s="1"/>
  <c r="I6" i="17"/>
  <c r="H15" i="17"/>
  <c r="J16" i="17"/>
  <c r="I26" i="17"/>
  <c r="E48" i="17"/>
  <c r="O43" i="17" s="1"/>
  <c r="E28" i="29"/>
  <c r="E24" i="29"/>
  <c r="E20" i="29"/>
  <c r="E16" i="29"/>
  <c r="E12" i="29"/>
  <c r="E8" i="29"/>
  <c r="E4" i="29"/>
  <c r="H3" i="17"/>
  <c r="E18" i="29"/>
  <c r="E3" i="17"/>
  <c r="E27" i="29"/>
  <c r="E13" i="29"/>
  <c r="E3" i="29"/>
  <c r="O58" i="17"/>
  <c r="AO58" i="17" s="1"/>
  <c r="E22" i="29"/>
  <c r="E31" i="29"/>
  <c r="E17" i="29"/>
  <c r="E7" i="29"/>
  <c r="D31" i="29"/>
  <c r="E26" i="29"/>
  <c r="E2" i="29"/>
  <c r="H14" i="17"/>
  <c r="I15" i="17"/>
  <c r="E18" i="17"/>
  <c r="O14" i="17" s="1"/>
  <c r="AO14" i="17" s="1"/>
  <c r="A18" i="17"/>
  <c r="E20" i="17"/>
  <c r="H48" i="17"/>
  <c r="O53" i="17"/>
  <c r="AO53" i="17" s="1"/>
  <c r="J55" i="17"/>
  <c r="I55" i="17"/>
  <c r="H55" i="17"/>
  <c r="E25" i="29"/>
  <c r="A7" i="17"/>
  <c r="I14" i="17"/>
  <c r="E19" i="17"/>
  <c r="H20" i="17"/>
  <c r="A38" i="17"/>
  <c r="A46" i="17"/>
  <c r="A50" i="17"/>
  <c r="E6" i="29"/>
  <c r="E19" i="29"/>
  <c r="I3" i="17"/>
  <c r="E5" i="17"/>
  <c r="J14" i="17"/>
  <c r="H19" i="17"/>
  <c r="I20" i="17"/>
  <c r="J34" i="17"/>
  <c r="I34" i="17"/>
  <c r="A42" i="17"/>
  <c r="J42" i="17"/>
  <c r="I42" i="17"/>
  <c r="D7" i="23"/>
  <c r="D19" i="23"/>
  <c r="D31" i="23"/>
  <c r="D43" i="23"/>
  <c r="D10" i="23"/>
  <c r="D22" i="23"/>
  <c r="D34" i="23"/>
  <c r="D46" i="23"/>
  <c r="D13" i="23"/>
  <c r="D25" i="23"/>
  <c r="D37" i="23"/>
  <c r="D49" i="23"/>
  <c r="D14" i="23"/>
  <c r="D26" i="23"/>
  <c r="D38" i="23"/>
  <c r="D50" i="23"/>
  <c r="D12" i="23"/>
  <c r="D24" i="23"/>
  <c r="D36" i="23"/>
  <c r="D48" i="23"/>
  <c r="N32" i="23" a="1"/>
  <c r="N32" i="23" s="1"/>
  <c r="N57" i="23" a="1"/>
  <c r="N57" i="23" s="1"/>
  <c r="N25" i="23" a="1"/>
  <c r="N25" i="23" s="1"/>
  <c r="N37" i="23" a="1"/>
  <c r="N37" i="23" s="1"/>
  <c r="N56" i="23" a="1"/>
  <c r="N56" i="23" s="1"/>
  <c r="N35" i="23" a="1"/>
  <c r="N35" i="23" s="1"/>
  <c r="N22" i="23" a="1"/>
  <c r="N22" i="23" s="1"/>
  <c r="N30" i="23" a="1"/>
  <c r="N30" i="23" s="1"/>
  <c r="N54" i="23" a="1"/>
  <c r="N54" i="23" s="1"/>
  <c r="N19" i="23" a="1"/>
  <c r="N19" i="23" s="1"/>
  <c r="N10" i="23" a="1"/>
  <c r="N10" i="23" s="1"/>
  <c r="N45" i="23" a="1"/>
  <c r="N45" i="23" s="1"/>
  <c r="N27" i="23" a="1"/>
  <c r="N27" i="23" s="1"/>
  <c r="N13" i="23" a="1"/>
  <c r="N13" i="23" s="1"/>
  <c r="N33" i="23" a="1"/>
  <c r="N33" i="23" s="1"/>
  <c r="N28" i="23" a="1"/>
  <c r="N28" i="23" s="1"/>
  <c r="N24" i="23" a="1"/>
  <c r="N24" i="23" s="1"/>
  <c r="N44" i="23" a="1"/>
  <c r="N44" i="23" s="1"/>
  <c r="N42" i="23" a="1"/>
  <c r="N42" i="23" s="1"/>
  <c r="N49" i="23" a="1"/>
  <c r="N49" i="23" s="1"/>
  <c r="N47" i="23" a="1"/>
  <c r="N47" i="23" s="1"/>
  <c r="N12" i="23" a="1"/>
  <c r="N12" i="23" s="1"/>
  <c r="N43" i="23" a="1"/>
  <c r="N43" i="23" s="1"/>
  <c r="N20" i="23" a="1"/>
  <c r="N20" i="23" s="1"/>
  <c r="N31" i="23" a="1"/>
  <c r="N31" i="23" s="1"/>
  <c r="N40" i="23" a="1"/>
  <c r="N40" i="23" s="1"/>
  <c r="N41" i="23" a="1"/>
  <c r="N41" i="23" s="1"/>
  <c r="N55" i="23" a="1"/>
  <c r="N55" i="23" s="1"/>
  <c r="N29" i="23" a="1"/>
  <c r="N29" i="23" s="1"/>
  <c r="N50" i="23" a="1"/>
  <c r="N50" i="23" s="1"/>
  <c r="N38" i="23" a="1"/>
  <c r="N38" i="23" s="1"/>
  <c r="N51" i="23" a="1"/>
  <c r="N51" i="23" s="1"/>
  <c r="N21" i="23" a="1"/>
  <c r="N21" i="23" s="1"/>
  <c r="N39" i="23" a="1"/>
  <c r="N39" i="23" s="1"/>
  <c r="N9" i="23" a="1"/>
  <c r="N9" i="23" s="1"/>
  <c r="N53" i="23" a="1"/>
  <c r="N53" i="23" s="1"/>
  <c r="N26" i="23" a="1"/>
  <c r="N26" i="23" s="1"/>
  <c r="N52" i="23" a="1"/>
  <c r="N52" i="23" s="1"/>
  <c r="N46" i="23" a="1"/>
  <c r="N46" i="23" s="1"/>
  <c r="N17" i="23" a="1"/>
  <c r="N17" i="23" s="1"/>
  <c r="N11" i="23" a="1"/>
  <c r="N11" i="23" s="1"/>
  <c r="N23" i="23" a="1"/>
  <c r="N23" i="23" s="1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N22" i="21" a="1"/>
  <c r="N22" i="21" s="1"/>
  <c r="N24" i="21" a="1"/>
  <c r="N24" i="21" s="1"/>
  <c r="N58" i="21" a="1"/>
  <c r="N58" i="21" s="1"/>
  <c r="N28" i="21" a="1"/>
  <c r="N28" i="21" s="1"/>
  <c r="N17" i="21" a="1"/>
  <c r="N17" i="21" s="1"/>
  <c r="N45" i="21" a="1"/>
  <c r="N45" i="21" s="1"/>
  <c r="N14" i="21" a="1"/>
  <c r="N14" i="21" s="1"/>
  <c r="N54" i="21" a="1"/>
  <c r="N54" i="21" s="1"/>
  <c r="N12" i="21" a="1"/>
  <c r="N12" i="21" s="1"/>
  <c r="N35" i="21" a="1"/>
  <c r="N35" i="21" s="1"/>
  <c r="N50" i="21" a="1"/>
  <c r="N50" i="21" s="1"/>
  <c r="N41" i="21" a="1"/>
  <c r="N41" i="21" s="1"/>
  <c r="N61" i="21" a="1"/>
  <c r="N61" i="21" s="1"/>
  <c r="N10" i="21" a="1"/>
  <c r="N10" i="21" s="1"/>
  <c r="N37" i="21" a="1"/>
  <c r="N37" i="21" s="1"/>
  <c r="N32" i="21" a="1"/>
  <c r="N32" i="21" s="1"/>
  <c r="N11" i="21" a="1"/>
  <c r="N11" i="21" s="1"/>
  <c r="N31" i="21" a="1"/>
  <c r="N31" i="21" s="1"/>
  <c r="N29" i="21" a="1"/>
  <c r="N29" i="21" s="1"/>
  <c r="N59" i="21" a="1"/>
  <c r="N59" i="21" s="1"/>
  <c r="N56" i="21" a="1"/>
  <c r="N56" i="21" s="1"/>
  <c r="N49" i="21" a="1"/>
  <c r="N49" i="21" s="1"/>
  <c r="N66" i="21" a="1"/>
  <c r="N66" i="21" s="1"/>
  <c r="N39" i="21" a="1"/>
  <c r="N39" i="21" s="1"/>
  <c r="N27" i="21" a="1"/>
  <c r="N27" i="21" s="1"/>
  <c r="N64" i="21" a="1"/>
  <c r="N64" i="21" s="1"/>
  <c r="N20" i="21" a="1"/>
  <c r="N20" i="21" s="1"/>
  <c r="N9" i="21" a="1"/>
  <c r="N9" i="21" s="1"/>
  <c r="N43" i="21" a="1"/>
  <c r="N43" i="21" s="1"/>
  <c r="N65" i="21" a="1"/>
  <c r="N65" i="21" s="1"/>
  <c r="N53" i="21" a="1"/>
  <c r="N53" i="21" s="1"/>
  <c r="N51" i="21" a="1"/>
  <c r="N51" i="21" s="1"/>
  <c r="N34" i="21" a="1"/>
  <c r="N34" i="21" s="1"/>
  <c r="N60" i="21" a="1"/>
  <c r="N60" i="21" s="1"/>
  <c r="N16" i="21" a="1"/>
  <c r="N16" i="21" s="1"/>
  <c r="N44" i="21" a="1"/>
  <c r="N44" i="21" s="1"/>
  <c r="N42" i="21" a="1"/>
  <c r="N42" i="21" s="1"/>
  <c r="N30" i="21" a="1"/>
  <c r="N30" i="21" s="1"/>
  <c r="N52" i="21" a="1"/>
  <c r="N52" i="21" s="1"/>
  <c r="N23" i="21" a="1"/>
  <c r="N23" i="21" s="1"/>
  <c r="N55" i="21" a="1"/>
  <c r="N55" i="21" s="1"/>
  <c r="N33" i="21" a="1"/>
  <c r="N33" i="21" s="1"/>
  <c r="N13" i="21" a="1"/>
  <c r="N13" i="21" s="1"/>
  <c r="N21" i="21" a="1"/>
  <c r="N21" i="21" s="1"/>
  <c r="N38" i="21" a="1"/>
  <c r="N38" i="21" s="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N78" i="18" a="1"/>
  <c r="N78" i="18" s="1"/>
  <c r="O33" i="17" l="1"/>
  <c r="O37" i="17"/>
  <c r="P37" i="17" s="1"/>
  <c r="O47" i="17"/>
  <c r="AO47" i="17" s="1"/>
  <c r="O46" i="17"/>
  <c r="AO46" i="17" s="1"/>
  <c r="O36" i="17"/>
  <c r="O51" i="17"/>
  <c r="AO51" i="17" s="1"/>
  <c r="O57" i="17"/>
  <c r="AO57" i="17" s="1"/>
  <c r="O55" i="17"/>
  <c r="P55" i="17" s="1"/>
  <c r="O26" i="17"/>
  <c r="AO26" i="17" s="1"/>
  <c r="O18" i="17"/>
  <c r="P18" i="17" s="1"/>
  <c r="D28" i="29"/>
  <c r="D18" i="29"/>
  <c r="O39" i="17"/>
  <c r="AO39" i="17" s="1"/>
  <c r="D2" i="29"/>
  <c r="O44" i="17"/>
  <c r="AO44" i="17" s="1"/>
  <c r="O35" i="17"/>
  <c r="AO35" i="17" s="1"/>
  <c r="O29" i="17"/>
  <c r="AO29" i="17" s="1"/>
  <c r="O9" i="17"/>
  <c r="AO9" i="17" s="1"/>
  <c r="O10" i="17"/>
  <c r="AO10" i="17" s="1"/>
  <c r="O24" i="17"/>
  <c r="P24" i="17" s="1"/>
  <c r="O22" i="17"/>
  <c r="P22" i="17" s="1"/>
  <c r="O21" i="17"/>
  <c r="P21" i="17" s="1"/>
  <c r="O11" i="17"/>
  <c r="AO11" i="17" s="1"/>
  <c r="O25" i="17"/>
  <c r="P25" i="17" s="1"/>
  <c r="D29" i="29"/>
  <c r="D20" i="29"/>
  <c r="O34" i="17"/>
  <c r="AO34" i="17" s="1"/>
  <c r="O28" i="17"/>
  <c r="P28" i="17" s="1"/>
  <c r="D7" i="29"/>
  <c r="D24" i="29"/>
  <c r="O38" i="17"/>
  <c r="AO38" i="17" s="1"/>
  <c r="O32" i="17"/>
  <c r="AO32" i="17" s="1"/>
  <c r="D13" i="29"/>
  <c r="D17" i="29"/>
  <c r="D6" i="29"/>
  <c r="D23" i="29"/>
  <c r="D4" i="29"/>
  <c r="D5" i="29"/>
  <c r="O40" i="17"/>
  <c r="P40" i="17" s="1"/>
  <c r="D22" i="29"/>
  <c r="O27" i="17"/>
  <c r="P27" i="17" s="1"/>
  <c r="D25" i="29"/>
  <c r="D11" i="29"/>
  <c r="D16" i="29"/>
  <c r="O30" i="17"/>
  <c r="AO30" i="17" s="1"/>
  <c r="O59" i="17"/>
  <c r="P59" i="17" s="1"/>
  <c r="O52" i="17"/>
  <c r="P52" i="17" s="1"/>
  <c r="O31" i="17"/>
  <c r="AO31" i="17" s="1"/>
  <c r="O56" i="17"/>
  <c r="AO56" i="17" s="1"/>
  <c r="O19" i="17"/>
  <c r="AO19" i="17" s="1"/>
  <c r="O23" i="17"/>
  <c r="AO23" i="17" s="1"/>
  <c r="D30" i="29"/>
  <c r="D15" i="29"/>
  <c r="O13" i="17"/>
  <c r="P13" i="17" s="1"/>
  <c r="D14" i="29"/>
  <c r="D12" i="29"/>
  <c r="D27" i="29"/>
  <c r="D9" i="29"/>
  <c r="D10" i="29"/>
  <c r="AS12" i="17"/>
  <c r="AS9" i="17"/>
  <c r="AS10" i="17"/>
  <c r="N49" i="18" a="1"/>
  <c r="N49" i="18" s="1"/>
  <c r="N50" i="18" a="1"/>
  <c r="N50" i="18" s="1"/>
  <c r="D26" i="29"/>
  <c r="O45" i="17"/>
  <c r="P45" i="17" s="1"/>
  <c r="D8" i="29"/>
  <c r="O17" i="17"/>
  <c r="D21" i="29"/>
  <c r="O12" i="17"/>
  <c r="AO12" i="17" s="1"/>
  <c r="D3" i="29"/>
  <c r="O20" i="17"/>
  <c r="AO20" i="17" s="1"/>
  <c r="D50" i="17"/>
  <c r="C50" i="17"/>
  <c r="D56" i="17"/>
  <c r="C56" i="17"/>
  <c r="D54" i="17"/>
  <c r="C54" i="17"/>
  <c r="D53" i="17"/>
  <c r="C53" i="17"/>
  <c r="O16" i="17"/>
  <c r="P16" i="17" s="1"/>
  <c r="D51" i="17"/>
  <c r="C51" i="17"/>
  <c r="D49" i="17"/>
  <c r="C49" i="17"/>
  <c r="D52" i="17"/>
  <c r="C52" i="17"/>
  <c r="O15" i="17"/>
  <c r="P15" i="17" s="1"/>
  <c r="D19" i="29"/>
  <c r="O41" i="17"/>
  <c r="AO41" i="17" s="1"/>
  <c r="O42" i="17"/>
  <c r="P42" i="17" s="1"/>
  <c r="D44" i="17"/>
  <c r="C44" i="17"/>
  <c r="D47" i="17"/>
  <c r="C47" i="17"/>
  <c r="D40" i="17"/>
  <c r="C40" i="17"/>
  <c r="C12" i="17"/>
  <c r="D42" i="17"/>
  <c r="C42" i="17"/>
  <c r="D39" i="17"/>
  <c r="C39" i="17"/>
  <c r="D45" i="17"/>
  <c r="C45" i="17"/>
  <c r="D43" i="17"/>
  <c r="C43" i="17"/>
  <c r="D46" i="17"/>
  <c r="C46" i="17"/>
  <c r="P14" i="17"/>
  <c r="C14" i="17"/>
  <c r="D37" i="17"/>
  <c r="C37" i="17"/>
  <c r="D27" i="17"/>
  <c r="C27" i="17"/>
  <c r="D28" i="17"/>
  <c r="C28" i="17"/>
  <c r="D25" i="17"/>
  <c r="C25" i="17"/>
  <c r="D30" i="17"/>
  <c r="C30" i="17"/>
  <c r="D26" i="17"/>
  <c r="C26" i="17"/>
  <c r="D34" i="17"/>
  <c r="C34" i="17"/>
  <c r="D33" i="17"/>
  <c r="C33" i="17"/>
  <c r="D29" i="17"/>
  <c r="C29" i="17"/>
  <c r="D38" i="17"/>
  <c r="C38" i="17"/>
  <c r="D36" i="17"/>
  <c r="C36" i="17"/>
  <c r="D32" i="17"/>
  <c r="C32" i="17"/>
  <c r="D31" i="17"/>
  <c r="C31" i="17"/>
  <c r="P58" i="17"/>
  <c r="D35" i="17"/>
  <c r="C35" i="17"/>
  <c r="D15" i="17"/>
  <c r="C15" i="17"/>
  <c r="P53" i="17"/>
  <c r="D23" i="17"/>
  <c r="C23" i="17"/>
  <c r="D24" i="17"/>
  <c r="C24" i="17"/>
  <c r="D20" i="17"/>
  <c r="C20" i="17"/>
  <c r="D22" i="17"/>
  <c r="C22" i="17"/>
  <c r="D18" i="17"/>
  <c r="C18" i="17"/>
  <c r="D19" i="17"/>
  <c r="C19" i="17"/>
  <c r="Q41" i="17" s="1"/>
  <c r="D21" i="17"/>
  <c r="C21" i="17"/>
  <c r="D16" i="17"/>
  <c r="C16" i="17"/>
  <c r="D17" i="17"/>
  <c r="C17" i="17"/>
  <c r="P50" i="17"/>
  <c r="D8" i="17"/>
  <c r="C8" i="17"/>
  <c r="D13" i="17"/>
  <c r="C13" i="17"/>
  <c r="D10" i="17"/>
  <c r="M45" i="17" s="1"/>
  <c r="N45" i="17" s="1" a="1"/>
  <c r="N45" i="17" s="1"/>
  <c r="C10" i="17"/>
  <c r="D7" i="17"/>
  <c r="C7" i="17"/>
  <c r="P48" i="17"/>
  <c r="AO48" i="17"/>
  <c r="P49" i="17"/>
  <c r="AO49" i="17"/>
  <c r="P46" i="17"/>
  <c r="P51" i="17"/>
  <c r="P33" i="17"/>
  <c r="AO33" i="17"/>
  <c r="P54" i="17"/>
  <c r="AO54" i="17"/>
  <c r="P36" i="17"/>
  <c r="AO36" i="17"/>
  <c r="P43" i="17"/>
  <c r="AO43" i="17"/>
  <c r="M44" i="17" l="1"/>
  <c r="N44" i="17" s="1" a="1"/>
  <c r="N44" i="17" s="1"/>
  <c r="M46" i="17"/>
  <c r="N46" i="17" s="1" a="1"/>
  <c r="N46" i="17" s="1"/>
  <c r="Q50" i="17"/>
  <c r="M50" i="17"/>
  <c r="N50" i="17" s="1" a="1"/>
  <c r="N50" i="17" s="1"/>
  <c r="AO37" i="17"/>
  <c r="P34" i="17"/>
  <c r="P47" i="17"/>
  <c r="M59" i="17"/>
  <c r="N59" i="17" s="1" a="1"/>
  <c r="N59" i="17" s="1"/>
  <c r="AO55" i="17"/>
  <c r="Q36" i="17"/>
  <c r="P57" i="17"/>
  <c r="M38" i="17"/>
  <c r="N38" i="17" s="1" a="1"/>
  <c r="N38" i="17" s="1"/>
  <c r="P26" i="17"/>
  <c r="M36" i="17"/>
  <c r="N36" i="17" s="1" a="1"/>
  <c r="N36" i="17" s="1"/>
  <c r="M32" i="17"/>
  <c r="N32" i="17" s="1" a="1"/>
  <c r="N32" i="17" s="1"/>
  <c r="Q38" i="17"/>
  <c r="Q59" i="17"/>
  <c r="AO18" i="17"/>
  <c r="Q13" i="17"/>
  <c r="Q12" i="17"/>
  <c r="AO40" i="17"/>
  <c r="P44" i="17"/>
  <c r="P39" i="17"/>
  <c r="P35" i="17"/>
  <c r="M47" i="17"/>
  <c r="N47" i="17" s="1" a="1"/>
  <c r="N47" i="17" s="1"/>
  <c r="Q32" i="17"/>
  <c r="M48" i="17"/>
  <c r="N48" i="17" s="1" a="1"/>
  <c r="N48" i="17" s="1"/>
  <c r="Q37" i="17"/>
  <c r="P10" i="17"/>
  <c r="P38" i="17"/>
  <c r="Q53" i="17"/>
  <c r="M20" i="17"/>
  <c r="N20" i="17" s="1" a="1"/>
  <c r="N20" i="17" s="1"/>
  <c r="M53" i="17"/>
  <c r="N53" i="17" s="1" a="1"/>
  <c r="N53" i="17" s="1"/>
  <c r="Q48" i="17"/>
  <c r="Q47" i="17"/>
  <c r="Q46" i="17"/>
  <c r="M31" i="17"/>
  <c r="N31" i="17" s="1" a="1"/>
  <c r="N31" i="17" s="1"/>
  <c r="M37" i="17"/>
  <c r="N37" i="17" s="1" a="1"/>
  <c r="N37" i="17" s="1"/>
  <c r="P29" i="17"/>
  <c r="M41" i="17"/>
  <c r="N41" i="17" s="1" a="1"/>
  <c r="N41" i="17" s="1"/>
  <c r="Q40" i="17"/>
  <c r="Q43" i="17"/>
  <c r="M43" i="17"/>
  <c r="N43" i="17" s="1" a="1"/>
  <c r="N43" i="17" s="1"/>
  <c r="AO21" i="17"/>
  <c r="AO24" i="17"/>
  <c r="M25" i="17"/>
  <c r="N25" i="17" s="1" a="1"/>
  <c r="N25" i="17" s="1"/>
  <c r="P23" i="17"/>
  <c r="P11" i="17"/>
  <c r="Q31" i="17"/>
  <c r="Q23" i="17"/>
  <c r="AO27" i="17"/>
  <c r="P9" i="17"/>
  <c r="M23" i="17"/>
  <c r="N23" i="17" s="1" a="1"/>
  <c r="N23" i="17" s="1"/>
  <c r="Q22" i="17"/>
  <c r="Q16" i="17"/>
  <c r="M21" i="17"/>
  <c r="N21" i="17" s="1" a="1"/>
  <c r="N21" i="17" s="1"/>
  <c r="M12" i="17"/>
  <c r="N12" i="17" s="1" a="1"/>
  <c r="N12" i="17" s="1"/>
  <c r="M13" i="17"/>
  <c r="N13" i="17" s="1" a="1"/>
  <c r="N13" i="17" s="1"/>
  <c r="AO25" i="17"/>
  <c r="Q27" i="17"/>
  <c r="AO22" i="17"/>
  <c r="AO28" i="17"/>
  <c r="M22" i="17"/>
  <c r="N22" i="17" s="1" a="1"/>
  <c r="N22" i="17" s="1"/>
  <c r="M27" i="17"/>
  <c r="N27" i="17" s="1" a="1"/>
  <c r="N27" i="17" s="1"/>
  <c r="M16" i="17"/>
  <c r="N16" i="17" s="1" a="1"/>
  <c r="N16" i="17" s="1"/>
  <c r="Q25" i="17"/>
  <c r="Q20" i="17"/>
  <c r="M11" i="17"/>
  <c r="N11" i="17" s="1" a="1"/>
  <c r="N11" i="17" s="1"/>
  <c r="P19" i="17"/>
  <c r="P32" i="17"/>
  <c r="Q11" i="17"/>
  <c r="Q55" i="17"/>
  <c r="Q24" i="17"/>
  <c r="M40" i="17"/>
  <c r="N40" i="17" s="1" a="1"/>
  <c r="N40" i="17" s="1"/>
  <c r="P30" i="17"/>
  <c r="M55" i="17"/>
  <c r="N55" i="17" s="1" a="1"/>
  <c r="N55" i="17" s="1"/>
  <c r="AO59" i="17"/>
  <c r="M39" i="17"/>
  <c r="N39" i="17" s="1" a="1"/>
  <c r="N39" i="17" s="1"/>
  <c r="M49" i="17"/>
  <c r="N49" i="17" s="1" a="1"/>
  <c r="N49" i="17" s="1"/>
  <c r="Q28" i="17"/>
  <c r="Q44" i="17"/>
  <c r="Q42" i="17"/>
  <c r="Q35" i="17"/>
  <c r="Q21" i="17"/>
  <c r="Q58" i="17"/>
  <c r="M52" i="17"/>
  <c r="N52" i="17" s="1" a="1"/>
  <c r="N52" i="17" s="1"/>
  <c r="M42" i="17"/>
  <c r="N42" i="17" s="1" a="1"/>
  <c r="N42" i="17" s="1"/>
  <c r="Q39" i="17"/>
  <c r="Q45" i="17"/>
  <c r="Q30" i="17"/>
  <c r="M35" i="17"/>
  <c r="N35" i="17" s="1" a="1"/>
  <c r="N35" i="17" s="1"/>
  <c r="M30" i="17"/>
  <c r="N30" i="17" s="1" a="1"/>
  <c r="N30" i="17" s="1"/>
  <c r="M58" i="17"/>
  <c r="N58" i="17" s="1" a="1"/>
  <c r="N58" i="17" s="1"/>
  <c r="Q49" i="17"/>
  <c r="M51" i="17"/>
  <c r="N51" i="17" s="1" a="1"/>
  <c r="N51" i="17" s="1"/>
  <c r="Q54" i="17"/>
  <c r="P31" i="17"/>
  <c r="Q18" i="17"/>
  <c r="Q56" i="17"/>
  <c r="Q51" i="17"/>
  <c r="AO52" i="17"/>
  <c r="Q34" i="17"/>
  <c r="Q33" i="17"/>
  <c r="Q29" i="17"/>
  <c r="Q57" i="17"/>
  <c r="M56" i="17"/>
  <c r="N56" i="17" s="1" a="1"/>
  <c r="N56" i="17" s="1"/>
  <c r="M54" i="17"/>
  <c r="N54" i="17" s="1" a="1"/>
  <c r="N54" i="17" s="1"/>
  <c r="P56" i="17"/>
  <c r="M28" i="17"/>
  <c r="N28" i="17" s="1" a="1"/>
  <c r="N28" i="17" s="1"/>
  <c r="M34" i="17"/>
  <c r="N34" i="17" s="1" a="1"/>
  <c r="N34" i="17" s="1"/>
  <c r="M33" i="17"/>
  <c r="N33" i="17" s="1" a="1"/>
  <c r="N33" i="17" s="1"/>
  <c r="M29" i="17"/>
  <c r="N29" i="17" s="1" a="1"/>
  <c r="N29" i="17" s="1"/>
  <c r="M57" i="17"/>
  <c r="N57" i="17" s="1" a="1"/>
  <c r="N57" i="17" s="1"/>
  <c r="Q52" i="17"/>
  <c r="M18" i="17"/>
  <c r="N18" i="17" s="1" a="1"/>
  <c r="N18" i="17" s="1"/>
  <c r="Q14" i="17"/>
  <c r="Q26" i="17"/>
  <c r="M14" i="17"/>
  <c r="N14" i="17" s="1" a="1"/>
  <c r="N14" i="17" s="1"/>
  <c r="AO13" i="17"/>
  <c r="M26" i="17"/>
  <c r="N26" i="17" s="1" a="1"/>
  <c r="N26" i="17" s="1"/>
  <c r="M24" i="17"/>
  <c r="N24" i="17" s="1" a="1"/>
  <c r="N24" i="17" s="1"/>
  <c r="Q10" i="17"/>
  <c r="Q19" i="17"/>
  <c r="M10" i="17"/>
  <c r="N10" i="17" s="1" a="1"/>
  <c r="N10" i="17" s="1"/>
  <c r="M15" i="17"/>
  <c r="N15" i="17" s="1" a="1"/>
  <c r="N15" i="17" s="1"/>
  <c r="M19" i="17"/>
  <c r="N19" i="17" s="1" a="1"/>
  <c r="N19" i="17" s="1"/>
  <c r="Q15" i="17"/>
  <c r="Q17" i="17"/>
  <c r="Q9" i="17"/>
  <c r="M17" i="17"/>
  <c r="N17" i="17" s="1" a="1"/>
  <c r="N17" i="17" s="1"/>
  <c r="M9" i="17"/>
  <c r="N9" i="17" s="1" a="1"/>
  <c r="N9" i="17" s="1"/>
  <c r="AO45" i="17"/>
  <c r="P41" i="17"/>
  <c r="AO16" i="17"/>
  <c r="AO42" i="17"/>
  <c r="P20" i="17"/>
  <c r="AO17" i="17"/>
  <c r="P17" i="17"/>
  <c r="P12" i="17"/>
  <c r="AO15" i="17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  <c r="N9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<sst xmlns="http://schemas.openxmlformats.org/spreadsheetml/2006/main" count="10138" uniqueCount="578">
  <si>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</si>
  <si>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</si>
  <si>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</si>
  <si>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</si>
  <si>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</si>
  <si>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</si>
  <si>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</si>
  <si>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</si>
  <si>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</si>
  <si>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</si>
  <si>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</si>
  <si>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</si>
  <si>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</si>
  <si>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</si>
  <si>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</si>
  <si>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</si>
  <si>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</si>
  <si>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</si>
  <si>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</si>
  <si>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</si>
  <si>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</si>
  <si>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</si>
  <si>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</si>
  <si>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</si>
  <si>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</si>
  <si>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</si>
  <si>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</si>
  <si>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</si>
  <si>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</si>
  <si>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</si>
  <si>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</si>
  <si>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</si>
  <si>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</si>
  <si>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</si>
  <si>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</si>
  <si>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</si>
  <si>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</si>
  <si>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</si>
  <si>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</si>
  <si>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</si>
  <si>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</si>
  <si>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</si>
  <si>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</si>
  <si>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</si>
  <si>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</si>
  <si>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</si>
  <si>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</si>
  <si>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</si>
  <si>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</si>
  <si>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</si>
  <si>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</si>
  <si>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</si>
  <si>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</si>
  <si>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</si>
  <si>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</si>
  <si>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</si>
  <si>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</si>
  <si>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</si>
  <si>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</si>
  <si>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</si>
  <si>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</si>
  <si>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</si>
  <si>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</si>
  <si>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</si>
  <si>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</si>
  <si>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</si>
  <si>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</si>
  <si>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</si>
  <si>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</si>
  <si>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</si>
  <si>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</si>
  <si>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</si>
  <si>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</si>
  <si>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</si>
  <si>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</si>
  <si>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</si>
  <si>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</si>
  <si>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</si>
  <si>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</si>
  <si>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</si>
  <si>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</si>
  <si>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</si>
  <si>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</si>
  <si>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</si>
  <si>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</si>
  <si>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</si>
  <si>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</si>
  <si>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</si>
  <si>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</si>
  <si>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</si>
  <si>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</si>
  <si>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</si>
  <si>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</si>
  <si>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</si>
  <si>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</si>
  <si>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</si>
  <si>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</si>
  <si>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</si>
  <si>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</si>
  <si>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</si>
  <si>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</si>
  <si>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</si>
  <si>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</si>
  <si>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</si>
  <si>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</si>
  <si>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</si>
  <si>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</si>
  <si>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</si>
  <si>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</si>
  <si>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</si>
  <si>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</si>
  <si>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</si>
  <si>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</si>
  <si>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</si>
  <si>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</si>
  <si>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</si>
  <si>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</si>
  <si>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</si>
  <si>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</si>
  <si>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</si>
  <si>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</si>
  <si>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</si>
  <si>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</si>
  <si>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</si>
  <si>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</si>
  <si>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</si>
  <si>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</si>
  <si>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</si>
  <si>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</si>
  <si>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</si>
  <si>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</si>
  <si>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</si>
  <si>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</si>
  <si>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</si>
  <si>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</si>
  <si>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</si>
  <si>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</si>
  <si>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</si>
  <si>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</si>
  <si>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</si>
  <si>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</si>
  <si>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</si>
  <si>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</si>
  <si>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</si>
  <si>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</si>
  <si>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</si>
  <si>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</si>
  <si>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</si>
  <si>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</si>
  <si>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</si>
  <si>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</si>
  <si>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</si>
  <si>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</si>
  <si>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</si>
  <si>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</si>
  <si>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</si>
  <si>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</si>
  <si>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</si>
  <si>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</si>
  <si>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</si>
  <si>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</si>
  <si>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</si>
  <si>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</si>
  <si>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</si>
  <si>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</si>
  <si>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</si>
  <si>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</si>
  <si>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</si>
  <si>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</si>
  <si>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</si>
  <si>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</si>
  <si>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</si>
  <si>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</si>
  <si>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</si>
  <si>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</si>
  <si>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</si>
  <si>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</si>
  <si>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</si>
  <si>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</si>
  <si>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</si>
  <si>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PO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</si>
  <si>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</si>
  <si>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</si>
  <si>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</si>
  <si>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</si>
  <si>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</si>
  <si>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</si>
  <si>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</si>
  <si>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</si>
  <si>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</si>
  <si>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</si>
  <si>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</si>
  <si>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</si>
  <si>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</si>
  <si>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</si>
  <si>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</si>
  <si>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</si>
  <si>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</si>
  <si>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</si>
  <si>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</si>
  <si>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</si>
  <si>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</si>
  <si>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</si>
  <si>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</si>
  <si>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</si>
  <si>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</si>
  <si>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 xml:space="preserve">CARLA VALENCIA 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</si>
  <si>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</si>
  <si>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</si>
  <si>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</si>
  <si>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</si>
  <si>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</si>
  <si>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</si>
  <si>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</si>
  <si>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</si>
  <si>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</si>
  <si>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</si>
  <si>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</si>
  <si>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</si>
  <si>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</si>
  <si>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</si>
  <si>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</si>
  <si>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</si>
  <si>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</si>
  <si>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</si>
  <si>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</si>
  <si>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</si>
  <si>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</si>
  <si>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</si>
  <si>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</si>
  <si>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</si>
  <si>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</si>
  <si>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</si>
  <si>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</si>
  <si>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</si>
  <si>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</si>
  <si>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</si>
  <si>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</si>
  <si>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</si>
  <si>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</si>
  <si>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</si>
  <si>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</si>
  <si>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</si>
  <si>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</si>
  <si>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</si>
  <si>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</si>
  <si>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</si>
  <si>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</si>
  <si>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</si>
  <si>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</si>
  <si>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</si>
  <si>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</si>
  <si>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</si>
  <si>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</si>
  <si>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</si>
  <si>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</si>
  <si>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</si>
  <si>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</si>
  <si>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</si>
  <si>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</si>
  <si>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</si>
  <si>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JAMES IZQUIERDO</t>
  </si>
  <si>
    <t>JAMES GEORGE IZQUIERDO LEGUIA</t>
  </si>
  <si>
    <t>JUAN MANUEL ALANOCCA LAUREANO</t>
  </si>
  <si>
    <t>EDWARD ESPINOZA</t>
  </si>
  <si>
    <t>EDWARD ESPINOZA TORRES</t>
  </si>
  <si>
    <t>LINDA JOYSI  TUESTA CASTRO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</si>
  <si>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</si>
  <si>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</si>
  <si>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</si>
  <si>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</si>
  <si>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</si>
  <si>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</si>
  <si>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</si>
  <si>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</si>
  <si>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</si>
  <si>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</si>
  <si>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</si>
  <si>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</si>
  <si>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</si>
  <si>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</si>
  <si>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</si>
  <si>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</si>
  <si>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</si>
  <si>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LUIS MARIO CENTENO LEGUIA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</si>
  <si>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</si>
  <si>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</si>
  <si>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</si>
  <si>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</si>
  <si>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</si>
  <si>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</si>
  <si>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DARYL FERREL SALCEDO</t>
  </si>
  <si>
    <t>FIORELLA DIAZ</t>
  </si>
  <si>
    <t>KAREN FIORELLA DIAZ NECIOSUP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</si>
  <si>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</si>
  <si>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</si>
  <si>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</si>
  <si>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</si>
  <si>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</si>
  <si>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</si>
  <si>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</si>
  <si>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</si>
  <si>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</si>
  <si>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</si>
  <si>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</si>
  <si>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</si>
  <si>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</si>
  <si>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</si>
  <si>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</si>
  <si>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</si>
  <si>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</si>
  <si>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</si>
  <si>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</si>
  <si>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</si>
  <si>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</si>
  <si>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</si>
  <si>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</si>
  <si>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</si>
  <si>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</si>
  <si>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STEPHANIE MEZA</t>
  </si>
  <si>
    <t>STEPHANIE CLAUDIA MEZA CARHUALLANQUI</t>
  </si>
  <si>
    <t>SANDRA CUEVA</t>
  </si>
  <si>
    <t>SANDRA LUCERO CUEVA BURGA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</si>
  <si>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</si>
  <si>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</si>
  <si>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</si>
  <si>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</si>
  <si>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</si>
  <si>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</si>
  <si>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</si>
  <si>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</si>
  <si>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</si>
  <si>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</si>
  <si>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</si>
  <si>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</si>
  <si>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</si>
  <si>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</si>
  <si>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</si>
  <si>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</si>
  <si>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</si>
  <si>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</si>
  <si>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</si>
  <si>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</si>
  <si>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</si>
  <si>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</si>
  <si>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</si>
  <si>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</si>
  <si>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</si>
  <si>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</si>
  <si>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</si>
  <si>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</si>
  <si>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</si>
  <si>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</si>
  <si>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MARTIN VARGAS CUSI</t>
  </si>
  <si>
    <t>MARIA FERNANDA BARRIONUEVO CIERTO</t>
  </si>
  <si>
    <t>NOMBRE</t>
  </si>
  <si>
    <t>FEC_NAC</t>
  </si>
  <si>
    <t>STAFF</t>
  </si>
  <si>
    <t>FERNANDA VALLEJOS</t>
  </si>
  <si>
    <t>GISELLE ROSALES</t>
  </si>
  <si>
    <t>FERNANDA EVELYN VALLEJOS LUCCIO</t>
  </si>
  <si>
    <t>GISELLE ALESSANDRA ROSALES MEJIA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</si>
  <si>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</si>
  <si>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</si>
  <si>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</si>
  <si>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</si>
  <si>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</si>
  <si>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</si>
  <si>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</si>
  <si>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</si>
  <si>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</si>
  <si>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</si>
  <si>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</si>
  <si>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</si>
  <si>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DIALER MANAGER</t>
  </si>
  <si>
    <t>PRACTICANTE</t>
  </si>
  <si>
    <t>GERENTE DE PROYECTOS Y CONSULTORIA</t>
  </si>
  <si>
    <t>ANALISTA DE CAPACITACIÓN  </t>
  </si>
  <si>
    <t>SECRETARIA EJECUTIVA</t>
  </si>
  <si>
    <t>PRACTICANTE DE SISTEMAS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</si>
  <si>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</si>
  <si>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</si>
  <si>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</si>
  <si>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</si>
  <si>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</si>
  <si>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</si>
  <si>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</si>
  <si>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</si>
  <si>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</si>
  <si>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PRACTICANTE DE RECURSOS HUMANOS</t>
  </si>
  <si>
    <t>PRACTICANTE DE ESTRATEGIA DE COBRANZA</t>
  </si>
  <si>
    <t>ANALISTA SENIOR DE PLANEAMIENTO FINANCIERO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</si>
  <si>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</si>
  <si>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</si>
  <si>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</si>
  <si>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</si>
  <si>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</si>
  <si>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</si>
  <si>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</si>
  <si>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</si>
  <si>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</si>
  <si>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</si>
  <si>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</si>
  <si>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</si>
  <si>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</si>
  <si>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</si>
  <si>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</si>
  <si>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</si>
  <si>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</si>
  <si>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</si>
  <si>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</si>
  <si>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</si>
  <si>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</si>
  <si>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</si>
  <si>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</si>
  <si>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</si>
  <si>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</si>
  <si>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</si>
  <si>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</si>
  <si>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</si>
  <si>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</si>
  <si>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</si>
  <si>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</si>
  <si>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</si>
  <si>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</si>
  <si>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</si>
  <si>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</si>
  <si>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</si>
  <si>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</si>
  <si>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</si>
  <si>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</si>
  <si>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</si>
  <si>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</si>
  <si>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</si>
  <si>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</si>
  <si>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</si>
  <si>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</si>
  <si>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</si>
  <si>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</si>
  <si>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</si>
  <si>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</si>
  <si>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</si>
  <si>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</si>
  <si>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</si>
  <si>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</si>
  <si>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</si>
  <si>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</si>
  <si>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</si>
  <si>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</si>
  <si>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</si>
  <si>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</si>
  <si>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</si>
  <si>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</si>
  <si>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</si>
  <si>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</si>
  <si>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</si>
  <si>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</si>
  <si>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</si>
  <si>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</si>
  <si>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</si>
  <si>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</si>
  <si>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</si>
  <si>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</si>
  <si>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</si>
  <si>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</si>
  <si>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</si>
  <si>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</si>
  <si>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</si>
  <si>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</si>
  <si>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</si>
  <si>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</si>
  <si>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</si>
  <si>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</si>
  <si>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</si>
  <si>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</si>
  <si>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</si>
  <si>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</si>
  <si>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</si>
  <si>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</si>
  <si>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</si>
  <si>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</si>
  <si>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</si>
  <si>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</si>
  <si>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</si>
  <si>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</si>
  <si>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</si>
  <si>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</si>
  <si>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</si>
  <si>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</si>
  <si>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</si>
  <si>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</si>
  <si>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</si>
  <si>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</si>
  <si>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</si>
  <si>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</si>
  <si>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</si>
  <si>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</si>
  <si>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</si>
  <si>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</si>
  <si>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</si>
  <si>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</si>
  <si>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</si>
  <si>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</si>
  <si>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</si>
  <si>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</si>
  <si>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</si>
  <si>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</si>
  <si>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</si>
  <si>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</si>
  <si>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</si>
  <si>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</si>
  <si>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</si>
  <si>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</si>
  <si>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</si>
  <si>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</si>
  <si>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</si>
  <si>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</si>
  <si>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</si>
  <si>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</si>
  <si>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</si>
  <si>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ELVIS JOEL GUERRERA DIAZ</t>
  </si>
  <si>
    <t>PATRICIA FIESTAS</t>
  </si>
  <si>
    <t>PATRICIA IRINA FIESTAS MEJIA</t>
  </si>
  <si>
    <t>GENESIS PALACIOS</t>
  </si>
  <si>
    <t>GENESIS DUBEISY PALACIOS ALAMA</t>
  </si>
  <si>
    <t>ERIKA PANTA</t>
  </si>
  <si>
    <t>ERIKA YESMIN PANTA MONTALVAN</t>
  </si>
  <si>
    <t>PAOLA SANTOS</t>
  </si>
  <si>
    <t>PAOLA VANESSA SANTOS VALDIVIESO</t>
  </si>
  <si>
    <t>09668687</t>
  </si>
  <si>
    <t>EQUIPO</t>
  </si>
  <si>
    <t>CAPACITADOR</t>
  </si>
  <si>
    <t>MONTO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</si>
  <si>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</si>
  <si>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</si>
  <si>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</si>
  <si>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</si>
  <si>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</si>
  <si>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</si>
  <si>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</si>
  <si>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</si>
  <si>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</si>
  <si>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</si>
  <si>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</si>
  <si>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</si>
  <si>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</si>
  <si>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</si>
  <si>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</si>
  <si>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</si>
  <si>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</si>
  <si>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</si>
  <si>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</si>
  <si>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</si>
  <si>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</si>
  <si>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</si>
  <si>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</si>
  <si>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</si>
  <si>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</si>
  <si>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</si>
  <si>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</si>
  <si>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</si>
  <si>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</si>
  <si>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</si>
  <si>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</si>
  <si>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</si>
  <si>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</si>
  <si>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</si>
  <si>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</si>
  <si>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</si>
  <si>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</si>
  <si>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</si>
  <si>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</si>
  <si>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</si>
  <si>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</si>
  <si>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</si>
  <si>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</si>
  <si>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</si>
  <si>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ELVIS GUERRA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</si>
</sst>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0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0" fontId="0" fillId="12" borderId="4" xfId="0" applyFill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12" borderId="9" xfId="0" applyFill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14" fontId="0" fillId="0" borderId="0" xfId="0" applyNumberFormat="1" applyAlignment="1">
      <alignment horizontal="center"/>
    </xf>
    <xf numFmtId="0" fontId="5" fillId="0" borderId="15" xfId="0" applyFont="1" applyBorder="1"/>
    <xf numFmtId="0" fontId="5" fillId="3" borderId="15" xfId="0" applyFont="1" applyFill="1" applyBorder="1"/>
    <xf numFmtId="49" fontId="0" fillId="0" borderId="0" xfId="0" applyNumberFormat="1" applyAlignment="1">
      <alignment horizontal="center"/>
    </xf>
    <xf numFmtId="49" fontId="0" fillId="0" borderId="0" xfId="0" applyNumberFormat="1"/>
    <xf numFmtId="0" fontId="0" fillId="2" borderId="0" xfId="0" applyFill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</cellXfs>
  <cellStyles count="2">
    <cellStyle name="Normal" xfId="0" builtinId="0"/>
    <cellStyle name="Porcentaje" xfId="1" builtinId="5"/>
  </cellStyles>
  <dxfs count="77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772"/>
    </tableStyle>
    <tableStyle name="Estilo de tabla dinámica 2" table="0" count="1" xr9:uid="{9E60CF16-845A-4669-9AA4-E5ACD7B8B1A8}">
      <tableStyleElement type="headerRow" dxfId="771"/>
    </tableStyle>
    <tableStyle name="Estilo de tabla dinámica 3" table="0" count="1" xr9:uid="{A9F08836-5681-4078-A387-711930301837}">
      <tableStyleElement type="headerRow" dxfId="770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tables/_rels/table4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J76" totalsRowShown="0">
  <autoFilter ref="A2:J76" xr:uid="{5E0BF7E0-4358-4425-8F4C-51CD4B862909}"/>
  <tableColumns count="10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769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768"/>
    <tableColumn id="5" xr3:uid="{42625339-8FE7-49A5-82AC-5EDD10C3C984}" name="ASESOR"/>
    <tableColumn id="6" xr3:uid="{BD1A5411-32FB-4DF7-B264-96C059BE5C56}" name="RECUPERO" dataDxfId="767"/>
    <tableColumn id="8" xr3:uid="{8B3B2929-A591-41D7-9D44-B220287F0F2A}" name="DNI" dataDxfId="766"/>
    <tableColumn id="9" xr3:uid="{AAABF626-1A15-4E7A-A444-7423611F1BB2}" name="FECHA DE INGRESO" dataDxfId="765"/>
    <tableColumn id="10" xr3:uid="{CACFA6D6-8D93-432C-AAD6-E9CBF58F5197}" name="ESTADO" dataDxfId="76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763" headerRowBorderDxfId="762" tableBorderDxfId="761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760">
      <calculatedColumnFormula>DATA_ENERO_2025[[#This Row],[RECUPERO]]/DATA_ENERO_2025[[#This Row],[META]]</calculatedColumnFormula>
    </tableColumn>
    <tableColumn id="3" xr3:uid="{16F39E06-76AE-43AD-903E-9F641E37CB06}" name="CLASIFICACIÓN" dataDxfId="759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758"/>
    <tableColumn id="6" xr3:uid="{087774B2-9699-454D-B0E9-E9D62B239262}" name="RECUPERO" dataDxfId="757">
      <calculatedColumnFormula>SUM(DATA_ENERO_2025[[#This Row],[1]:[31]])</calculatedColumnFormula>
    </tableColumn>
    <tableColumn id="7" xr3:uid="{B938E452-5678-4623-B9AD-47B290EB3B56}" name="META" dataDxfId="756"/>
    <tableColumn id="5" xr3:uid="{A39094CA-883F-4450-A53A-370F0AE54B0C}" name="ASER_" dataDxfId="755"/>
    <tableColumn id="28" xr3:uid="{BA402970-CDDC-479B-AF0C-DE6FB6DEA3A2}" name="1" dataDxfId="754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753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752" dataDxfId="750" headerRowBorderDxfId="751" tableBorderDxfId="749" totalsRowBorderDxfId="748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747"/>
    <tableColumn id="1" xr3:uid="{5A7C4C9C-3E71-483D-9C6F-3AFA18F0B768}" name="RECUPERO SUPERVISOR" dataDxfId="746">
      <calculatedColumnFormula>MAX(DITE_ENERO_2025[[#This Row],[1]:[31]])</calculatedColumnFormula>
    </tableColumn>
    <tableColumn id="2" xr3:uid="{1DBABE23-BC0D-4016-A3DE-102C34B93437}" name="ALCANCE SUPERVISOR" dataDxfId="745">
      <calculatedColumnFormula>DITE_ENERO_2025[[#This Row],[RECUPERO SUPERVISOR]]/DITE_ENERO_2025[[#This Row],[META SUPER]]</calculatedColumnFormula>
    </tableColumn>
    <tableColumn id="4" xr3:uid="{AAFE5F6A-D443-4B76-896C-3012A63A21B1}" name="SUPER" dataDxfId="744"/>
    <tableColumn id="6" xr3:uid="{CAC1468E-FE7F-46E8-8FA8-2EBFE78F55CF}" name="1" dataDxfId="743"/>
    <tableColumn id="7" xr3:uid="{2C1F1DCC-5615-43E9-8493-73A6B92A7B8C}" name="2" dataDxfId="742"/>
    <tableColumn id="8" xr3:uid="{CB1DD332-E0A5-4BEF-8B71-8820CA4A145B}" name="3" dataDxfId="741"/>
    <tableColumn id="9" xr3:uid="{1BB0DD4F-A73A-4F8E-93FB-252CA932D637}" name="4" dataDxfId="740"/>
    <tableColumn id="10" xr3:uid="{F4A27082-EDDE-411F-B0E7-C50309499B06}" name="5" dataDxfId="739"/>
    <tableColumn id="11" xr3:uid="{DDC3545E-22B2-4DEC-A217-59650C8BAC95}" name="6" dataDxfId="738"/>
    <tableColumn id="12" xr3:uid="{F4B5BD15-E4EF-4A2E-9071-FE5F69E48F1F}" name="7" dataDxfId="737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736"/>
    <tableColumn id="14" xr3:uid="{1DE13FA2-B93D-487E-A105-3A5622C997DE}" name="18" dataDxfId="735"/>
    <tableColumn id="15" xr3:uid="{6273FFBE-FC81-40C7-91CB-E95ECAD8BE5D}" name="19" dataDxfId="734"/>
    <tableColumn id="16" xr3:uid="{35253537-0DA1-45D4-B9A3-D1CBC6E92B8B}" name="20" dataDxfId="733"/>
    <tableColumn id="17" xr3:uid="{4BF3707C-841F-4140-B63C-5B47863B4CA4}" name="21" dataDxfId="732"/>
    <tableColumn id="18" xr3:uid="{1F7B79C3-A22C-49D8-9C1F-629E6C41B955}" name="22" dataDxfId="731"/>
    <tableColumn id="19" xr3:uid="{361B16CF-A887-4C9E-88B3-E8A7F4F314B0}" name="23" dataDxfId="730"/>
    <tableColumn id="20" xr3:uid="{9B3EDA9C-6CB0-4D9F-965A-6EB0593C19D9}" name="24" dataDxfId="729"/>
    <tableColumn id="21" xr3:uid="{B02655DA-D4F9-4926-88A4-5E8B2F4DF911}" name="25" dataDxfId="728"/>
    <tableColumn id="22" xr3:uid="{43854B99-1BF7-4DF3-8A04-A277447DE3B8}" name="26" dataDxfId="727"/>
    <tableColumn id="23" xr3:uid="{CAC2F677-42BD-4EFA-8E99-ABA2036DAF56}" name="27" dataDxfId="726"/>
    <tableColumn id="24" xr3:uid="{20489B5B-5885-4E43-B5F0-4EAAEE4E8EB8}" name="28" dataDxfId="725"/>
    <tableColumn id="25" xr3:uid="{B4D29A08-5206-4DCD-AF4C-9B7ABB8D3CFF}" name="29" dataDxfId="724"/>
    <tableColumn id="26" xr3:uid="{7B49DBDA-317E-4CFB-B7FA-841DFC27E42B}" name="30" dataDxfId="723"/>
    <tableColumn id="27" xr3:uid="{0126152E-7354-43DB-A75E-4841194C453D}" name="31" dataDxfId="722"/>
    <tableColumn id="3" xr3:uid="{93315C06-D400-4502-BDDD-AC5886091EC6}" name="CARTERA" dataDxfId="721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J72" totalsRowShown="0">
  <autoFilter ref="A2:J72" xr:uid="{B161DA1C-A389-4FF1-9E9E-C88018522EAC}"/>
  <tableColumns count="10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720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719"/>
    <tableColumn id="5" xr3:uid="{44178C41-B41B-4820-A8E8-222FE453335F}" name="ASESOR" dataDxfId="718"/>
    <tableColumn id="6" xr3:uid="{AC6EB590-A7E8-408F-A892-A1851BCCF0B5}" name="RECUPERO" dataDxfId="717"/>
    <tableColumn id="8" xr3:uid="{9B60B527-D768-46F8-BB97-824B255159D2}" name="DNI" dataDxfId="716"/>
    <tableColumn id="9" xr3:uid="{BDF8C571-22FC-498B-99CF-8D578B086437}" name="FECHA DE INGRESO" dataDxfId="715"/>
    <tableColumn id="10" xr3:uid="{4A0E2A05-69C0-48C2-B0D3-4D952F052DB2}" name="ESTADO" dataDxfId="71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713" headerRowBorderDxfId="712" tableBorderDxfId="711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710">
      <calculatedColumnFormula>DATA_FEBRERO_2025[[#This Row],[RECUPERO]]/DATA_FEBRERO_2025[[#This Row],[META]]</calculatedColumnFormula>
    </tableColumn>
    <tableColumn id="3" xr3:uid="{AE4A1FA5-3083-4CA4-B657-D2D0F2E20004}" name="CLASIFICACIÓN" dataDxfId="709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708"/>
    <tableColumn id="6" xr3:uid="{2DE1A6CE-7493-4B20-83EE-59078393B5AF}" name="RECUPERO" dataDxfId="707">
      <calculatedColumnFormula>SUM(DATA_FEBRERO_2025[[#This Row],[1]:[31]])</calculatedColumnFormula>
    </tableColumn>
    <tableColumn id="7" xr3:uid="{24FB90FB-A888-41AB-9B19-627A74DA2062}" name="META" dataDxfId="706"/>
    <tableColumn id="5" xr3:uid="{E6A5C563-3502-4EF4-8D06-C88816E905A8}" name="ASER_" dataDxfId="705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704"/>
    <tableColumn id="8" xr3:uid="{E99C6359-BA67-4127-80B1-429613DA94CB}" name="31"/>
    <tableColumn id="4" xr3:uid="{1AB4C76D-3918-4961-B05E-216E9D0F2A8C}" name="CARTERA ASESOR" dataDxfId="703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702" dataDxfId="700" headerRowBorderDxfId="701" tableBorderDxfId="699" totalsRowBorderDxfId="698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697"/>
    <tableColumn id="1" xr3:uid="{C46409A5-9201-4E30-A3EB-7B6FC2DAF473}" name="RECUPERO SUPERVISOR" dataDxfId="696">
      <calculatedColumnFormula>MAX(DITE_FEBRERO_2025[[#This Row],[1]:[31]])</calculatedColumnFormula>
    </tableColumn>
    <tableColumn id="2" xr3:uid="{445C2C89-5F44-46FD-8C70-EF4EE30F232E}" name="ALCANCE SUPERVISOR" dataDxfId="695">
      <calculatedColumnFormula>DITE_FEBRERO_2025[[#This Row],[RECUPERO SUPERVISOR]]/DITE_FEBRERO_2025[[#This Row],[META SUPER]]</calculatedColumnFormula>
    </tableColumn>
    <tableColumn id="4" xr3:uid="{55D4E2C7-B609-4C8C-A5DE-AABFFD74BEB8}" name="SUPER" dataDxfId="694"/>
    <tableColumn id="6" xr3:uid="{29925D04-B597-415A-B40B-62A3FBA8B23D}" name="1" dataDxfId="693"/>
    <tableColumn id="7" xr3:uid="{31865A72-E634-4CB8-8660-811FA8147632}" name="2" dataDxfId="692"/>
    <tableColumn id="8" xr3:uid="{C70A98A0-1CB0-425B-975B-D4464009CDD0}" name="3" dataDxfId="691"/>
    <tableColumn id="9" xr3:uid="{F56CF612-0AA5-44CB-878D-FA59D84052AD}" name="4" dataDxfId="690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689"/>
    <tableColumn id="11" xr3:uid="{A6DAF4DF-EAFF-47AB-9A6F-0B2896AE1A18}" name="17" dataDxfId="688"/>
    <tableColumn id="12" xr3:uid="{3DC03FF0-BAC6-4F5D-B5DE-18A95E2C1B97}" name="18" dataDxfId="687"/>
    <tableColumn id="13" xr3:uid="{A90729AA-CC5E-4236-924F-A736B7A4BE93}" name="19" dataDxfId="686"/>
    <tableColumn id="14" xr3:uid="{B48B5FF0-5C49-4DDC-AC33-B45D349AD044}" name="20" dataDxfId="685"/>
    <tableColumn id="15" xr3:uid="{D36E617E-0BBB-4BC1-BBF1-EB24E3C2CE90}" name="21" dataDxfId="684"/>
    <tableColumn id="16" xr3:uid="{BD346F05-FCC2-4EA9-8F0F-B55AB2E68BE0}" name="22" dataDxfId="683"/>
    <tableColumn id="17" xr3:uid="{F5BB9730-A5AE-4489-9CB0-182052BA6557}" name="23" dataDxfId="682"/>
    <tableColumn id="18" xr3:uid="{B3DEF063-7A67-4F08-9D09-8310B4B64F2B}" name="24" dataDxfId="681"/>
    <tableColumn id="19" xr3:uid="{558BE332-1E67-4EF7-9FF1-541A019A7066}" name="25" dataDxfId="680"/>
    <tableColumn id="20" xr3:uid="{073BAAB2-EF92-4A82-B7FE-8339FF3A62EA}" name="26" dataDxfId="679"/>
    <tableColumn id="21" xr3:uid="{6EC9D118-EB0A-4FDC-A694-0A630EB1048E}" name="27" dataDxfId="678"/>
    <tableColumn id="22" xr3:uid="{DFF298CB-C24B-4F90-BD14-F99C28391208}" name="28" dataDxfId="677"/>
    <tableColumn id="23" xr3:uid="{7EF0365B-2B81-4022-84F3-7A3859D35934}" name="29" dataDxfId="676"/>
    <tableColumn id="24" xr3:uid="{D92D6A29-5A30-4405-A019-D7F8F39E4176}" name="30" dataDxfId="675"/>
    <tableColumn id="25" xr3:uid="{9BFA1186-4A61-452A-8EAC-4FE410743029}" name="31" dataDxfId="674"/>
    <tableColumn id="3" xr3:uid="{5EBD9DD4-78E3-4E78-8FD5-A71A2DE2CBE8}" name="CARTERA" dataDxfId="673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J79" totalsRowShown="0">
  <autoFilter ref="A2:J79" xr:uid="{E9885E5F-45E0-410D-9674-725F11306A85}"/>
  <tableColumns count="10">
    <tableColumn id="1" xr3:uid="{0593917A-1291-450C-951C-78D9EC4BEB05}" name="SUPER"/>
    <tableColumn id="2" xr3:uid="{8CE134D2-655B-4065-BCE4-1E92F58C9834}" name="ASESOR_CRR" dataDxfId="672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671">
      <calculatedColumnFormula>D1_MARZO_2025[[#This Row],[RECUPERO]]/D1_MARZO_2025[[#This Row],[META]]</calculatedColumnFormula>
    </tableColumn>
    <tableColumn id="7" xr3:uid="{7155E541-BC22-41C0-914A-E54D790D436D}" name="SUPER2" dataDxfId="670"/>
    <tableColumn id="5" xr3:uid="{C9BC0167-A73A-4B66-AB0E-BCC22F3CD7BF}" name="ASESOR" dataDxfId="669"/>
    <tableColumn id="6" xr3:uid="{32E44CF1-7B46-45AA-916C-7D5322097EFD}" name="RECUPERO" dataDxfId="668"/>
    <tableColumn id="8" xr3:uid="{5504CD70-2376-413C-9DD9-7E1FC1D78F37}" name="DNI" dataDxfId="667"/>
    <tableColumn id="9" xr3:uid="{27659D49-6FC1-457B-BF33-A19DBF78CDF2}" name="FECHA DE INGRESO" dataDxfId="666"/>
    <tableColumn id="10" xr3:uid="{79E50096-FDE3-4403-8568-FF008447BCC2}" name="ESTADO" dataDxfId="665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664" headerRowBorderDxfId="663" tableBorderDxfId="662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661">
      <calculatedColumnFormula>DATA_MARZO_2025[[#This Row],[RECUPERO]]/DATA_MARZO_2025[[#This Row],[META]]</calculatedColumnFormula>
    </tableColumn>
    <tableColumn id="3" xr3:uid="{6050B278-B3D2-4B4C-8475-D701C9B8AB17}" name="CLASIFICACIÓN" dataDxfId="660"/>
    <tableColumn id="1" xr3:uid="{A94CCC19-556A-4124-8949-24896CDBE45E}" name="SUPERVISOR" dataDxfId="659"/>
    <tableColumn id="6" xr3:uid="{EBBFD24C-8909-45B0-B8CB-4ED73B62F2AB}" name="RECUPERO" dataDxfId="658">
      <calculatedColumnFormula>SUM(DATA_MARZO_2025[[#This Row],[1]:[31]])</calculatedColumnFormula>
    </tableColumn>
    <tableColumn id="7" xr3:uid="{D5702432-6067-40C7-B647-63D5EBDD13C2}" name="META" dataDxfId="657"/>
    <tableColumn id="5" xr3:uid="{40A208DF-2D8B-4D71-B923-6BFFA76CDA11}" name="ASER_" dataDxfId="656"/>
    <tableColumn id="38" xr3:uid="{1F074B40-AB13-4BEE-BC21-9D178D274909}" name="1"/>
    <tableColumn id="41" xr3:uid="{936D83D8-C85E-4C4D-9E8D-BA3D7C54F99A}" name="2" dataDxfId="655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654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653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652" dataDxfId="650" headerRowBorderDxfId="651" tableBorderDxfId="649" totalsRowBorderDxfId="648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647"/>
    <tableColumn id="1" xr3:uid="{23B67F77-728E-46C0-B5B1-11CE8E08D862}" name="RECUPERO SUPERVISOR" dataDxfId="646">
      <calculatedColumnFormula>MAX(DITE_MARZO_2025[[#This Row],[1]:[31]])</calculatedColumnFormula>
    </tableColumn>
    <tableColumn id="2" xr3:uid="{0BAE08AE-6A16-447E-9DDD-8800D68BFFA3}" name="ALCANCE SUPERVISOR" dataDxfId="645">
      <calculatedColumnFormula>DITE_MARZO_2025[[#This Row],[RECUPERO SUPERVISOR]]/DITE_MARZO_2025[[#This Row],[META SUPER]]</calculatedColumnFormula>
    </tableColumn>
    <tableColumn id="4" xr3:uid="{663301EA-2B77-4C76-B8E0-713CAAD1AC41}" name="SUPER" dataDxfId="644"/>
    <tableColumn id="6" xr3:uid="{9A6FEB31-48E4-456F-8C1F-14055131E9D6}" name="1" dataDxfId="643"/>
    <tableColumn id="7" xr3:uid="{B8154FAF-39D2-4ED9-8DD7-C179156ECA39}" name="2" dataDxfId="642"/>
    <tableColumn id="8" xr3:uid="{E58A14C1-44D1-46A4-9137-21E70261FA76}" name="3" dataDxfId="641"/>
    <tableColumn id="9" xr3:uid="{EFDA2093-809C-4DA2-80F9-0388CCC5E290}" name="4" dataDxfId="640"/>
    <tableColumn id="10" xr3:uid="{634CF5F0-F36D-4B26-8143-8C3A6FB59216}" name="5" dataDxfId="639"/>
    <tableColumn id="11" xr3:uid="{77A0553B-7BDF-49B7-B459-701A77496BEA}" name="6" dataDxfId="638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637"/>
    <tableColumn id="13" xr3:uid="{C6D91E97-E16B-4E76-BE55-A08C2A1131DD}" name="18" dataDxfId="636"/>
    <tableColumn id="14" xr3:uid="{2A5F1078-A097-4171-BD28-7B9B623471D0}" name="19" dataDxfId="635"/>
    <tableColumn id="15" xr3:uid="{5E883D61-775A-4AD4-A304-156DCFD9F825}" name="20" dataDxfId="634"/>
    <tableColumn id="16" xr3:uid="{BEFB5788-590D-4EFA-8707-20BAAF7026F1}" name="21" dataDxfId="633"/>
    <tableColumn id="17" xr3:uid="{8FC06E69-FAE9-4DBE-9C75-7A6598DE29C6}" name="22" dataDxfId="632"/>
    <tableColumn id="18" xr3:uid="{966EC934-1D25-407E-AE13-8147AC3FF531}" name="23" dataDxfId="631"/>
    <tableColumn id="19" xr3:uid="{5437FF24-6F5D-412D-82EE-8C668C7DC853}" name="24" dataDxfId="630"/>
    <tableColumn id="20" xr3:uid="{204A7CBC-2C07-4027-851F-021033B930C1}" name="25" dataDxfId="629"/>
    <tableColumn id="21" xr3:uid="{DF491418-AC74-4C6A-852F-F0797487D11C}" name="26" dataDxfId="628"/>
    <tableColumn id="22" xr3:uid="{E184F0A4-EF1A-48F5-8166-10085FC40D13}" name="27" dataDxfId="627"/>
    <tableColumn id="23" xr3:uid="{66C12B87-BC6D-46BE-AF31-D0C68A22BC7E}" name="28" dataDxfId="626"/>
    <tableColumn id="24" xr3:uid="{A2DB9C74-4CB6-4BBF-A230-DF50FDE9380D}" name="29" dataDxfId="625"/>
    <tableColumn id="25" xr3:uid="{D54E02BE-AA16-43C7-ABD3-89326740EA63}" name="30" dataDxfId="624"/>
    <tableColumn id="26" xr3:uid="{11172EA7-856A-4297-8329-62917B649E9A}" name="31" dataDxfId="623"/>
    <tableColumn id="3" xr3:uid="{42C6AD34-2DFF-436B-BB22-6DE170226F44}" name="CARTERA" dataDxfId="622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J69" totalsRowShown="0">
  <autoFilter ref="A2:J69" xr:uid="{4BD3AD9B-187F-444D-9B69-D2DA04E4A01E}"/>
  <tableColumns count="10">
    <tableColumn id="1" xr3:uid="{68211AFE-4147-4442-BDF7-CC740B01FA3C}" name="SUPER"/>
    <tableColumn id="2" xr3:uid="{D51D513B-04F6-4185-A044-49B743ABD514}" name="ASESOR_CRR" dataDxfId="621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620"/>
    <tableColumn id="5" xr3:uid="{D789E66F-CC8C-4715-A998-7AE532E85E8A}" name="ASESOR" dataDxfId="619"/>
    <tableColumn id="6" xr3:uid="{3455DB8A-5A64-4A8F-8153-2471763CA60D}" name="RECUPERO" dataDxfId="618"/>
    <tableColumn id="8" xr3:uid="{F8575E1F-78C1-4E15-B505-1AECE8857345}" name="DNI" dataDxfId="617"/>
    <tableColumn id="9" xr3:uid="{BE130F2A-9B67-45D5-AA49-051D2F0A515B}" name="FECHA DE INGRESO" dataDxfId="616"/>
    <tableColumn id="10" xr3:uid="{31096FEC-094E-478E-A9F3-0023192798F0}" name="ESTADO" dataDxfId="615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614" headerRowBorderDxfId="613" tableBorderDxfId="612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611">
      <calculatedColumnFormula>DATA_ABRIL_2025[[#This Row],[RECUPERO]]/DATA_ABRIL_2025[[#This Row],[META]]</calculatedColumnFormula>
    </tableColumn>
    <tableColumn id="3" xr3:uid="{1B1E8B7A-D562-46FD-89DE-12ADBC7146F2}" name="CLASIFICACIÓN" dataDxfId="610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609"/>
    <tableColumn id="6" xr3:uid="{9C2D93B7-85A2-4E07-8DD4-3C81F7BF7EBF}" name="RECUPERO" dataDxfId="608">
      <calculatedColumnFormula>SUM(DATA_ABRIL_2025[[#This Row],[1]:[31]])</calculatedColumnFormula>
    </tableColumn>
    <tableColumn id="7" xr3:uid="{8F4173FF-BB8D-4C61-A5E9-1B6F872C619C}" name="META" dataDxfId="607"/>
    <tableColumn id="5" xr3:uid="{64151D2C-B822-41DF-8964-343214960730}" name="ASER_" dataDxfId="606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605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604" dataDxfId="602" headerRowBorderDxfId="603" tableBorderDxfId="601" totalsRowBorderDxfId="600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599"/>
    <tableColumn id="1" xr3:uid="{56AD13BC-F67F-4EBC-8601-073AD9D41E5D}" name="RECUPERO SUPERVISOR" dataDxfId="598">
      <calculatedColumnFormula>MAX(DITE_ABRIL_2025[[#This Row],[1]:[31]])</calculatedColumnFormula>
    </tableColumn>
    <tableColumn id="2" xr3:uid="{B40C8394-DA7A-4DDD-89EA-AE757C76DD20}" name="ALCANCE SUPERVISOR" dataDxfId="597">
      <calculatedColumnFormula>BA9/DITE_ABRIL_2025[[#This Row],[META SUPER]]</calculatedColumnFormula>
    </tableColumn>
    <tableColumn id="4" xr3:uid="{B71408F8-B985-4B11-8661-52EFC6FA8097}" name="SUPER" dataDxfId="596"/>
    <tableColumn id="6" xr3:uid="{9E37ADBB-A64C-4E4B-9AF4-6087C797FB5E}" name="1" dataDxfId="595"/>
    <tableColumn id="7" xr3:uid="{09E3EE83-45B5-4808-842B-71D4652DE46A}" name="2" dataDxfId="594"/>
    <tableColumn id="8" xr3:uid="{243F9102-2670-48D4-B25D-8432658D89F6}" name="3" dataDxfId="593"/>
    <tableColumn id="9" xr3:uid="{06003E0F-B470-4925-ACE4-1381347B3E87}" name="4" dataDxfId="592"/>
    <tableColumn id="10" xr3:uid="{DF8C4E72-181D-4E2F-A34D-2BB7FD231520}" name="5" dataDxfId="591"/>
    <tableColumn id="11" xr3:uid="{56E37C44-85E9-4431-A560-A54606105B9D}" name="6" dataDxfId="590"/>
    <tableColumn id="12" xr3:uid="{9ADEA573-5E4A-46C0-8569-AFED61AE0141}" name="7" dataDxfId="589"/>
    <tableColumn id="13" xr3:uid="{D44E56ED-D810-4F08-ACAA-0850A2CBA861}" name="8" dataDxfId="588"/>
    <tableColumn id="14" xr3:uid="{4F1A46EB-156C-42BB-A090-307A483EDA59}" name="9" dataDxfId="587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586"/>
    <tableColumn id="16" xr3:uid="{C78E77EC-88A1-4EFD-AD1A-7DF788C46683}" name="22" dataDxfId="585"/>
    <tableColumn id="17" xr3:uid="{D5FD8172-0B95-4406-9239-1ABAD08F1B45}" name="23" dataDxfId="584"/>
    <tableColumn id="18" xr3:uid="{8E9BAC3F-3B04-449B-88EE-DBF57FA626AC}" name="24" dataDxfId="583"/>
    <tableColumn id="19" xr3:uid="{BFA3B7EB-0BC7-4311-8FCE-7C69A9357A03}" name="25" dataDxfId="582"/>
    <tableColumn id="20" xr3:uid="{D2BE25CA-961F-40EE-9EC1-A49EEA4DDB5A}" name="26" dataDxfId="581"/>
    <tableColumn id="21" xr3:uid="{77AAB025-517F-4236-B11B-AEE9B7399348}" name="27" dataDxfId="580"/>
    <tableColumn id="22" xr3:uid="{E35C7392-A09A-482A-9C37-79B0D6711E60}" name="28" dataDxfId="579"/>
    <tableColumn id="23" xr3:uid="{B9F1E360-1FEC-4978-B5DB-3DECA1925AE9}" name="29" dataDxfId="578"/>
    <tableColumn id="24" xr3:uid="{89A20735-1F9D-4A38-9BEB-B3BD56D1FD35}" name="30" dataDxfId="577"/>
    <tableColumn id="25" xr3:uid="{4BE1A809-8A7F-4933-9AB7-B0E4C9CDDD7E}" name="31" dataDxfId="576"/>
    <tableColumn id="3" xr3:uid="{8BAF39B2-F0EB-433E-8F3A-FEAC89C5F9BF}" name="CARTERA" dataDxfId="575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J78" totalsRowShown="0">
  <autoFilter ref="A2:J78" xr:uid="{4C741D8E-BF5F-47B0-9DC2-611AD28D3273}"/>
  <tableColumns count="10">
    <tableColumn id="1" xr3:uid="{E152AEAC-0614-4AEE-89A1-C0945D3B66A9}" name="SUPER"/>
    <tableColumn id="2" xr3:uid="{A339CB3C-4A69-436B-9231-4EBB2149CD4A}" name="ASESOR_CRR" dataDxfId="574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573">
      <calculatedColumnFormula>D1_MAYO_2025[[#This Row],[RECUPERO]]/D1_MAYO_2025[[#This Row],[META]]</calculatedColumnFormula>
    </tableColumn>
    <tableColumn id="7" xr3:uid="{7C5F88F0-9FF3-49CF-BE68-2D455D9DEE81}" name="SUPER2" dataDxfId="572"/>
    <tableColumn id="5" xr3:uid="{5FAC7613-1036-4D50-9A09-AB4F41D88D12}" name="ASESOR" dataDxfId="571"/>
    <tableColumn id="6" xr3:uid="{373B07DA-C176-4486-843D-36C5A3043867}" name="RECUPERO" dataDxfId="570"/>
    <tableColumn id="8" xr3:uid="{CDBFB8A5-E15E-4513-B245-3523278CBBD2}" name="DNI" dataDxfId="569"/>
    <tableColumn id="9" xr3:uid="{64A6BF66-DB3B-4ED3-B1A9-2DF71B8D1ACE}" name="FECHA DE INGRESO" dataDxfId="568"/>
    <tableColumn id="10" xr3:uid="{9DD10A75-AE91-4226-BF53-FBC3A38A3094}" name="ESTADO" dataDxfId="567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566" headerRowBorderDxfId="565" tableBorderDxfId="564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563">
      <calculatedColumnFormula>DATA_MAYO_2025[[#This Row],[RECUPERO]]/DATA_MAYO_2025[[#This Row],[META]]</calculatedColumnFormula>
    </tableColumn>
    <tableColumn id="3" xr3:uid="{8551335D-BE40-494B-A806-42FAA211C207}" name="CLASIFICACIÓN" dataDxfId="562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561"/>
    <tableColumn id="6" xr3:uid="{85DC5B94-4FF7-4224-A993-E56A00A5F6DA}" name="RECUPERO" dataDxfId="560">
      <calculatedColumnFormula>SUM(DATA_MAYO_2025[[#This Row],[1]:[31]])</calculatedColumnFormula>
    </tableColumn>
    <tableColumn id="7" xr3:uid="{E2EB46E1-D5BC-46B2-859F-8C05EBBE26F5}" name="META" dataDxfId="559"/>
    <tableColumn id="5" xr3:uid="{A8ED42EF-7F3D-47A1-A928-02CDC650D596}" name="ASER_" dataDxfId="558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557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556" dataDxfId="554" headerRowBorderDxfId="555" tableBorderDxfId="553" totalsRowBorderDxfId="552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551"/>
    <tableColumn id="1" xr3:uid="{E8B4D119-C811-4392-9EE6-8F0C79BEE9E9}" name="RECUPERO SUPERVISOR" dataDxfId="550">
      <calculatedColumnFormula>MAX(DITE_MAYO_2025[[#This Row],[1]:[31]])</calculatedColumnFormula>
    </tableColumn>
    <tableColumn id="2" xr3:uid="{B44E621C-D444-4670-8FB8-CA1A1E3293FE}" name="ALCANCE SUPERVISOR" dataDxfId="549">
      <calculatedColumnFormula>DITE_MAYO_2025[[#This Row],[RECUPERO SUPERVISOR]]/DITE_MAYO_2025[[#This Row],[META SUPER]]</calculatedColumnFormula>
    </tableColumn>
    <tableColumn id="4" xr3:uid="{63B60F11-ECE7-4839-BADE-F875CF35D6C8}" name="SUPER" dataDxfId="548"/>
    <tableColumn id="6" xr3:uid="{795F9848-930D-4B49-893D-00DA36A6069C}" name="1" dataDxfId="547"/>
    <tableColumn id="7" xr3:uid="{A0F1B09B-45CD-4449-B0E0-2A746353F5F6}" name="2" dataDxfId="546"/>
    <tableColumn id="8" xr3:uid="{42485F8E-3938-40CB-B75A-E12120AF085D}" name="3" dataDxfId="545"/>
    <tableColumn id="9" xr3:uid="{16CE59CD-D621-412D-8F6E-F5B8FEEFCBB4}" name="4" dataDxfId="544"/>
    <tableColumn id="10" xr3:uid="{D1B5939A-E95A-4BE2-BA16-796CFB62C7BB}" name="5" dataDxfId="543"/>
    <tableColumn id="11" xr3:uid="{42606FA2-25C4-48F7-BC25-B75CFBF93D7E}" name="6" dataDxfId="542"/>
    <tableColumn id="12" xr3:uid="{91DD2662-D657-4CF0-B378-5B3D9B374F80}" name="7" dataDxfId="541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540"/>
    <tableColumn id="14" xr3:uid="{FDAEFC46-2A8B-451E-929D-76EC4BC7CA39}" name="19" dataDxfId="539"/>
    <tableColumn id="15" xr3:uid="{1F944C9F-2359-45A9-8922-617195550B92}" name="20" dataDxfId="538"/>
    <tableColumn id="16" xr3:uid="{D023EA95-922B-4435-8A92-F165E2F3A560}" name="21" dataDxfId="537"/>
    <tableColumn id="17" xr3:uid="{7AC3BA92-E630-483B-B27E-18C40869116B}" name="22" dataDxfId="536"/>
    <tableColumn id="18" xr3:uid="{3609A57C-B1DB-4D87-9574-007183221000}" name="23" dataDxfId="535"/>
    <tableColumn id="19" xr3:uid="{98740490-1047-4343-85C8-834AE6AF935A}" name="24" dataDxfId="534"/>
    <tableColumn id="20" xr3:uid="{CE682DBD-B5A8-49C9-8A73-515C0BB553A8}" name="25" dataDxfId="533"/>
    <tableColumn id="21" xr3:uid="{2C63A6DB-A36B-488F-8D7C-F86E11CED59A}" name="26" dataDxfId="532"/>
    <tableColumn id="22" xr3:uid="{01511E88-F7F3-4FDD-998C-292B28698241}" name="27" dataDxfId="531"/>
    <tableColumn id="23" xr3:uid="{B0CE642E-7F10-4E00-9DD1-FC5CF0499DC2}" name="28" dataDxfId="530"/>
    <tableColumn id="24" xr3:uid="{EE9469B0-D486-4046-8AA2-36629B9D9667}" name="29" dataDxfId="529"/>
    <tableColumn id="25" xr3:uid="{D05B2A45-8E05-43BB-9FFA-CC56C7D8C31E}" name="30" dataDxfId="528"/>
    <tableColumn id="26" xr3:uid="{AE78D865-FDC9-4B75-AADF-A48F19C319DC}" name="31" dataDxfId="527"/>
    <tableColumn id="3" xr3:uid="{0887DE9C-F035-4EEC-B2F4-4C2CEB11922C}" name="CARTERA" dataDxfId="526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J83" totalsRowShown="0">
  <autoFilter ref="A2:J83" xr:uid="{64C0DE59-0F83-4A2B-97E4-DFA4A01B849B}"/>
  <tableColumns count="10">
    <tableColumn id="1" xr3:uid="{BE333B5A-1A5B-4E73-9860-1AA45E4E9980}" name="SUPER"/>
    <tableColumn id="2" xr3:uid="{877210DA-3F05-4E03-80B9-BC02A44F0C24}" name="ASESOR_CRR" dataDxfId="525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524"/>
    <tableColumn id="5" xr3:uid="{1BF578D9-FB1B-48B0-B732-40F721FD7C19}" name="ASESOR" dataDxfId="523"/>
    <tableColumn id="6" xr3:uid="{CA995F17-DCA5-4D19-B2E1-FD9362121A39}" name="RECUPERO"/>
    <tableColumn id="8" xr3:uid="{9BC620F7-3E10-4417-B0EA-F37D1F039447}" name="DNI" dataDxfId="522"/>
    <tableColumn id="9" xr3:uid="{0CBCBA61-9BA1-4E3D-B6CE-38E6C9A1078C}" name="FECHA DE INGRESO" dataDxfId="521"/>
    <tableColumn id="10" xr3:uid="{3A23F58F-8B92-4D7C-82D9-23C8B3B51E6F}" name="ESTADO" dataDxfId="520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519" headerRowBorderDxfId="518" tableBorderDxfId="517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516">
      <calculatedColumnFormula>DATA_JUNIO_2025[[#This Row],[RECUPERO]]/DATA_JUNIO_2025[[#This Row],[META]]</calculatedColumnFormula>
    </tableColumn>
    <tableColumn id="3" xr3:uid="{78E201C6-658E-4437-AC52-3D0E669D8389}" name="CLASIFICACIÓN" dataDxfId="515">
      <calculatedColumnFormula array="1">IF(DATA_JUNIO_2025[[#This Row],[ASER_]]="","",IFERROR(_xlfn.IFS(M9&gt;=100%,"&gt;100%",AND(M9&lt;100%,M9&gt;=70%),"&gt;70%",AND(M9&lt;70%,M9&gt;=40%),"&gt;40%",AND(M9&lt;40%,M9&gt;=0%),"&gt;0%"),""))</calculatedColumnFormula>
    </tableColumn>
    <tableColumn id="1" xr3:uid="{C1D03C86-C680-4F57-A317-59AA1FC8881C}" name="SUPERVISOR" dataDxfId="514"/>
    <tableColumn id="6" xr3:uid="{3AD4A449-DB0B-4879-AD61-28FA40E45717}" name="RECUPERO" dataDxfId="513">
      <calculatedColumnFormula>SUM(DATA_JUNIO_2025[[#This Row],[1]:[31]])</calculatedColumnFormula>
    </tableColumn>
    <tableColumn id="7" xr3:uid="{2BD9FB92-38FC-44A8-B5F2-890569E48C37}" name="META" dataDxfId="512"/>
    <tableColumn id="5" xr3:uid="{9812F1F1-AB5A-41A6-A84D-86B290FCB7E7}" name="ASER_" dataDxfId="511"/>
    <tableColumn id="37" xr3:uid="{834796BA-53F4-4194-919E-D8B97FEA7F3F}" name="1" dataDxfId="510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509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508" dataDxfId="506" headerRowBorderDxfId="507" tableBorderDxfId="505" totalsRowBorderDxfId="504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503"/>
    <tableColumn id="1" xr3:uid="{1A75BF93-811F-4AFA-86B4-9AD496200913}" name="RECUPERO SUPERVISOR" dataDxfId="502"/>
    <tableColumn id="2" xr3:uid="{60B107BC-0938-4363-BE59-47C4E7777D14}" name="ALCANCE SUPERVISOR" dataDxfId="501">
      <calculatedColumnFormula>DITE_JUNIO_2025[[#This Row],[RECUPERO SUPERVISOR]]/DITE_JUNIO_2025[[#This Row],[META SUPER]]</calculatedColumnFormula>
    </tableColumn>
    <tableColumn id="4" xr3:uid="{846684E8-1F2C-4021-AB12-AFBE9E56FAA4}" name="SUPER" dataDxfId="500"/>
    <tableColumn id="6" xr3:uid="{A217DEAD-ACD7-4C63-A622-E2E01ECF328C}" name="1" dataDxfId="499"/>
    <tableColumn id="7" xr3:uid="{5CA18C0A-7D47-455B-B153-EFA8D01D32D6}" name="2" dataDxfId="498"/>
    <tableColumn id="8" xr3:uid="{3CBBE086-E28B-4224-AF45-5A4E7A009E3F}" name="3" dataDxfId="497"/>
    <tableColumn id="9" xr3:uid="{4B327145-F7C9-4ABC-A911-6EB2E553C986}" name="4" dataDxfId="496"/>
    <tableColumn id="10" xr3:uid="{C644450F-2149-4D87-8E04-D3DD6B99C066}" name="5" dataDxfId="495"/>
    <tableColumn id="11" xr3:uid="{92D6DA00-2083-479D-96F6-4B48312C9C12}" name="6" dataDxfId="494"/>
    <tableColumn id="12" xr3:uid="{2EC613D6-BDCD-416F-817F-42C8018B90FE}" name="7" dataDxfId="493"/>
    <tableColumn id="13" xr3:uid="{B55C5834-2D46-4D83-8429-14D18D9B95EF}" name="8" dataDxfId="492"/>
    <tableColumn id="14" xr3:uid="{5C6DF4C8-EDC0-4827-AA8B-9C2B7202A4DA}" name="9" dataDxfId="491"/>
    <tableColumn id="15" xr3:uid="{764D7AA1-F3E2-4E06-A4A9-952B47F95E76}" name="10" dataDxfId="490"/>
    <tableColumn id="16" xr3:uid="{6D896E44-118D-4124-BF4A-2E06B8568517}" name="11" dataDxfId="489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488"/>
    <tableColumn id="18" xr3:uid="{E97C32F3-7B30-46E7-B4CD-72B412E48E28}" name="22" dataDxfId="487"/>
    <tableColumn id="19" xr3:uid="{FD784BF8-211E-4275-A9B4-168979C2AFD1}" name="23" dataDxfId="486"/>
    <tableColumn id="20" xr3:uid="{766DA9FA-C407-4AC5-BFFB-BF6A1B6D5B26}" name="24" dataDxfId="485"/>
    <tableColumn id="21" xr3:uid="{CD1B765C-53CF-4C5C-A708-487BC53AF68A}" name="25" dataDxfId="484"/>
    <tableColumn id="22" xr3:uid="{2800A805-A560-4CF0-B47E-4486A92755E4}" name="26" dataDxfId="483"/>
    <tableColumn id="23" xr3:uid="{7067EFFA-F2EA-4FFF-A281-8E3E0E718C87}" name="27" dataDxfId="482"/>
    <tableColumn id="24" xr3:uid="{BB01C4B5-FEB4-44E1-BF58-4C9BF81261B1}" name="28" dataDxfId="481"/>
    <tableColumn id="25" xr3:uid="{2116D7DE-6632-4314-9539-6B4BA9407512}" name="29" dataDxfId="480"/>
    <tableColumn id="37" xr3:uid="{CBFA4429-3DA2-46C7-A9A0-49B669AE33A6}" name="30"/>
    <tableColumn id="26" xr3:uid="{B0D188FD-F41F-4C43-A42F-87048D9F3347}" name="31" dataDxfId="479"/>
    <tableColumn id="3" xr3:uid="{153A774F-FA3D-4DE9-A743-A193E9EC2BE7}" name="CARTERA" dataDxfId="478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477" headerRowBorderDxfId="476" tableBorderDxfId="475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474">
      <calculatedColumnFormula>DATA_JULIO_2025[[#This Row],[RECUPERO]]/DATA_JULIO_2025[[#This Row],[META]]</calculatedColumnFormula>
    </tableColumn>
    <tableColumn id="3" xr3:uid="{1754C817-3C23-490F-BEA3-3ACD2AC34A65}" name="CLASIFICACIÓN" dataDxfId="473">
      <calculatedColumnFormula array="1">IF(DATA_JULIO_2025[[#This Row],[ASER_]]="","",IFERROR(_xlfn.IFS(M9&gt;=100%,"&gt;100%",AND(M9&lt;100%,M9&gt;=70%),"&gt;70%",AND(M9&lt;70%,M9&gt;=40%),"&gt;40%",AND(M9&lt;40%,M9&gt;=0%),"&gt;0%"),""))</calculatedColumnFormula>
    </tableColumn>
    <tableColumn id="5" xr3:uid="{635B51D1-72B4-46A4-B795-4985950C2B5D}" name="SUPERVISOR" dataDxfId="472"/>
    <tableColumn id="6" xr3:uid="{BCDF5A35-E274-481A-8FAA-7585E0413D78}" name="RECUPERO" dataDxfId="471">
      <calculatedColumnFormula>SUM(DATA_JULIO_2025[[#This Row],[1]:[31]])</calculatedColumnFormula>
    </tableColumn>
    <tableColumn id="7" xr3:uid="{8DE1FEE0-51D3-4EA8-A46E-89BEBA12056E}" name="META" dataDxfId="470"/>
    <tableColumn id="1" xr3:uid="{3C41F150-757E-4673-8594-D891B2820E33}" name="ASER_" dataDxfId="469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468"/>
  </tableColumns>
  <tableStyleInfo name="TableStyleMedium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J85" totalsRowShown="0" dataDxfId="466" headerRowBorderDxfId="467" tableBorderDxfId="465">
  <autoFilter ref="A2:J85" xr:uid="{F460AB3C-55A7-4610-B74D-44400B82E396}"/>
  <tableColumns count="10">
    <tableColumn id="1" xr3:uid="{174E92CC-5FBB-42E6-ABBA-A2148115201A}" name="SUPER" dataDxfId="464">
      <calculatedColumnFormula>D1_JULIO_2025[[#This Row],[SUPER2]]</calculatedColumnFormula>
    </tableColumn>
    <tableColumn id="6" xr3:uid="{D87E1435-21B2-485D-8BCD-1C27FC523EEA}" name="ASESOR_CRR" dataDxfId="463">
      <calculatedColumnFormula>D1_JULIO_2025[[#This Row],[ASESOR]]</calculatedColumnFormula>
    </tableColumn>
    <tableColumn id="2" xr3:uid="{FC570054-965C-4F29-B04A-C58608AEAECA}" name="META" dataDxfId="462">
      <calculatedColumnFormula>VLOOKUP(D1_JULIO_2025[[#This Row],[SUPER]],DATA_JULIO_2025[[SUPERVISOR]:[META]],3,0)</calculatedColumnFormula>
    </tableColumn>
    <tableColumn id="3" xr3:uid="{CF023A93-4AFB-4349-9235-179A60BC2249}" name="ALCANCE" dataDxfId="461">
      <calculatedColumnFormula>D1_JULIO_2025[[#This Row],[RECUPERO]]/C3</calculatedColumnFormula>
    </tableColumn>
    <tableColumn id="7" xr3:uid="{59576C9E-00A8-419A-8EFC-86D74D6B4B3F}" name="SUPER2" dataDxfId="460"/>
    <tableColumn id="4" xr3:uid="{6F567985-92B6-498E-BDE9-81AA438ECD22}" name="ASESOR" dataDxfId="459"/>
    <tableColumn id="5" xr3:uid="{2DFC340F-6B74-4E64-B475-782D4A5F8B3E}" name="RECUPERO" dataDxfId="458"/>
    <tableColumn id="8" xr3:uid="{D42D0BDD-24C5-4390-9867-D5F3D45952CE}" name="DNI" dataDxfId="457"/>
    <tableColumn id="9" xr3:uid="{A9555617-B6CF-4123-9AD8-5E9DB6528E74}" name="FECHA DE INGRESO" dataDxfId="456"/>
    <tableColumn id="10" xr3:uid="{1C792B0A-E0F3-406D-8123-75E932FC95A1}" name="ESTADO" dataDxfId="455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454" dataDxfId="452" headerRowBorderDxfId="453" tableBorderDxfId="451" totalsRowBorderDxfId="450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449"/>
    <tableColumn id="1" xr3:uid="{4CE2BFB4-C324-4ECE-B3B7-77A433373BEC}" name="RECUPERO SUPERVISOR" dataDxfId="448"/>
    <tableColumn id="2" xr3:uid="{76C6BCA1-6820-46A6-B790-01B3E88F6266}" name="ALCANCE SUPERVISOR" dataDxfId="447">
      <calculatedColumnFormula>BA9/DITE_JULIO_2025[[#This Row],[META SUPER]]</calculatedColumnFormula>
    </tableColumn>
    <tableColumn id="4" xr3:uid="{FE9C5289-6F21-4D71-92B6-F36B6C9748E7}" name="SUPER" dataDxfId="446"/>
    <tableColumn id="6" xr3:uid="{A5188244-D142-4196-92CC-15B237C3E734}" name="1" dataDxfId="445"/>
    <tableColumn id="7" xr3:uid="{9754BD88-AFD1-4BCB-AF69-DA7B55E3A053}" name="2" dataDxfId="444"/>
    <tableColumn id="8" xr3:uid="{851C8CA8-D257-4BFB-B6BE-D82354200CA7}" name="3" dataDxfId="443"/>
    <tableColumn id="9" xr3:uid="{AE769B63-903F-46E5-A3F0-8DA27C689974}" name="4" dataDxfId="442"/>
    <tableColumn id="10" xr3:uid="{D09A5961-EE10-491A-BFFE-C5ABD80598A8}" name="5" dataDxfId="441"/>
    <tableColumn id="11" xr3:uid="{EC4AF483-303E-4488-AFA2-DD9A058F071A}" name="6" dataDxfId="440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439"/>
    <tableColumn id="13" xr3:uid="{377D024A-00DD-4A77-A549-5C6BEBE894D0}" name="19" dataDxfId="438"/>
    <tableColumn id="14" xr3:uid="{8FABF999-C8BA-4B7D-980A-2659F766178B}" name="20" dataDxfId="437"/>
    <tableColumn id="15" xr3:uid="{06AC6AD7-A191-47DD-AE3F-9A0525AF8DD6}" name="21" dataDxfId="436"/>
    <tableColumn id="16" xr3:uid="{BB465107-63D7-443B-8989-EF197F62D322}" name="22" dataDxfId="435"/>
    <tableColumn id="17" xr3:uid="{3DFE5CBD-1315-4CBA-A14E-1763583D7BEC}" name="23" dataDxfId="434"/>
    <tableColumn id="18" xr3:uid="{5DB3135E-36A1-4F0D-890E-50AC461B96C4}" name="24" dataDxfId="433"/>
    <tableColumn id="19" xr3:uid="{57CA79FE-F6A3-4697-8926-36322AD1BC6C}" name="25" dataDxfId="432"/>
    <tableColumn id="20" xr3:uid="{A99C4302-A806-4344-ABAF-AF753E7EF30D}" name="26" dataDxfId="431"/>
    <tableColumn id="21" xr3:uid="{D1C3F20A-0988-4CC4-8D06-ED3EE15A7AB1}" name="27" dataDxfId="430"/>
    <tableColumn id="22" xr3:uid="{ECEC5739-F3E4-44C4-9408-4DAA6DE5069C}" name="28" dataDxfId="429"/>
    <tableColumn id="23" xr3:uid="{CD77FB96-6C17-47A0-82BA-2ABEA1725A41}" name="29" dataDxfId="428"/>
    <tableColumn id="24" xr3:uid="{87D0EFA1-B9FB-444F-B737-EE4C1B838FBC}" name="30" dataDxfId="427"/>
    <tableColumn id="25" xr3:uid="{BF0F5A29-80D1-482F-9C53-48E4478A5F1D}" name="31" dataDxfId="426"/>
    <tableColumn id="3" xr3:uid="{51B2E01F-098B-4EAB-AB37-99A7A456DDF6}" name="CARTERA" dataDxfId="425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J91" totalsRowShown="0" dataDxfId="423" headerRowBorderDxfId="424" tableBorderDxfId="422">
  <autoFilter ref="A2:J91" xr:uid="{816CEBCE-101B-42C2-A45C-8113A647428A}"/>
  <tableColumns count="10">
    <tableColumn id="1" xr3:uid="{596664E6-24CF-4AF3-A84D-121AC4745B4C}" name="SUPER" dataDxfId="421"/>
    <tableColumn id="6" xr3:uid="{CA4B13E9-2CAB-42E2-A028-4DFB844CF726}" name="ASESOR_CRR" dataDxfId="420"/>
    <tableColumn id="2" xr3:uid="{B3C2F90C-6F59-4998-9F82-960596BF09D8}" name="META" dataDxfId="419">
      <calculatedColumnFormula>VLOOKUP(D1_AGOSTO_2025[[#This Row],[SUPER]],DATA_AGOSTO_2025[[SUPERVISOR]:[META]],3,0)</calculatedColumnFormula>
    </tableColumn>
    <tableColumn id="3" xr3:uid="{6CE379C4-19C8-4C90-81DB-EA83E873B03A}" name="ALCANCE" dataDxfId="418"/>
    <tableColumn id="7" xr3:uid="{28AC502F-3113-4B59-AA88-4F9E0E7D938B}" name="SUPER2" dataDxfId="417"/>
    <tableColumn id="4" xr3:uid="{9AE19661-0B03-4D03-9661-4B81FCE456D3}" name="ASESOR" dataDxfId="416"/>
    <tableColumn id="5" xr3:uid="{9CCAC285-FD2E-415B-BE6E-AD7E20CECF29}" name="RECUPERO" dataDxfId="415">
      <calculatedColumnFormula>VLOOKUP(D1_AGOSTO_2025[[#This Row],[ASESOR]],$E$95:$F$176,2,0)</calculatedColumnFormula>
    </tableColumn>
    <tableColumn id="8" xr3:uid="{043E81D5-B688-480A-9A28-C451E6CC8ACE}" name="DNI" dataDxfId="414"/>
    <tableColumn id="9" xr3:uid="{1F9CE105-EFA8-4FFE-9C5C-0AB581B961DE}" name="FECHA DE INGRESO" dataDxfId="413"/>
    <tableColumn id="10" xr3:uid="{6CA7DA08-8CCF-441D-AE86-422E2259780A}" name="ESTADO" dataDxfId="412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411" headerRowBorderDxfId="410" tableBorderDxfId="409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408">
      <calculatedColumnFormula>DATA_AGOSTO_2025[[#This Row],[RECUPERO]]/DATA_AGOSTO_2025[[#This Row],[META]]</calculatedColumnFormula>
    </tableColumn>
    <tableColumn id="3" xr3:uid="{88C3CECE-F881-4C05-BA2B-95B253894A39}" name="CLASIFICACIÓN" dataDxfId="407">
      <calculatedColumnFormula array="1">IF(DATA_AGOSTO_2025[[#This Row],[ASER_]]="","",IFERROR(_xlfn.IFS(M11&gt;=100%,"&gt;100%",AND(M11&lt;100%,M11&gt;=70%),"&gt;70%",AND(M11&lt;70%,M11&gt;=40%),"&gt;40%",AND(M11&lt;40%,M11&gt;=0%),"&gt;0%"),""))</calculatedColumnFormula>
    </tableColumn>
    <tableColumn id="1" xr3:uid="{F581F4DA-B6F3-4641-93F9-FB4CABD3B045}" name="SUPERVISOR" dataDxfId="406"/>
    <tableColumn id="6" xr3:uid="{40820BC6-7E2D-416A-AC23-B4520FC0957D}" name="RECUPERO" dataDxfId="405">
      <calculatedColumnFormula>SUM(DATA_AGOSTO_2025[[#This Row],[1]:[31]])</calculatedColumnFormula>
    </tableColumn>
    <tableColumn id="7" xr3:uid="{F7BC8835-EC2E-4047-8AE9-C742ABE03445}" name="META" dataDxfId="404"/>
    <tableColumn id="5" xr3:uid="{22298E20-98EB-421A-8978-F019348D2A10}" name="ASER_" dataDxfId="403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402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401" dataDxfId="399" headerRowBorderDxfId="400" tableBorderDxfId="398" totalsRowBorderDxfId="397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396"/>
    <tableColumn id="1" xr3:uid="{D853C78B-294B-4C5B-87F9-8B837DBCA858}" name="RECUPERO SUPERVISOR" dataDxfId="395">
      <calculatedColumnFormula>MAX(DITE_AGOSTO_2025[[#This Row],[1]:[31]])</calculatedColumnFormula>
    </tableColumn>
    <tableColumn id="2" xr3:uid="{A6B49739-8C7F-42B7-AB2B-2D9B8785D8A7}" name="ALCANCE SUPERVISOR" dataDxfId="394">
      <calculatedColumnFormula>DITE_AGOSTO_2025[[#This Row],[RECUPERO SUPERVISOR]]/DITE_AGOSTO_2025[[#This Row],[META SUPER]]</calculatedColumnFormula>
    </tableColumn>
    <tableColumn id="4" xr3:uid="{96D2A1C2-9EA3-4132-B41A-8B57BBB00DD3}" name="SUPER" dataDxfId="393"/>
    <tableColumn id="6" xr3:uid="{49EEE6CA-AF7B-4615-AE46-CA713F4E9209}" name="1" dataDxfId="392"/>
    <tableColumn id="7" xr3:uid="{61649C96-BFE5-4D18-BCE1-727E2E74D883}" name="2" dataDxfId="391"/>
    <tableColumn id="8" xr3:uid="{3D095B63-6086-4E9E-85B2-511507890CD8}" name="3" dataDxfId="390"/>
    <tableColumn id="9" xr3:uid="{36CD21E6-51F3-49C9-8448-36B269029EF6}" name="4" dataDxfId="389"/>
    <tableColumn id="10" xr3:uid="{D4DBAD01-5AE1-474A-AF64-A98DFD56153A}" name="5" dataDxfId="388"/>
    <tableColumn id="11" xr3:uid="{FDF3CA30-E7DF-4684-9747-03744CC16AAE}" name="6" dataDxfId="387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386"/>
    <tableColumn id="13" xr3:uid="{55EA3D15-E74B-4AB3-B0D5-B387C3EAAB83}" name="19" dataDxfId="385"/>
    <tableColumn id="14" xr3:uid="{507E3CA9-692F-4A2D-BA96-B401D04EEDD0}" name="20" dataDxfId="384"/>
    <tableColumn id="15" xr3:uid="{E5F719C0-0646-408A-976E-C57966E876F4}" name="21" dataDxfId="383"/>
    <tableColumn id="16" xr3:uid="{8AC2AE0D-50EC-4387-A0A4-A1F2DF092A3C}" name="22" dataDxfId="382"/>
    <tableColumn id="17" xr3:uid="{7B1EE470-E258-4B37-BEC3-E798950632D8}" name="23" dataDxfId="381"/>
    <tableColumn id="18" xr3:uid="{F77C3800-E94B-4C32-A796-122D364094EA}" name="24" dataDxfId="380"/>
    <tableColumn id="19" xr3:uid="{0DA4161D-30F3-4E97-BCBB-4C1E891B36FB}" name="25" dataDxfId="379"/>
    <tableColumn id="20" xr3:uid="{94B916D9-415F-4F66-A6C0-0EE398A152E9}" name="26" dataDxfId="378"/>
    <tableColumn id="21" xr3:uid="{D814BC25-89A4-4A6B-B889-6BF06DD3D2EC}" name="27" dataDxfId="377"/>
    <tableColumn id="22" xr3:uid="{7DEFEDE7-498F-4CCF-A7C2-F63ACE1BA092}" name="28" dataDxfId="376"/>
    <tableColumn id="23" xr3:uid="{CA36A7C5-BBBD-47FB-AAB4-1F5CBDA1EE93}" name="29" dataDxfId="375"/>
    <tableColumn id="24" xr3:uid="{958DFD93-9566-47EC-807E-E21861CB1F39}" name="30" dataDxfId="374"/>
    <tableColumn id="25" xr3:uid="{C690FBB6-6A9F-4B4D-AEF8-49C27DFF4FCF}" name="31" dataDxfId="373"/>
    <tableColumn id="3" xr3:uid="{C5283215-E8BB-41D8-B093-AA31F8252394}" name="CARTERA" dataDxfId="372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370" headerRowBorderDxfId="371" tableBorderDxfId="369">
  <autoFilter ref="A2:I80" xr:uid="{111BC5E6-A71D-437E-ABD5-0E09FCDEF3FD}"/>
  <tableColumns count="9">
    <tableColumn id="1" xr3:uid="{EABDBA5F-3C1B-4AC8-8F40-8C9EED5560F3}" name="SUPER" dataDxfId="368"/>
    <tableColumn id="6" xr3:uid="{C37701A2-99CA-45B9-AA89-63D54C88C5B9}" name="ASESOR_CRR" dataDxfId="367"/>
    <tableColumn id="2" xr3:uid="{8360BA59-782B-4699-ABEA-458A3C9299AD}" name="RECUP" dataDxfId="366"/>
    <tableColumn id="3" xr3:uid="{BD5C8833-8CBB-40D9-BC66-F164208CFEC0}" name="ALCANCE" dataDxfId="365"/>
    <tableColumn id="7" xr3:uid="{07FA8551-F17A-4D20-BAC6-4B128B0ECF57}" name="SUPER2" dataDxfId="364"/>
    <tableColumn id="4" xr3:uid="{91470BB1-1A8E-4802-9D93-28E5A1DF6790}" name="ASESOR" dataDxfId="363"/>
    <tableColumn id="5" xr3:uid="{2B49EE5D-87EB-458C-99B1-7F94B8EDDE4B}" name="RECUPERO" dataDxfId="362"/>
    <tableColumn id="8" xr3:uid="{1A69791E-D827-4498-A9B8-C02ED9E8C0C0}" name="DNI" dataDxfId="361"/>
    <tableColumn id="9" xr3:uid="{17EC964E-623C-4526-9375-D1DFD0BBB147}" name="FECHA DE INGRESO" dataDxfId="360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359" headerRowBorderDxfId="358" tableBorderDxfId="357">
  <autoFilter ref="J8:O86" xr:uid="{91775BD2-E36D-479B-95DE-48127C3410BC}"/>
  <tableColumns count="6">
    <tableColumn id="2" xr3:uid="{033A6CF7-EC22-4EEE-8FF0-8C343161421D}" name="AL_AC" dataDxfId="356"/>
    <tableColumn id="3" xr3:uid="{2234E43A-FB04-4BD5-A5FB-BE681630D39D}" name="CLASIFICACIÓN" dataDxfId="355"/>
    <tableColumn id="1" xr3:uid="{E68E03C4-584B-48EC-AA41-D10E171DF6E2}" name="SUPERVISOR" dataDxfId="354"/>
    <tableColumn id="6" xr3:uid="{8FEE60A3-7153-47ED-82A3-25E3E95BD5B9}" name="RECUPERO" dataDxfId="353"/>
    <tableColumn id="5" xr3:uid="{96DEFE26-B796-4F9F-BB26-62A9B1295009}" name="META" dataDxfId="352"/>
    <tableColumn id="4" xr3:uid="{98491906-C3E6-4CCF-96D0-36184A648156}" name="ASER_" dataDxfId="351"/>
  </tableColumns>
  <tableStyleInfo name="TableStyleMedium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350" dataDxfId="348" headerRowBorderDxfId="349" tableBorderDxfId="347" totalsRowBorderDxfId="346">
  <autoFilter ref="Q8:AQ16" xr:uid="{B03330B9-97D2-48C8-8B43-740321917DA5}"/>
  <tableColumns count="27">
    <tableColumn id="5" xr3:uid="{4E3B6BB8-3B21-487C-8667-D21D7F0B0DDF}" name="META SUPER" dataDxfId="345"/>
    <tableColumn id="1" xr3:uid="{C390EAAF-612A-443A-A32B-07A66CB5EF93}" name="RECUPERO SUPERVISOR" dataDxfId="344"/>
    <tableColumn id="2" xr3:uid="{BF66D468-0BA9-433F-A558-DB3EB49638C0}" name="ALCANCE SUPERVISOR" dataDxfId="343"/>
    <tableColumn id="4" xr3:uid="{833C2FF4-09CC-46A1-B127-078899129ED2}" name="SUPER" dataDxfId="342"/>
    <tableColumn id="6" xr3:uid="{7268ABE3-61CC-4084-9F8D-F9F866838337}" name="1-Set" dataDxfId="341"/>
    <tableColumn id="7" xr3:uid="{934984E8-2516-4844-B21B-29330A07EEE9}" name="2-Set" dataDxfId="340"/>
    <tableColumn id="8" xr3:uid="{5F8B97B9-8D43-4455-9D8F-E58FD0EDAC17}" name="3-Set" dataDxfId="339"/>
    <tableColumn id="9" xr3:uid="{85D24C9E-9252-4D30-9E54-18DBF77A6C70}" name="4-Set" dataDxfId="338"/>
    <tableColumn id="10" xr3:uid="{5A78F08C-1794-450A-88A4-F02CE65D2409}" name="5-Set" dataDxfId="337"/>
    <tableColumn id="11" xr3:uid="{C9868C58-D704-4A31-95DB-6D8FBCC63D90}" name="8-Set" dataDxfId="336"/>
    <tableColumn id="12" xr3:uid="{5A69AB6F-1CBE-456F-9AB1-9CFA02551564}" name="9-Set" dataDxfId="335"/>
    <tableColumn id="13" xr3:uid="{2FB09AC7-C3A6-45CD-8892-0B683DF946C3}" name="10-Set" dataDxfId="334"/>
    <tableColumn id="14" xr3:uid="{B8720ED9-AC2B-41EC-BFA3-A12BF9C966CC}" name="11-Set" dataDxfId="333"/>
    <tableColumn id="15" xr3:uid="{31CBBA73-A7BD-468C-BD0B-435687D2ACAD}" name="12-Set" dataDxfId="332"/>
    <tableColumn id="16" xr3:uid="{02C13EA1-381F-4C2D-B917-AF0FF1A9F773}" name="15-Set" dataDxfId="331"/>
    <tableColumn id="17" xr3:uid="{E6B04D90-5126-40CD-BDA1-E2B120BAD73C}" name="16-Set" dataDxfId="330"/>
    <tableColumn id="18" xr3:uid="{7CB5014E-CB0D-4F8A-A9D7-BD9A166A1B37}" name="17-Set" dataDxfId="329"/>
    <tableColumn id="19" xr3:uid="{040ABF10-1BFC-447A-AE21-D052CBC2ED82}" name="18-Set" dataDxfId="328"/>
    <tableColumn id="20" xr3:uid="{44DFBCB9-0C1E-48F5-ACC2-AC0990D1520D}" name="19-Set" dataDxfId="327"/>
    <tableColumn id="21" xr3:uid="{AFFC2ABC-F24F-4F16-B5DD-03747097DBCC}" name="22-Set" dataDxfId="326"/>
    <tableColumn id="22" xr3:uid="{E8A652BF-A601-498B-965E-DF95F032A19E}" name="23-Set" dataDxfId="325"/>
    <tableColumn id="23" xr3:uid="{E1A1F3EC-A932-4B54-BD80-6B3004BAC18C}" name="24-Set" dataDxfId="324"/>
    <tableColumn id="24" xr3:uid="{7F5C1B88-4DF8-4775-AEFB-F5F5D12AD778}" name="25-Set" dataDxfId="323"/>
    <tableColumn id="25" xr3:uid="{B40C371A-A255-4AD7-B43D-47350B1FF421}" name="26-Set" dataDxfId="322"/>
    <tableColumn id="26" xr3:uid="{AFFE8D31-2DD6-4039-8ED5-AD63D5758F88}" name="29-Set" dataDxfId="321"/>
    <tableColumn id="27" xr3:uid="{041693B7-E11C-4B55-8C93-8CFB39922E84}" name="30-Set" dataDxfId="320"/>
    <tableColumn id="3" xr3:uid="{1DAB60E5-FA3D-4422-89D0-AD46643BF45E}" name="CARTERA" dataDxfId="319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J79" totalsRowShown="0">
  <autoFilter ref="A2:J79" xr:uid="{4538E234-E304-4CD8-A847-B72CD7C8B45D}"/>
  <tableColumns count="10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318"/>
    <tableColumn id="5" xr3:uid="{2D06A3B4-3271-49A3-9C7C-FFC311CAB0D8}" name="ASESOR"/>
    <tableColumn id="6" xr3:uid="{7C83291E-5126-4377-B991-EBB23328360F}" name="RECUPERO" dataDxfId="317">
      <calculatedColumnFormula>VLOOKUP(D1_OCTUBRE_2025[[#This Row],[ASESOR]],F78:$G$155,2,0)</calculatedColumnFormula>
    </tableColumn>
    <tableColumn id="8" xr3:uid="{7F2D2756-92A6-4522-A15C-2F10A82AAD95}" name="DNI" dataDxfId="316"/>
    <tableColumn id="9" xr3:uid="{B01E98C6-A76C-417B-B7FA-B0F1C8C2C7C6}" name="FECHA DE INGRESO" dataDxfId="315"/>
    <tableColumn id="10" xr3:uid="{DEB6156D-2B0C-4157-8EE4-0EE1578CCF4A}" name="ESTADO" dataDxfId="314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313" tableBorderDxfId="312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311">
      <calculatedColumnFormula>DATA_OCTUBRE_2025[[#This Row],[RECUPERO]]/DATA_OCTUBRE_2025[[#This Row],[META]]</calculatedColumnFormula>
    </tableColumn>
    <tableColumn id="3" xr3:uid="{EE681579-D463-48E9-A57F-B73D04925E37}" name="CLASIFICACIÓN" dataDxfId="310">
      <calculatedColumnFormula array="1">IF(DATA_OCTUBRE_2025[[#This Row],[ASER_]]="","",IFERROR(_xlfn.IFS(M11&gt;=100%,"&gt;100%",AND(M11&lt;100%,M11&gt;=70%),"&gt;70%",AND(M11&lt;70%,M11&gt;=40%),"&gt;40%",AND(M11&lt;40%,M11&gt;=0%),"&gt;0%"),""))</calculatedColumnFormula>
    </tableColumn>
    <tableColumn id="1" xr3:uid="{DDD85E5B-35ED-4EC0-8A85-7316C4176729}" name="SUPERVISOR" dataDxfId="309"/>
    <tableColumn id="6" xr3:uid="{3B45E8CF-4BCD-492C-B1A3-3E157855AA4E}" name="RECUPERO" dataDxfId="308">
      <calculatedColumnFormula>SUM(DATA_OCTUBRE_2025[[#This Row],[1]:[31]])</calculatedColumnFormula>
    </tableColumn>
    <tableColumn id="7" xr3:uid="{2D762908-0860-493B-A482-9514EAD41E9B}" name="META" dataDxfId="307"/>
    <tableColumn id="4" xr3:uid="{B03F71B4-D73E-47CB-8F19-B1EBCB980D51}" name="ASER_" dataDxfId="306"/>
    <tableColumn id="8" xr3:uid="{DADEF8E1-B4EF-4A54-BDEA-772F65B2659B}" name="1" dataDxfId="305"/>
    <tableColumn id="9" xr3:uid="{09759773-B387-4885-980B-3377FCF2784C}" name="2" dataDxfId="304"/>
    <tableColumn id="10" xr3:uid="{0BEF3C74-7822-4935-9DEF-DBB8EF94B2E8}" name="3" dataDxfId="303"/>
    <tableColumn id="11" xr3:uid="{AB623BA8-8BC3-4899-82B4-0D2F75C64AC1}" name="4" dataDxfId="302"/>
    <tableColumn id="12" xr3:uid="{F3FF380C-FA1C-400D-953D-2426EC1D78FF}" name="5" dataDxfId="301"/>
    <tableColumn id="13" xr3:uid="{513A526B-B8DC-4F0A-BB71-A3C5DCBEE598}" name="6" dataDxfId="300"/>
    <tableColumn id="14" xr3:uid="{FE79AC7F-62E7-4115-BE1B-AAF936521653}" name="7" dataDxfId="299"/>
    <tableColumn id="15" xr3:uid="{68C170E4-F271-468B-91F8-3408D287CC52}" name="8" dataDxfId="298"/>
    <tableColumn id="16" xr3:uid="{AD7DCB27-1227-49CE-B962-67316F312A49}" name="9" dataDxfId="297"/>
    <tableColumn id="17" xr3:uid="{A28A426F-20DF-4E28-817D-D45F6DE67B10}" name="10" dataDxfId="296"/>
    <tableColumn id="18" xr3:uid="{E8A185AF-1E28-4F0F-9855-74F54DBD006B}" name="11" dataDxfId="295"/>
    <tableColumn id="19" xr3:uid="{63732328-29EA-40C6-ACD8-4B4DD4B4CF86}" name="12" dataDxfId="294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293"/>
    <tableColumn id="21" xr3:uid="{C17C4587-18F5-4FBD-868F-EBEC86A07A20}" name="23" dataDxfId="292"/>
    <tableColumn id="22" xr3:uid="{A943FEC5-F867-455B-820F-28C4395DB276}" name="24" dataDxfId="291"/>
    <tableColumn id="23" xr3:uid="{A8FFD2FC-7F1E-4386-AF41-D5EEEF19CDD0}" name="25" dataDxfId="290"/>
    <tableColumn id="24" xr3:uid="{ADF6FE87-D285-4286-AA45-3909EFB078E5}" name="26" dataDxfId="289"/>
    <tableColumn id="25" xr3:uid="{2F0BE83F-F151-4F99-839F-143CA77B5B85}" name="27" dataDxfId="288"/>
    <tableColumn id="26" xr3:uid="{380107E6-E719-4EEB-80BE-3FC920AAB0D8}" name="28" dataDxfId="287"/>
    <tableColumn id="27" xr3:uid="{E4578405-DBB6-4571-976F-D9686E90472D}" name="29" dataDxfId="286"/>
    <tableColumn id="28" xr3:uid="{C03A0B6A-D740-474A-B5C0-16AD1C50D0EF}" name="30" dataDxfId="285"/>
    <tableColumn id="29" xr3:uid="{ABC45238-95B8-44E1-B32D-323E0E09BD1E}" name="31" dataDxfId="284"/>
    <tableColumn id="5" xr3:uid="{DFC53255-43CA-45C9-9269-4215B54AB062}" name="CARTERA ASESOR" dataDxfId="283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282" dataDxfId="280" headerRowBorderDxfId="281" tableBorderDxfId="279" totalsRowBorderDxfId="278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277">
      <calculatedColumnFormula>VLOOKUP($M$3&amp;$N$3&amp;DITE_OCTUBRE_2025[[#This Row],[SUPER]],TablaMeta[],5,0)</calculatedColumnFormula>
    </tableColumn>
    <tableColumn id="1" xr3:uid="{2B34CFC4-0C9F-41CE-999A-2588C7446A9F}" name="RECUPERO SUPERVISOR" dataDxfId="276">
      <calculatedColumnFormula>MAX(DITE_OCTUBRE_2025[[#This Row],[1]:[31]])</calculatedColumnFormula>
    </tableColumn>
    <tableColumn id="2" xr3:uid="{12F44D75-C159-4886-875E-F84E5B64A541}" name="ALCANCE SUPERVISOR" dataDxfId="275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274"/>
    <tableColumn id="6" xr3:uid="{949DC2F4-4585-4646-A396-157D2DF8052D}" name="1" dataDxfId="273"/>
    <tableColumn id="7" xr3:uid="{97391D14-7779-42A7-9DB8-C0989C430B43}" name="2" dataDxfId="272"/>
    <tableColumn id="8" xr3:uid="{6354D769-4310-45AC-8145-E44CED72B4A9}" name="3" dataDxfId="271"/>
    <tableColumn id="9" xr3:uid="{4656D04C-0F05-4626-AF66-C82B40AEFAD8}" name="4" dataDxfId="270"/>
    <tableColumn id="10" xr3:uid="{7D1ED70B-0155-4C0E-8A2F-37B332A6F313}" name="5" dataDxfId="269"/>
    <tableColumn id="11" xr3:uid="{0111FAC8-499F-4CC3-8375-0BF99A4C35FA}" name="6" dataDxfId="268"/>
    <tableColumn id="12" xr3:uid="{C0C00B80-78A4-43E2-93D4-3EE00B3626FF}" name="7" dataDxfId="267"/>
    <tableColumn id="13" xr3:uid="{83880E56-1497-4302-8CA7-1D39E0DC1A97}" name="8" dataDxfId="266"/>
    <tableColumn id="14" xr3:uid="{BE01EA14-2F15-437D-A238-21FF4B75A0DE}" name="9" dataDxfId="265"/>
    <tableColumn id="15" xr3:uid="{EB92F6CE-8ACE-4537-AECA-46B61474948E}" name="10" dataDxfId="264"/>
    <tableColumn id="16" xr3:uid="{6D6490DB-3DEB-438C-AB40-C97EC626F0BE}" name="11" dataDxfId="263"/>
    <tableColumn id="17" xr3:uid="{0392FF10-F85D-41D2-8460-C3A186218696}" name="12" dataDxfId="262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261"/>
    <tableColumn id="19" xr3:uid="{3D252296-5BDD-4576-BACF-EBAA4EDD5204}" name="23" dataDxfId="260"/>
    <tableColumn id="20" xr3:uid="{23EB3C4F-7D5A-4D3B-8B24-D8DE6128BA5F}" name="24" dataDxfId="259"/>
    <tableColumn id="21" xr3:uid="{129CAF30-1851-4238-9880-454B24575BB9}" name="25" dataDxfId="258"/>
    <tableColumn id="22" xr3:uid="{72C02609-42DC-4EDE-B4E1-44D533A24355}" name="26" dataDxfId="257"/>
    <tableColumn id="23" xr3:uid="{9123D15C-9492-4356-8328-1BE17F140523}" name="27" dataDxfId="256"/>
    <tableColumn id="24" xr3:uid="{9D5D7ED1-F248-4C81-8326-BBA9C067C915}" name="28" dataDxfId="255"/>
    <tableColumn id="25" xr3:uid="{AF14494A-3DA5-4A85-BD20-353698E70147}" name="29" dataDxfId="254"/>
    <tableColumn id="26" xr3:uid="{B48EAE26-54B8-4E0C-A4A1-6956DA0D148E}" name="30" dataDxfId="253"/>
    <tableColumn id="27" xr3:uid="{85AC05C5-FE82-41A6-837C-F1F547FD8C2F}" name="31" dataDxfId="252"/>
    <tableColumn id="3" xr3:uid="{1CA2638D-96F9-4A0C-980A-6DAE6545AFFA}" name="CARTERA" dataDxfId="251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250" tableBorderDxfId="249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248">
      <calculatedColumnFormula>DATA_NOVIEMBRE_2025[[#This Row],[RECUPERO]]/DATA_NOVIEMBRE_2025[[#This Row],[META]]</calculatedColumnFormula>
    </tableColumn>
    <tableColumn id="3" xr3:uid="{855F5F44-294A-4871-9840-A24614956994}" name="CLASIFICACIÓN" dataDxfId="247">
      <calculatedColumnFormula array="1">IF(DATA_NOVIEMBRE_2025[[#This Row],[ASER_]]="","",IFERROR(_xlfn.IFS(M11&gt;=100%,"&gt;100%",AND(M11&lt;100%,M11&gt;=70%),"&gt;70%",AND(M11&lt;70%,M11&gt;=40%),"&gt;40%",AND(M11&lt;40%,M11&gt;=0%),"&gt;0%"),""))</calculatedColumnFormula>
    </tableColumn>
    <tableColumn id="5" xr3:uid="{9D944B93-5BF5-4B70-A89F-707C3D5946DA}" name="SUPERVISOR" dataDxfId="246"/>
    <tableColumn id="6" xr3:uid="{C0A22187-40B7-435A-ABDA-27944F0D7030}" name="RECUPERO" dataDxfId="245">
      <calculatedColumnFormula>SUM(DATA_NOVIEMBRE_2025[[#This Row],[1]:[31]])</calculatedColumnFormula>
    </tableColumn>
    <tableColumn id="7" xr3:uid="{72E7F13E-9273-4AED-98D2-5508FB4A326C}" name="META" dataDxfId="244"/>
    <tableColumn id="30" xr3:uid="{CFEB99FE-9EED-4763-A696-5BC3DA916AC5}" name="ASER_"/>
    <tableColumn id="8" xr3:uid="{00AE5065-FE4D-45E6-A294-E826836A1E33}" name="1" dataDxfId="243"/>
    <tableColumn id="9" xr3:uid="{EF6C35AD-ACD8-4C7F-8937-91D53147656D}" name="2" dataDxfId="242"/>
    <tableColumn id="10" xr3:uid="{CF32F196-CA95-4750-A946-3E0AC1A85184}" name="3" dataDxfId="241"/>
    <tableColumn id="11" xr3:uid="{9F563EAD-A249-4851-B979-F5575DE957AB}" name="4" dataDxfId="240"/>
    <tableColumn id="12" xr3:uid="{D6A6323F-D160-499D-BD7C-7C323AE07CB0}" name="5" dataDxfId="239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238"/>
    <tableColumn id="14" xr3:uid="{46BCBBD6-EB67-46A1-A356-989FA4845EF7}" name="17" dataDxfId="237"/>
    <tableColumn id="15" xr3:uid="{B50A5F7B-5C7E-48C1-80DA-278B6510B811}" name="18" dataDxfId="236"/>
    <tableColumn id="16" xr3:uid="{05796B28-1DD1-422E-9658-78C2FB73FD83}" name="19" dataDxfId="235"/>
    <tableColumn id="17" xr3:uid="{DB0D6520-FFC2-440C-B97F-9604384ED84D}" name="20" dataDxfId="234"/>
    <tableColumn id="18" xr3:uid="{50423629-1D31-4CC8-B9D0-046394DFED68}" name="21" dataDxfId="233"/>
    <tableColumn id="19" xr3:uid="{80B70DB0-A059-4A28-A799-0529D6BF1263}" name="22" dataDxfId="232"/>
    <tableColumn id="20" xr3:uid="{CE0AE96C-2D78-4B18-ADD7-C86E26CE69AB}" name="23" dataDxfId="231"/>
    <tableColumn id="21" xr3:uid="{D6CA8ADF-F50B-4822-B7AD-A49AC8CD28E8}" name="24" dataDxfId="230"/>
    <tableColumn id="22" xr3:uid="{8D2522DF-F1BC-4031-89AD-8B4B3515396A}" name="25" dataDxfId="229"/>
    <tableColumn id="23" xr3:uid="{293ABA54-17AB-40AD-A5F9-E0308A358390}" name="26" dataDxfId="228"/>
    <tableColumn id="24" xr3:uid="{099B62F0-F67D-4CF2-8C6A-AD383B297F15}" name="27" dataDxfId="227"/>
    <tableColumn id="25" xr3:uid="{104E6C24-1381-41DA-BF76-0DD6D49DF0C1}" name="28" dataDxfId="226"/>
    <tableColumn id="26" xr3:uid="{095F601D-F187-4396-A356-C09936718FF5}" name="29" dataDxfId="225"/>
    <tableColumn id="27" xr3:uid="{4F9FCA77-406D-4319-913A-82D308726F04}" name="30" dataDxfId="224"/>
    <tableColumn id="28" xr3:uid="{5825F9EE-936A-4C38-B210-9DA3DA553F75}" name="31" dataDxfId="223"/>
    <tableColumn id="1" xr3:uid="{D8CEB774-F634-4903-AC1C-0BF18BDD3A03}" name="CARTERA ASESOR" dataDxfId="222"/>
  </tableColumns>
  <tableStyleInfo name="TableStyleMedium1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J66" totalsRowShown="0">
  <autoFilter ref="A2:J66" xr:uid="{F68E1096-B4B7-4B73-95AE-8CADE5149C33}"/>
  <tableColumns count="10">
    <tableColumn id="1" xr3:uid="{698D597F-BA64-49E6-ACCE-5D28E8ACC14A}" name="SUPER" dataDxfId="221"/>
    <tableColumn id="2" xr3:uid="{7E004A30-FB94-4ABB-88FD-3005F8FA00C6}" name="ASESOR_CRR" dataDxfId="220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219"/>
    <tableColumn id="7" xr3:uid="{AA9D9715-8EBE-4ECB-8BB4-3F41AF689173}" name="SUPER2" dataDxfId="218"/>
    <tableColumn id="5" xr3:uid="{DDD5C800-04E2-4D8A-8C83-C410D5DF7F70}" name="ASESOR" dataDxfId="217"/>
    <tableColumn id="6" xr3:uid="{88DDFA81-E306-4531-9C28-1EEEFB91AC37}" name="RECUPERO" dataDxfId="216">
      <calculatedColumnFormula>VLOOKUP(D1_NOVIEMBRE_2025[[#This Row],[ASESOR]],$F$70:$G$130,2,0)</calculatedColumnFormula>
    </tableColumn>
    <tableColumn id="9" xr3:uid="{B4E0C179-9219-4DFF-AA71-3C7E15DC0CCB}" name="DNI" dataDxfId="215"/>
    <tableColumn id="10" xr3:uid="{A57DDDED-46A0-4CB6-B58A-B5F5FD8B6714}" name="FECHA DE INGRESO" dataDxfId="214"/>
    <tableColumn id="8" xr3:uid="{6D0B725E-AD90-4FB1-ACD9-0C7E61DBD30D}" name="ESTADO" dataDxfId="213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212" dataDxfId="211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210"/>
    <tableColumn id="2" xr3:uid="{39564DF7-490C-4B42-BA0D-A0C7965369AD}" name="RECUPERO SUPERVISOR" dataDxfId="209">
      <calculatedColumnFormula>MAX(DITE_NOVIEMBRE_2025[[#This Row],[1]:[31]])</calculatedColumnFormula>
    </tableColumn>
    <tableColumn id="3" xr3:uid="{714DADEA-706C-4919-B3C2-F0BF1111E161}" name="ALCANCE SUPERVISOR" dataDxfId="208">
      <calculatedColumnFormula>DITE_NOVIEMBRE_2025[[#This Row],[RECUPERO SUPERVISOR]]/DITE_NOVIEMBRE_2025[[#This Row],[META SUPER]]</calculatedColumnFormula>
    </tableColumn>
    <tableColumn id="1" xr3:uid="{9452BB90-F5DE-4B57-AF8A-BBAB41BDA625}" name="SUPER" dataDxfId="207"/>
    <tableColumn id="6" xr3:uid="{87C598B5-62D4-4EE7-861E-EEAA52C00585}" name="1" dataDxfId="206"/>
    <tableColumn id="7" xr3:uid="{633891A0-1EBF-4F76-A7F4-F66318664C43}" name="2" dataDxfId="205"/>
    <tableColumn id="8" xr3:uid="{0592F328-9F13-4B6C-80C9-E9F1845891CB}" name="3" dataDxfId="204"/>
    <tableColumn id="9" xr3:uid="{AE7882D8-BBFD-45AE-B2CB-28F66322BAEE}" name="4" dataDxfId="203"/>
    <tableColumn id="10" xr3:uid="{05F48497-7C3E-4EF2-8908-E3DDE502B309}" name="5" dataDxfId="202"/>
    <tableColumn id="11" xr3:uid="{BD05847D-8156-476D-9D43-53BF9B333675}" name="6" dataDxfId="201"/>
    <tableColumn id="12" xr3:uid="{407098C8-B89E-46C0-9B9A-DA4AD2929032}" name="7" dataDxfId="200"/>
    <tableColumn id="13" xr3:uid="{91FC56B9-68A8-46E6-AF86-C055E5241ADE}" name="8" dataDxfId="199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198"/>
    <tableColumn id="15" xr3:uid="{6D9CB553-B7A7-4211-8DDF-E67D0F75BD0A}" name="20" dataDxfId="197"/>
    <tableColumn id="16" xr3:uid="{C060B537-6CE4-430B-8A22-7A540BACE464}" name="21" dataDxfId="196"/>
    <tableColumn id="17" xr3:uid="{4C8D59DE-F0E8-4B3F-8552-A394ADA4C013}" name="22" dataDxfId="195"/>
    <tableColumn id="18" xr3:uid="{3AB7DFB9-4558-4621-AB3C-3891ECC67DB4}" name="23" dataDxfId="194"/>
    <tableColumn id="19" xr3:uid="{ECC2D027-50E3-4374-BA37-6384A463E763}" name="24" dataDxfId="193"/>
    <tableColumn id="20" xr3:uid="{03C4446D-2883-4E24-87C6-489668916C57}" name="25" dataDxfId="192"/>
    <tableColumn id="21" xr3:uid="{1D103BD3-6849-47BB-B1AD-9FF31C3432E4}" name="26" dataDxfId="191"/>
    <tableColumn id="22" xr3:uid="{E2A6B954-BE7E-4918-9A92-245143E3726C}" name="27" dataDxfId="190"/>
    <tableColumn id="23" xr3:uid="{3BE5D700-08A4-480A-8651-AFBBD596763A}" name="28" dataDxfId="189"/>
    <tableColumn id="24" xr3:uid="{16A1ECF5-0D22-4B11-B95E-D5BF2A42B1A3}" name="29" dataDxfId="188"/>
    <tableColumn id="25" xr3:uid="{AACA19B9-FD00-4B90-8B58-181F058F24E3}" name="30" dataDxfId="187"/>
    <tableColumn id="26" xr3:uid="{2DE2D547-EE6E-49C4-858B-C4D674245BFC}" name="31" dataDxfId="186"/>
    <tableColumn id="4" xr3:uid="{9AD4619F-F825-4B54-8AE2-92E8B9E9E57F}" name="CARTERA" dataDxfId="185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184" tableBorderDxfId="183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182">
      <calculatedColumnFormula>DATA_DICIEMBRE_2025[[#This Row],[RECUPERO]]/DATA_DICIEMBRE_2025[[#This Row],[META]]</calculatedColumnFormula>
    </tableColumn>
    <tableColumn id="2" xr3:uid="{B5D97F6A-AE7C-4FC3-8428-5737699DFEB1}" name="CLASIFICACIÓN" dataDxfId="181">
      <calculatedColumnFormula array="1">IF(DATA_DICIEMBRE_2025[[#This Row],[ASER_]]="","",IFERROR(_xlfn.IFS(M11&gt;=100%,"&gt;100%",AND(M11&lt;100%,M11&gt;=70%),"&gt;70%",AND(M11&lt;70%,M11&gt;=40%),"&gt;40%",AND(M11&lt;40%,M11&gt;=0%),"&gt;0%"),""))</calculatedColumnFormula>
    </tableColumn>
    <tableColumn id="3" xr3:uid="{BB03A19C-EA5E-4A7C-9910-2B74FE663EFC}" name="SUPERVISOR" dataDxfId="180"/>
    <tableColumn id="1" xr3:uid="{47FCFB9B-5515-45CC-BFF9-2785144AD854}" name="RECUPERO" dataDxfId="179">
      <calculatedColumnFormula>SUM(DATA_DICIEMBRE_2025[[#This Row],[1]:[31]])</calculatedColumnFormula>
    </tableColumn>
    <tableColumn id="6" xr3:uid="{ED7BE75E-3624-4159-BFE7-645CEA862C3E}" name="META" dataDxfId="178"/>
    <tableColumn id="7" xr3:uid="{AD05A858-B012-4836-80E5-BF630A338442}" name="ASER_" dataDxfId="177"/>
    <tableColumn id="4" xr3:uid="{6792E8BB-5B6A-4E20-BC71-7F342FD1DE33}" name="1" dataDxfId="176"/>
    <tableColumn id="8" xr3:uid="{AFF95CFC-A6A6-4F82-9A47-D8F9735B080F}" name="2" dataDxfId="175"/>
    <tableColumn id="9" xr3:uid="{3EE2031A-4396-4C20-9B21-B423FD7A4983}" name="3" dataDxfId="174"/>
    <tableColumn id="10" xr3:uid="{98A61AE3-7932-414B-AE75-E4B9F37090B7}" name="4" dataDxfId="173"/>
    <tableColumn id="11" xr3:uid="{2B37FA03-0832-40E1-966B-188EC131A687}" name="5" dataDxfId="172"/>
    <tableColumn id="12" xr3:uid="{9A4E011C-C4A7-4F49-AD1B-BB28BEA4BF8C}" name="6" dataDxfId="171"/>
    <tableColumn id="13" xr3:uid="{EFB94F58-F00C-45C8-B4D0-E0C1802DF92E}" name="7" dataDxfId="170"/>
    <tableColumn id="14" xr3:uid="{F8800705-9DF6-4EEA-8D67-8321AE1E80D1}" name="8" dataDxfId="169"/>
    <tableColumn id="15" xr3:uid="{7B6D79FE-5D1B-462C-8037-0CACAB6F3911}" name="9" dataDxfId="168"/>
    <tableColumn id="16" xr3:uid="{E0E24420-1BF8-4BED-A5CC-D5EF1C7DF685}" name="10" dataDxfId="167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166"/>
    <tableColumn id="18" xr3:uid="{388429A9-C1D2-4EE1-BB12-A7C9C48AA9F0}" name="23" dataDxfId="165"/>
    <tableColumn id="19" xr3:uid="{6D1522B5-D820-4F42-ADD5-A6062E68E06A}" name="24" dataDxfId="164"/>
    <tableColumn id="20" xr3:uid="{A78EF6CB-6A5A-488F-8EC5-34C0267191BD}" name="25" dataDxfId="163"/>
    <tableColumn id="21" xr3:uid="{0817989E-B5E4-435D-99FF-C9E1A1D429CD}" name="26" dataDxfId="162"/>
    <tableColumn id="22" xr3:uid="{5AE7BF00-6E17-4434-AFC3-A082971963E9}" name="27" dataDxfId="161"/>
    <tableColumn id="23" xr3:uid="{AC4528BB-516C-4650-8587-2267B9400C8D}" name="28" dataDxfId="160"/>
    <tableColumn id="24" xr3:uid="{AB7921F2-B36A-4ABC-9DBC-BB0EC20ACC62}" name="29" dataDxfId="159"/>
    <tableColumn id="25" xr3:uid="{5D1446EA-3DB7-4807-AE25-EB2149040D6D}" name="30" dataDxfId="158"/>
    <tableColumn id="26" xr3:uid="{B5F2A170-57DC-49D6-9752-24386332D295}" name="31" dataDxfId="157"/>
    <tableColumn id="27" xr3:uid="{D1831881-0F77-44D4-82FA-57779D5E74BA}" name="CARTERA ASESOR" dataDxfId="156"/>
  </tableColumns>
  <tableStyleInfo name="TableStyleMedium1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J53" totalsRowShown="0" headerRowDxfId="155">
  <autoFilter ref="A2:J53" xr:uid="{0A33CB5E-7EB5-4C86-9959-A823C2BDBBB9}"/>
  <tableColumns count="10">
    <tableColumn id="1" xr3:uid="{51989F96-0689-4D57-8685-B8A3DF492A97}" name="SUPER" dataDxfId="154"/>
    <tableColumn id="2" xr3:uid="{C1D8B208-A530-42D3-A6B3-202247844AC6}" name="ASESOR_CRR" dataDxfId="153"/>
    <tableColumn id="5" xr3:uid="{0E2E2A96-2FDE-425E-A454-24F26F26F817}" name="META" dataDxfId="152">
      <calculatedColumnFormula>VLOOKUP(D1_DICIEMBRE_2025[[#This Row],[SUPER]],DATA_DICIEMBRE_2025[[SUPERVISOR]:[META]],3,0)</calculatedColumnFormula>
    </tableColumn>
    <tableColumn id="6" xr3:uid="{99265ED5-3CFF-4A20-97B4-3560EE99C717}" name="ALCANCE" dataDxfId="151">
      <calculatedColumnFormula>D1_DICIEMBRE_2025[[#This Row],[RECUPERO]]/D1_DICIEMBRE_2025[[#This Row],[META]]</calculatedColumnFormula>
    </tableColumn>
    <tableColumn id="7" xr3:uid="{374D40BE-0CEA-496A-A350-4762CACC979E}" name="SUPER2" dataDxfId="150"/>
    <tableColumn id="3" xr3:uid="{CE2FC99C-C2FA-4CF8-B4D5-38DB34F6C4C0}" name="ASESOR"/>
    <tableColumn id="4" xr3:uid="{1034AC9B-8A72-4332-A474-8471A1B8C391}" name="RECUPERO" dataDxfId="149"/>
    <tableColumn id="8" xr3:uid="{51D1D4C9-F574-4F9F-BB5F-619CFC8367F6}" name="DNI" dataDxfId="148"/>
    <tableColumn id="9" xr3:uid="{1F94989E-BD68-4711-BF6F-AABBC6D00AD3}" name="FECHA DE INGRESO" dataDxfId="147"/>
    <tableColumn id="10" xr3:uid="{26BBC886-44C6-4729-85D8-0B926A843BA1}" name="ESTADO" dataDxfId="146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145" dataDxfId="143" headerRowBorderDxfId="144" tableBorderDxfId="142" totalsRowBorderDxfId="141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140"/>
    <tableColumn id="3" xr3:uid="{DED03312-7BDA-4CEA-9273-AA5DB2237A5F}" name="RECUPERO SUPERVISOR" dataDxfId="139">
      <calculatedColumnFormula>MAX(DITE_DICIEMBRE_2025[[#This Row],[1]:[31]])</calculatedColumnFormula>
    </tableColumn>
    <tableColumn id="4" xr3:uid="{5A956735-F760-4B1F-B874-402D928B71EA}" name="ALCANCE SUPERVISOR" dataDxfId="138">
      <calculatedColumnFormula>DITE_DICIEMBRE_2025[[#This Row],[RECUPERO SUPERVISOR]]/AZ9</calculatedColumnFormula>
    </tableColumn>
    <tableColumn id="1" xr3:uid="{ED2A948C-9442-4C47-9BE9-277A3D6239D3}" name="SUPER" dataDxfId="137"/>
    <tableColumn id="6" xr3:uid="{6E784300-7704-4F45-8E90-F7C2D4F71F66}" name="1" dataDxfId="136"/>
    <tableColumn id="7" xr3:uid="{EA789C05-CA47-4D66-B493-7D6222022389}" name="2" dataDxfId="135"/>
    <tableColumn id="36" xr3:uid="{E83A454A-CB07-409E-B2F9-FEFD108C0456}" name="3" dataDxfId="134"/>
    <tableColumn id="8" xr3:uid="{4ACB3C1D-600B-4503-9368-987BC1B3B0EA}" name="4" dataDxfId="133"/>
    <tableColumn id="9" xr3:uid="{B5C8B277-5A83-47A1-95FD-A620D749E785}" name="5" dataDxfId="132"/>
    <tableColumn id="10" xr3:uid="{FB101921-E892-41E0-B8B7-4141F51A83BB}" name="6" dataDxfId="131"/>
    <tableColumn id="11" xr3:uid="{C777EEA2-F048-439C-9EA1-0C4C731AA6E9}" name="7" dataDxfId="130"/>
    <tableColumn id="12" xr3:uid="{7AA80CD7-0570-4507-8C49-9CF331F01C83}" name="8" dataDxfId="129"/>
    <tableColumn id="13" xr3:uid="{F115F6D4-E69D-46D7-AD4B-F13AFDF74268}" name="9" dataDxfId="128"/>
    <tableColumn id="14" xr3:uid="{393E1035-13E1-4131-B853-53B4CA536CF0}" name="10" dataDxfId="127"/>
    <tableColumn id="15" xr3:uid="{7FF1CB48-1402-460C-BDDE-C67F81F66807}" name="11" dataDxfId="126"/>
    <tableColumn id="32" xr3:uid="{8F13018F-0746-40A8-8063-7F1351A273EA}" name="12" dataDxfId="125"/>
    <tableColumn id="33" xr3:uid="{5FD9BED8-7FEA-4B06-9B27-A0BFD046EB49}" name="13" dataDxfId="124"/>
    <tableColumn id="35" xr3:uid="{8D88E3F7-E581-49D0-B55A-812661F85CB6}" name="14" dataDxfId="123"/>
    <tableColumn id="34" xr3:uid="{98E6CACB-4217-4732-B54A-899D22A2EAF6}" name="15" dataDxfId="122"/>
    <tableColumn id="29" xr3:uid="{7C19F65B-AFA4-4BDB-849B-78B44514C8F1}" name="16" dataDxfId="121"/>
    <tableColumn id="30" xr3:uid="{5B8DAC84-4B56-4ED2-BCA8-C8513518494E}" name="17" dataDxfId="120"/>
    <tableColumn id="31" xr3:uid="{6135134A-5BCC-4221-AD87-B5C8D80AB6D3}" name="18" dataDxfId="119"/>
    <tableColumn id="26" xr3:uid="{2569A07A-57D5-45E4-94CF-9442436AFDAE}" name="19" dataDxfId="118"/>
    <tableColumn id="27" xr3:uid="{828CBD1E-742A-4B46-99B1-A5B0163441D5}" name="20" dataDxfId="117"/>
    <tableColumn id="28" xr3:uid="{773F208D-F15B-4823-A2FA-144A370D1B7A}" name="21" dataDxfId="116"/>
    <tableColumn id="16" xr3:uid="{419173FA-3C44-4167-9CA2-3C07CF180C9B}" name="22" dataDxfId="115"/>
    <tableColumn id="17" xr3:uid="{A8A10E2B-AFD7-46D0-8149-9A05D1EC2C03}" name="23" dataDxfId="114"/>
    <tableColumn id="18" xr3:uid="{CF29209E-568F-4788-AE4E-864CF179A3F5}" name="24" dataDxfId="113"/>
    <tableColumn id="19" xr3:uid="{C33D5154-B635-4235-8170-2F374C119543}" name="25" dataDxfId="112"/>
    <tableColumn id="20" xr3:uid="{70E870EC-47B5-4461-AC8F-7662212D49E0}" name="26" dataDxfId="111"/>
    <tableColumn id="21" xr3:uid="{2215DAF3-2DFC-47A4-940A-DC348054A7EB}" name="27" dataDxfId="110"/>
    <tableColumn id="22" xr3:uid="{BE707551-BD9D-4E46-9F38-1BF8DA272627}" name="28" dataDxfId="109"/>
    <tableColumn id="23" xr3:uid="{BA6108F0-3F12-4B54-8E19-7FF232FA9893}" name="29" dataDxfId="108"/>
    <tableColumn id="24" xr3:uid="{B18366FB-64C7-4779-8DB9-91A30E111223}" name="30" dataDxfId="107"/>
    <tableColumn id="25" xr3:uid="{8BD30A4B-DE19-4C3A-8A9E-7FFE10B8C56B}" name="31" dataDxfId="106"/>
    <tableColumn id="5" xr3:uid="{1A8ADD20-D8A3-4981-B322-7C16CBD19ABB}" name="CARTERA" dataDxfId="105"/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ENERO_2026" displayName="DATA_ENERO_2026" ref="M8:AO59" totalsRowShown="0" headerRowBorderDxfId="104" tableBorderDxfId="103">
  <autoFilter ref="M8:AO59" xr:uid="{C43AC382-896C-48E3-967E-003D8C3BB4E1}"/>
  <tableColumns count="29">
    <tableColumn id="5" xr3:uid="{3070F4BF-8DA0-42C9-A329-60BF3937C6CD}" name="AL_AC" dataDxfId="102">
      <calculatedColumnFormula>IF(DATA_ENERO_2026[[#This Row],[ASER_]]="","",VLOOKUP(DATA_ENERO_2026[[#This Row],[ASER_]],$B:$G,3,0))</calculatedColumnFormula>
    </tableColumn>
    <tableColumn id="2" xr3:uid="{6F4F1AB6-BBA7-498F-8826-77193C5F7DE1}" name="CLASIFICACIÓN" dataDxfId="101">
      <calculatedColumnFormula array="1">IF(DATA_ENERO_2026[[#This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00">
      <calculatedColumnFormula>IFERROR(VLOOKUP(DATA_ENERO_2026[[#This Row],[ASER_]],$B:$G,4,0),"")</calculatedColumnFormula>
    </tableColumn>
    <tableColumn id="1" xr3:uid="{9CEE94D1-F610-44F2-BECC-051BA76BFF42}" name="RECUPERO" dataDxfId="99">
      <calculatedColumnFormula>IF(DATA_ENERO_2026[[#This Row],[SUPERVISOR]]="","",VLOOKUP(DATA_ENERO_2026[[#This Row],[ASER_]],$B:$G,6,0))</calculatedColumnFormula>
    </tableColumn>
    <tableColumn id="6" xr3:uid="{3562AB11-2CE4-4155-B81B-115DFB69AAAB}" name="META" dataDxfId="98">
      <calculatedColumnFormula>VLOOKUP(DATA_ENERO_2026[[#This Row],[ASER_]],D1_ENERO_2026[[ASESOR_CRR]:[META]],2,0)</calculatedColumnFormula>
    </tableColumn>
    <tableColumn id="7" xr3:uid="{AC7A2592-ACAD-4ED6-8351-E4B65FF33302}" name="ASER_" dataDxfId="97"/>
    <tableColumn id="4" xr3:uid="{DA0D3C8E-070D-4088-AECD-5F2EBC6508EA}" name="2" dataDxfId="96"/>
    <tableColumn id="8" xr3:uid="{D7FBF1F2-5A46-485F-925D-86EC9088EE46}" name="5" dataDxfId="95"/>
    <tableColumn id="9" xr3:uid="{98D48677-E650-4067-8686-1CC9080B6D71}" name="6" dataDxfId="94"/>
    <tableColumn id="10" xr3:uid="{A974A4A9-21AF-43B2-9C93-C6F103E8C411}" name="7" dataDxfId="93"/>
    <tableColumn id="11" xr3:uid="{D058D028-4AAB-47B9-A7D3-876CEDD146AA}" name="8" dataDxfId="92"/>
    <tableColumn id="12" xr3:uid="{307618CA-E43D-42A3-8C03-88388003A5BF}" name="9" dataDxfId="91"/>
    <tableColumn id="13" xr3:uid="{65D16E27-3C15-4385-9A4F-B28821EF4DF6}" name="12" dataDxfId="90"/>
    <tableColumn id="14" xr3:uid="{5A29EA5C-756B-4F6D-B764-BBEF2AB98C7D}" name="13" dataDxfId="89"/>
    <tableColumn id="15" xr3:uid="{3B9CE493-BFF8-40F7-8EBA-E6D80D76579A}" name="14" dataDxfId="88"/>
    <tableColumn id="16" xr3:uid="{AEBDE2A8-76B9-42D9-9059-4EA0D9C9EF1E}" name="15" dataDxfId="87"/>
    <tableColumn id="17" xr3:uid="{0874DB56-268A-4369-AFDE-AC61ECA55C23}" name="16" dataDxfId="86"/>
    <tableColumn id="18" xr3:uid="{E7197C37-94F8-4DE8-B898-F87CE13A355A}" name="19" dataDxfId="85"/>
    <tableColumn id="19" xr3:uid="{0266C1AC-EA27-4324-B7B0-8AB3B4A997D1}" name="20" dataDxfId="84"/>
    <tableColumn id="20" xr3:uid="{645E39B2-DC80-4E66-9458-0C362658FA9E}" name="21" dataDxfId="83"/>
    <tableColumn id="21" xr3:uid="{D0A909F0-E9C1-4BFB-A1C7-251196BA5DC0}" name="22" dataDxfId="82"/>
    <tableColumn id="22" xr3:uid="{CD196172-6AE3-4DE5-A06F-949E71EBEB0F}" name="23" dataDxfId="81"/>
    <tableColumn id="23" xr3:uid="{F4228B36-78DF-4ADD-88C1-72728A3AEB39}" name="26" dataDxfId="80"/>
    <tableColumn id="24" xr3:uid="{E94F1207-568E-4B89-8DB0-06CEBC5513E0}" name="27" dataDxfId="79"/>
    <tableColumn id="25" xr3:uid="{8DA8D870-2FE5-422D-A1EF-11DB81F83097}" name="28" dataDxfId="78"/>
    <tableColumn id="28" xr3:uid="{FAD5EAB1-F7EE-4FE6-B3BF-11079DEEBD18}" name="29"/>
    <tableColumn id="27" xr3:uid="{46F7627A-6099-49D4-B43B-10DFF8D2CADE}" name="30"/>
    <tableColumn id="26" xr3:uid="{05239370-8193-46BE-88F4-2AF50C4EE933}" name="31" dataDxfId="77"/>
    <tableColumn id="29" xr3:uid="{D20EC82C-02AB-47E1-8B4F-0454088553EB}" name="CARTERA ASESOR" dataDxfId="76">
      <calculatedColumnFormula>VLOOKUP($M$3&amp;$N$3&amp;DATA_ENERO_2026[[#This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ENERO_2026" displayName="D1_ENERO_2026" ref="A2:J56" totalsRowShown="0" headerRowDxfId="75">
  <autoFilter ref="A2:J56" xr:uid="{AB1967BC-98FE-49B9-B96E-7F91454A75DF}"/>
  <tableColumns count="10">
    <tableColumn id="1" xr3:uid="{E8C9BFA3-A821-4545-B3F0-1D85338E10F0}" name="SUPER" dataDxfId="74">
      <calculatedColumnFormula>IFERROR(VLOOKUP(D1_ENERO_2026[[#This Row],[ASESOR_CRR]],PLANTILLA_ACTUAL[],2,0),"")</calculatedColumnFormula>
    </tableColumn>
    <tableColumn id="2" xr3:uid="{3FE812CA-3CC6-4126-82E1-67F5FCA4D1F0}" name="ASESOR_CRR" dataDxfId="73">
      <calculatedColumnFormula array="1">TRIM(IFERROR(_xlfn.IFS(D1_ENERO_2026[[#This Row],[ASESOR]]="ELVIS GUERRA","ELVIS GUERRERA",D1_ENERO_2026[[#This Row],[ASESOR]]="GENESIS VICUÑA","GENESIS VICUNA",D1_ENERO_2026[[#This Row],[ASESOR]]="GINA HUMANI","GINA HUAMANI"),D1_ENERO_2026[[#This Row],[ASESOR]]))</calculatedColumnFormula>
    </tableColumn>
    <tableColumn id="5" xr3:uid="{7C7088C3-8DB2-45AA-8DFC-FF615EA517B7}" name="META" dataDxfId="72">
      <calculatedColumnFormula>IF(D1_ENERO_2026[[#This Row],[RECUPERO]]="","",VLOOKUP($M$3&amp;$N$3&amp;D1_ENERO_2026[[#This Row],[SUPER]],TablaMeta[],6,0))</calculatedColumnFormula>
    </tableColumn>
    <tableColumn id="6" xr3:uid="{504193EF-8C81-4E3C-85B4-7DDC31010511}" name="ALCANCE" dataDxfId="71">
      <calculatedColumnFormula>IFERROR(D1_ENERO_2026[[#This Row],[RECUPERO]]/VLOOKUP($M$3&amp;$N$3&amp;D1_ENERO_2026[[#This Row],[SUPER]],TablaMeta[],6,0),"")</calculatedColumnFormula>
    </tableColumn>
    <tableColumn id="7" xr3:uid="{25385F42-9373-4DE6-B5E8-9588BC79D17B}" name="SUPER2" dataDxfId="70">
      <calculatedColumnFormula>IFERROR(VLOOKUP(D1_ENERO_2026[[#This Row],[ASESOR_CRR]],PLANTILLA_ACTUAL[],2,0),"")</calculatedColumnFormula>
    </tableColumn>
    <tableColumn id="3" xr3:uid="{F1B64A76-95A5-4F5B-B635-6563315B9D26}" name="ASESOR"/>
    <tableColumn id="4" xr3:uid="{5F21D798-6962-4BF2-AAD7-57B722912C07}" name="RECUPERO" dataDxfId="69"/>
    <tableColumn id="11" xr3:uid="{F601E667-9F29-4288-9F5A-767AD7CB84C9}" name="DNI" dataDxfId="68">
      <calculatedColumnFormula>VLOOKUP(D1_ENERO_2026[[#This Row],[ASESOR_CRR]],DIM!$C:$E,2,0)</calculatedColumnFormula>
    </tableColumn>
    <tableColumn id="12" xr3:uid="{8CE4D8BD-BFA8-4524-B7CC-97B4155A1DC0}" name="FECHA DE INGRESO" dataDxfId="67">
      <calculatedColumnFormula>VLOOKUP(D1_ENERO_2026[[#This Row],[ASESOR_CRR]],DIM!$C:$E,3,0)</calculatedColumnFormula>
    </tableColumn>
    <tableColumn id="8" xr3:uid="{38F96A8E-46ED-488B-B51E-F10392587B25}" name="ESTADO" dataDxfId="66">
      <calculatedColumnFormula>VLOOKUP(D1_ENERO_2026[[#This Row],[ASESOR_CRR]],PLANTILLA_ACTUAL[],6,0)</calculatedColumnFormula>
    </tableColumn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ENERO_2026" displayName="DITE_ENERO_2026" ref="AQ8:BQ13" totalsRowShown="0" headerRowDxfId="65" dataDxfId="63" headerRowBorderDxfId="64" tableBorderDxfId="62" totalsRowBorderDxfId="61">
  <autoFilter ref="AQ8:BQ13" xr:uid="{D9D89D51-DAB1-406D-9BCC-FA9DDE7F1EF0}"/>
  <tableColumns count="27">
    <tableColumn id="2" xr3:uid="{08060355-86C1-47A6-9DB1-6B46E3007B8A}" name="META SUPER" dataDxfId="60">
      <calculatedColumnFormula>VLOOKUP($M$3&amp;$N$3&amp;DITE_ENERO_2026[[#This Row],[SUPER]],TablaMeta[],5,0)</calculatedColumnFormula>
    </tableColumn>
    <tableColumn id="3" xr3:uid="{FDF7E5B8-6E43-422A-BFC9-1CCD7EE7F4E8}" name="RECUPERO SUPERVISOR" dataDxfId="59">
      <calculatedColumnFormula>MAX(DITE_ENERO_2026[[#This Row],[SUPER]:[CARTERA]])</calculatedColumnFormula>
    </tableColumn>
    <tableColumn id="4" xr3:uid="{F9F9E33D-CF47-4A7B-B383-5185C72E6DBF}" name="ALCANCE SUPERVISOR" dataDxfId="58">
      <calculatedColumnFormula>IFERROR(DITE_ENERO_2026[[#This Row],[RECUPERO SUPERVISOR]]/DITE_ENERO_2026[[#This Row],[META SUPER]],"")</calculatedColumnFormula>
    </tableColumn>
    <tableColumn id="1" xr3:uid="{DBDA7BCD-711C-4C13-A756-EF3802486FB8}" name="SUPER" dataDxfId="57"/>
    <tableColumn id="6" xr3:uid="{C6BD95E9-37E9-4C3B-8FAC-71C063D3CCCF}" name="2" dataDxfId="56"/>
    <tableColumn id="7" xr3:uid="{154D80CB-9358-4F70-B790-869141CEED69}" name="5" dataDxfId="55"/>
    <tableColumn id="27" xr3:uid="{B1E200F5-8C17-45BD-9A07-4B3CFCF2F55B}" name="6" dataDxfId="54"/>
    <tableColumn id="26" xr3:uid="{C4A34376-F48F-4D30-891F-680F0DC972B5}" name="7" dataDxfId="53"/>
    <tableColumn id="8" xr3:uid="{B8634A52-4E10-47C7-A2E2-7268D75FF3B1}" name="8" dataDxfId="52"/>
    <tableColumn id="9" xr3:uid="{50F52F97-2FFF-429B-8205-9821B5E2DDA3}" name="9" dataDxfId="51"/>
    <tableColumn id="10" xr3:uid="{6CA0D076-C021-4ECD-9708-296693BD3D20}" name="12" dataDxfId="50"/>
    <tableColumn id="11" xr3:uid="{60AC6543-9932-43CA-8508-68010867604A}" name="13" dataDxfId="49"/>
    <tableColumn id="12" xr3:uid="{0838B302-CF6C-41FA-9981-2C61DC3D728B}" name="14" dataDxfId="48"/>
    <tableColumn id="13" xr3:uid="{26042530-89B3-48FD-877D-23191B67C000}" name="15" dataDxfId="47"/>
    <tableColumn id="14" xr3:uid="{995CAE1C-81F5-4376-9FBF-9057F92CEBA2}" name="16" dataDxfId="46"/>
    <tableColumn id="15" xr3:uid="{CE078F22-32E6-477A-8610-B39D8802D198}" name="19" dataDxfId="45"/>
    <tableColumn id="16" xr3:uid="{E61DEB3E-541F-4914-B1D0-C31E52B10974}" name="20" dataDxfId="44"/>
    <tableColumn id="17" xr3:uid="{EC1E57C1-8228-4A17-A0ED-ACC28C9F0842}" name="21" dataDxfId="43"/>
    <tableColumn id="18" xr3:uid="{2DA8EC35-62DF-44D7-9B0C-1DA9FD7CFD91}" name="22" dataDxfId="42"/>
    <tableColumn id="19" xr3:uid="{302180D2-EA42-43C4-9FEA-201681FA861E}" name="23" dataDxfId="41"/>
    <tableColumn id="20" xr3:uid="{451825B8-387D-40FA-8E98-2EFAE991267E}" name="26" dataDxfId="40"/>
    <tableColumn id="21" xr3:uid="{026C2977-2F45-419E-AE54-92E82A6FE474}" name="27" dataDxfId="39"/>
    <tableColumn id="22" xr3:uid="{3BBAF7E2-3A2C-4E90-AE74-EEF9947AB60E}" name="28" dataDxfId="38"/>
    <tableColumn id="23" xr3:uid="{8879B076-C842-409F-9B19-61F59EF05584}" name="29" dataDxfId="37"/>
    <tableColumn id="24" xr3:uid="{AF13A28F-47F7-4494-B809-B096327E1B45}" name="30" dataDxfId="36"/>
    <tableColumn id="25" xr3:uid="{89BC57AE-7003-4222-9075-CD5FB2129550}" name="31" dataDxfId="35"/>
    <tableColumn id="5" xr3:uid="{E0FECB44-CCD1-447F-A9BF-090DD9D8B323}" name="CARTERA" dataDxfId="34">
      <calculatedColumnFormula>VLOOKUP($M$3&amp;$N$3&amp;DITE_ENERO_2026[[#This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5" tableType="queryTable" totalsRowShown="0">
  <autoFilter ref="A1:G105" xr:uid="{0607F3E9-4FEE-4CE6-B9AE-D177C1FED03F}"/>
  <tableColumns count="7">
    <tableColumn id="1" xr3:uid="{DAE8BCEE-6D37-4FD7-ABBF-371E73A498E4}" uniqueName="1" name="alias" queryTableFieldId="1" dataDxfId="33"/>
    <tableColumn id="2" xr3:uid="{4006F32F-EE4A-427A-AF49-74D52FBF6D53}" uniqueName="2" name="PUESTO REAL" queryTableFieldId="10"/>
    <tableColumn id="3" xr3:uid="{E33DD98B-2314-40D0-9DFA-F987324F30A3}" uniqueName="3" name="FEC_NAC" queryTableFieldId="3" dataDxfId="32"/>
    <tableColumn id="4" xr3:uid="{8397B954-43F8-46B6-880D-47B541CAB0B9}" uniqueName="4" name="NOMBRE" queryTableFieldId="4" dataDxfId="31"/>
    <tableColumn id="8" xr3:uid="{C558150D-EEDC-4907-8F09-51F784EDF9BF}" uniqueName="8" name="PUESTO" queryTableFieldId="8" dataDxfId="30"/>
    <tableColumn id="7" xr3:uid="{C74AABE2-4219-45A4-BAE7-8D08B65D7B0D}" uniqueName="7" name="MES" queryTableFieldId="7" dataDxfId="29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28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4B4B5CC4-5C3C-461A-AA1A-DC9321B1B957}" name="PLANTILLA_ACTUAL" displayName="PLANTILLA_ACTUAL" ref="A1:F55" totalsRowShown="0" headerRowDxfId="27" dataDxfId="26">
  <autoFilter ref="A1:F55" xr:uid="{4B4B5CC4-5C3C-461A-AA1A-DC9321B1B957}"/>
  <tableColumns count="6">
    <tableColumn id="2" xr3:uid="{B4EEF3CC-7678-42BF-B035-CD88AB68C0D3}" name="ASESOR" dataDxfId="25"/>
    <tableColumn id="3" xr3:uid="{FB1CB57E-C468-417E-ABD0-3CE9B78E9634}" name="SUPERVISOR" dataDxfId="24"/>
    <tableColumn id="1" xr3:uid="{F397A808-BFC5-4F06-9B9C-381F51115E45}" name="PO" dataDxfId="23">
      <calculatedColumnFormula>PLANTILLA_ACTUAL[[#This Row],[ASESOR]]</calculatedColumnFormula>
    </tableColumn>
    <tableColumn id="4" xr3:uid="{014C9F4C-C2F1-4CF8-BCC7-D113C12A1316}" name="DNI" dataDxfId="22"/>
    <tableColumn id="5" xr3:uid="{8A032F20-8CA2-40BD-8E54-462A8D907821}" name="FECHA DE INGRESO" dataDxfId="21"/>
    <tableColumn id="6" xr3:uid="{ABB44D38-5F55-4F91-B375-D4C8E4A5B56A}" name="ESTADO" dataDxfId="20"/>
  </tableColumns>
  <tableStyleInfo name="TableStyleLight14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183" totalsRowShown="0" headerRowDxfId="19" headerRowBorderDxfId="18" tableBorderDxfId="17" totalsRowBorderDxfId="16">
  <autoFilter ref="A1:G183" xr:uid="{C41E08BB-0323-438E-BFE0-76BBB5F11D04}"/>
  <tableColumns count="7">
    <tableColumn id="1" xr3:uid="{392AC838-52ED-4D24-AEEF-DBB8AB8874AD}" name="CONCAT" dataDxfId="15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4"/>
    <tableColumn id="2" xr3:uid="{6AF5A16E-DFBE-42B7-BDA1-6E8694A629C3}" name="mes" dataDxfId="13"/>
    <tableColumn id="4" xr3:uid="{10D1F902-532A-4C8C-AB27-C2F522F14EA7}" name="Equipo" dataDxfId="12"/>
    <tableColumn id="5" xr3:uid="{75A35478-8934-432E-843B-D174D5C58C71}" name="Meta_Equipo" dataDxfId="11"/>
    <tableColumn id="6" xr3:uid="{C4DF57EE-8F57-44C8-ABE6-43EEF1F9DA62}" name="Meta_Asesor" dataDxfId="10"/>
    <tableColumn id="3" xr3:uid="{95E3CE54-9C14-4F51-963D-FFEEB667B07A}" name="SEGG" dataDxfId="9"/>
  </tableColumns>
  <tableStyleInfo name="TableStyleLight8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B71DDEB0-E942-4A19-8467-E6B0A8C30388}" name="Tabla31" displayName="Tabla31" ref="A1:G31" totalsRowShown="0">
  <autoFilter ref="A1:G31" xr:uid="{B71DDEB0-E942-4A19-8467-E6B0A8C30388}"/>
  <tableColumns count="7">
    <tableColumn id="3" xr3:uid="{BDBB7AF2-442B-4B39-A20A-2D332C5062E3}" name="CAPACITADOR" dataDxfId="8"/>
    <tableColumn id="1" xr3:uid="{A623E76D-4FA0-4B02-8A90-7970B94DF34B}" name="ASESOR" dataDxfId="7"/>
    <tableColumn id="2" xr3:uid="{9E723AA3-04D3-429E-B399-716F0DC3F71B}" name="DNI" dataDxfId="6">
      <calculatedColumnFormula>VLOOKUP(Tabla31[[#This Row],[ASESOR]],DIM!$A:$D,4,0)</calculatedColumnFormula>
    </tableColumn>
    <tableColumn id="5" xr3:uid="{92D90274-A82D-4355-9559-8897FF3C2E5E}" name="EQUIPO" dataDxfId="5">
      <calculatedColumnFormula>VLOOKUP(Tabla31[[#This Row],[ASESOR]],ENERO_2026!$B:$E,4,0)</calculatedColumnFormula>
    </tableColumn>
    <tableColumn id="4" xr3:uid="{6C714FD8-5FBA-40C9-B203-737ABF147461}" name="RECUPERO" dataDxfId="4">
      <calculatedColumnFormula>VLOOKUP(Tabla31[[#This Row],[ASESOR]],ENERO_2026!B:G,6,0)</calculatedColumnFormula>
    </tableColumn>
    <tableColumn id="6" xr3:uid="{6F1879E2-7433-4097-83E7-004BFF482A1A}" name="MONTO" dataDxfId="3"/>
    <tableColumn id="7" xr3:uid="{3479ECBD-4505-4CB0-83C8-6F46A3C0F87C}" name="META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8.xml"/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I82"/>
  <sheetViews>
    <sheetView zoomScale="70" zoomScaleNormal="70" workbookViewId="0">
      <selection activeCell="I13" sqref="I13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87" x14ac:dyDescent="0.25">
      <c r="L1" s="59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533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406</v>
      </c>
      <c r="I3" s="59">
        <v>44461</v>
      </c>
      <c r="J3" s="59" t="s">
        <v>535</v>
      </c>
      <c r="K3" s="59"/>
      <c r="L3" s="59"/>
      <c r="M3" s="34">
        <v>2025</v>
      </c>
      <c r="N3" s="34" t="s">
        <v>139</v>
      </c>
      <c r="O3" s="34">
        <v>22</v>
      </c>
    </row>
    <row r="4" spans="1:87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407</v>
      </c>
      <c r="I4" s="59">
        <v>44811</v>
      </c>
      <c r="J4" s="59" t="s">
        <v>535</v>
      </c>
      <c r="K4" s="59"/>
      <c r="L4" s="59"/>
    </row>
    <row r="5" spans="1:87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408</v>
      </c>
      <c r="I5" s="59">
        <v>44811</v>
      </c>
      <c r="J5" s="59" t="s">
        <v>535</v>
      </c>
      <c r="K5" s="59"/>
      <c r="L5" s="59"/>
    </row>
    <row r="6" spans="1:87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409</v>
      </c>
      <c r="I6" s="59">
        <v>44811</v>
      </c>
      <c r="J6" s="59" t="s">
        <v>535</v>
      </c>
      <c r="K6" s="59"/>
      <c r="L6" s="59"/>
    </row>
    <row r="7" spans="1:87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410</v>
      </c>
      <c r="I7" s="59">
        <v>45457</v>
      </c>
      <c r="J7" s="59" t="s">
        <v>535</v>
      </c>
      <c r="K7" s="59"/>
      <c r="L7" s="59"/>
    </row>
    <row r="8" spans="1:87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411</v>
      </c>
      <c r="I8" s="59">
        <v>45075</v>
      </c>
      <c r="J8" s="59" t="s">
        <v>535</v>
      </c>
      <c r="K8" s="59"/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8" t="s">
        <v>567</v>
      </c>
      <c r="T8" s="78" t="s">
        <v>537</v>
      </c>
      <c r="U8" s="78" t="s">
        <v>559</v>
      </c>
      <c r="V8" s="78" t="s">
        <v>563</v>
      </c>
      <c r="W8" s="78" t="s">
        <v>538</v>
      </c>
      <c r="X8" s="78" t="s">
        <v>539</v>
      </c>
      <c r="Y8" s="78" t="s">
        <v>540</v>
      </c>
      <c r="Z8" s="78" t="s">
        <v>541</v>
      </c>
      <c r="AA8" s="78" t="s">
        <v>542</v>
      </c>
      <c r="AB8" s="78" t="s">
        <v>560</v>
      </c>
      <c r="AC8" s="78" t="s">
        <v>564</v>
      </c>
      <c r="AD8" s="78" t="s">
        <v>543</v>
      </c>
      <c r="AE8" s="78" t="s">
        <v>544</v>
      </c>
      <c r="AF8" s="78" t="s">
        <v>545</v>
      </c>
      <c r="AG8" s="78" t="s">
        <v>546</v>
      </c>
      <c r="AH8" s="78" t="s">
        <v>547</v>
      </c>
      <c r="AI8" s="78" t="s">
        <v>561</v>
      </c>
      <c r="AJ8" s="78" t="s">
        <v>565</v>
      </c>
      <c r="AK8" s="78" t="s">
        <v>548</v>
      </c>
      <c r="AL8" s="78" t="s">
        <v>549</v>
      </c>
      <c r="AM8" s="78" t="s">
        <v>550</v>
      </c>
      <c r="AN8" s="78" t="s">
        <v>551</v>
      </c>
      <c r="AO8" s="78" t="s">
        <v>552</v>
      </c>
      <c r="AP8" s="78" t="s">
        <v>562</v>
      </c>
      <c r="AQ8" s="78" t="s">
        <v>566</v>
      </c>
      <c r="AR8" s="78" t="s">
        <v>553</v>
      </c>
      <c r="AS8" s="78" t="s">
        <v>554</v>
      </c>
      <c r="AT8" s="78" t="s">
        <v>555</v>
      </c>
      <c r="AU8" s="78" t="s">
        <v>556</v>
      </c>
      <c r="AV8" s="78" t="s">
        <v>557</v>
      </c>
      <c r="AW8" s="78" t="s">
        <v>558</v>
      </c>
      <c r="AX8" s="15" t="s">
        <v>536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567</v>
      </c>
      <c r="BE8" s="41" t="s">
        <v>537</v>
      </c>
      <c r="BF8" s="41" t="s">
        <v>559</v>
      </c>
      <c r="BG8" s="41" t="s">
        <v>563</v>
      </c>
      <c r="BH8" s="41" t="s">
        <v>538</v>
      </c>
      <c r="BI8" s="41" t="s">
        <v>539</v>
      </c>
      <c r="BJ8" s="41" t="s">
        <v>540</v>
      </c>
      <c r="BK8" s="41" t="s">
        <v>541</v>
      </c>
      <c r="BL8" s="41" t="s">
        <v>542</v>
      </c>
      <c r="BM8" s="41" t="s">
        <v>560</v>
      </c>
      <c r="BN8" s="41" t="s">
        <v>564</v>
      </c>
      <c r="BO8" s="41" t="s">
        <v>543</v>
      </c>
      <c r="BP8" s="41" t="s">
        <v>544</v>
      </c>
      <c r="BQ8" s="41" t="s">
        <v>545</v>
      </c>
      <c r="BR8" s="41" t="s">
        <v>546</v>
      </c>
      <c r="BS8" s="41" t="s">
        <v>547</v>
      </c>
      <c r="BT8" s="41" t="s">
        <v>561</v>
      </c>
      <c r="BU8" s="41" t="s">
        <v>565</v>
      </c>
      <c r="BV8" s="41" t="s">
        <v>548</v>
      </c>
      <c r="BW8" s="41" t="s">
        <v>549</v>
      </c>
      <c r="BX8" s="41" t="s">
        <v>550</v>
      </c>
      <c r="BY8" s="41" t="s">
        <v>551</v>
      </c>
      <c r="BZ8" s="41" t="s">
        <v>552</v>
      </c>
      <c r="CA8" s="41" t="s">
        <v>562</v>
      </c>
      <c r="CB8" s="41" t="s">
        <v>566</v>
      </c>
      <c r="CC8" s="41" t="s">
        <v>553</v>
      </c>
      <c r="CD8" s="41" t="s">
        <v>554</v>
      </c>
      <c r="CE8" s="41" t="s">
        <v>555</v>
      </c>
      <c r="CF8" s="41" t="s">
        <v>556</v>
      </c>
      <c r="CG8" s="41" t="s">
        <v>557</v>
      </c>
      <c r="CH8" s="41" t="s">
        <v>558</v>
      </c>
      <c r="CI8" s="19" t="s">
        <v>134</v>
      </c>
    </row>
    <row r="9" spans="1:87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412</v>
      </c>
      <c r="I9" s="59">
        <v>44888</v>
      </c>
      <c r="J9" s="59" t="s">
        <v>535</v>
      </c>
      <c r="K9" s="59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2">
        <f>MAX(DITE_ENERO_2025[[#This Row],[1]:[31]])</f>
        <v>464826</v>
      </c>
      <c r="BB9" s="18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2" t="s">
        <v>150</v>
      </c>
    </row>
    <row r="10" spans="1:87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413</v>
      </c>
      <c r="I10" s="59">
        <v>45334</v>
      </c>
      <c r="J10" s="59" t="s">
        <v>535</v>
      </c>
      <c r="K10" s="59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2">
        <f>MAX(DITE_ENERO_2025[[#This Row],[1]:[31]])</f>
        <v>144527.79999999999</v>
      </c>
      <c r="BB10" s="18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2" t="s">
        <v>151</v>
      </c>
    </row>
    <row r="11" spans="1:87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414</v>
      </c>
      <c r="I11" s="59">
        <v>45304</v>
      </c>
      <c r="J11" s="59" t="s">
        <v>535</v>
      </c>
      <c r="K11" s="59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2">
        <f>MAX(DITE_ENERO_2025[[#This Row],[1]:[31]])</f>
        <v>229439</v>
      </c>
      <c r="BB11" s="18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2" t="s">
        <v>152</v>
      </c>
    </row>
    <row r="12" spans="1:87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415</v>
      </c>
      <c r="I12" s="59">
        <v>45334</v>
      </c>
      <c r="J12" s="59" t="s">
        <v>535</v>
      </c>
      <c r="K12" s="59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2">
        <f>MAX(DITE_ENERO_2025[[#This Row],[1]:[31]])</f>
        <v>164476.20000000001</v>
      </c>
      <c r="BB12" s="18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2" t="s">
        <v>153</v>
      </c>
    </row>
    <row r="13" spans="1:87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416</v>
      </c>
      <c r="I13" s="59">
        <v>44870</v>
      </c>
      <c r="J13" s="59" t="s">
        <v>535</v>
      </c>
      <c r="K13" s="59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2">
        <f>MAX(DITE_ENERO_2025[[#This Row],[1]:[31]])</f>
        <v>442529.22</v>
      </c>
      <c r="BB13" s="18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2" t="s">
        <v>150</v>
      </c>
    </row>
    <row r="14" spans="1:87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417</v>
      </c>
      <c r="I14" s="59">
        <v>45530</v>
      </c>
      <c r="J14" s="59" t="s">
        <v>535</v>
      </c>
      <c r="K14" s="59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2">
        <f>MAX(DITE_ENERO_2025[[#This Row],[1]:[31]])</f>
        <v>140979.4</v>
      </c>
      <c r="BB14" s="18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2" t="s">
        <v>151</v>
      </c>
    </row>
    <row r="15" spans="1:87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418</v>
      </c>
      <c r="I15" s="59">
        <v>44259</v>
      </c>
      <c r="J15" s="59" t="s">
        <v>535</v>
      </c>
      <c r="K15" s="59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2">
        <f>MAX(DITE_ENERO_2025[[#This Row],[1]:[31]])</f>
        <v>333735.09999999998</v>
      </c>
      <c r="BB15" s="18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2" t="s">
        <v>150</v>
      </c>
    </row>
    <row r="16" spans="1:87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419</v>
      </c>
      <c r="I16" s="59">
        <v>44748</v>
      </c>
      <c r="J16" s="59" t="s">
        <v>535</v>
      </c>
      <c r="K16" s="59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420</v>
      </c>
      <c r="I17" s="59">
        <v>44840</v>
      </c>
      <c r="J17" s="59" t="s">
        <v>535</v>
      </c>
      <c r="K17" s="59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421</v>
      </c>
      <c r="I18" s="59">
        <v>45344</v>
      </c>
      <c r="J18" s="59" t="s">
        <v>535</v>
      </c>
      <c r="K18" s="59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422</v>
      </c>
      <c r="I19" s="59">
        <v>44470</v>
      </c>
      <c r="J19" s="59" t="s">
        <v>535</v>
      </c>
      <c r="K19" s="59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423</v>
      </c>
      <c r="I20" s="59">
        <v>45668</v>
      </c>
      <c r="J20" s="59" t="s">
        <v>535</v>
      </c>
      <c r="K20" s="59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424</v>
      </c>
      <c r="I21" s="59">
        <v>44945</v>
      </c>
      <c r="J21" s="59" t="s">
        <v>535</v>
      </c>
      <c r="K21" s="59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425</v>
      </c>
      <c r="I22" s="59">
        <v>44357</v>
      </c>
      <c r="J22" s="59" t="s">
        <v>535</v>
      </c>
      <c r="K22" s="59"/>
      <c r="L22" s="59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426</v>
      </c>
      <c r="I23" s="59">
        <v>44673</v>
      </c>
      <c r="J23" s="59" t="s">
        <v>535</v>
      </c>
      <c r="K23" s="59"/>
      <c r="L23" s="59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427</v>
      </c>
      <c r="I24" s="59">
        <v>43132</v>
      </c>
      <c r="J24" s="59" t="s">
        <v>535</v>
      </c>
      <c r="K24" s="59"/>
      <c r="L24" s="59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428</v>
      </c>
      <c r="I25" s="59">
        <v>44748</v>
      </c>
      <c r="J25" s="59" t="s">
        <v>535</v>
      </c>
      <c r="K25" s="59"/>
      <c r="L25" s="59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429</v>
      </c>
      <c r="I26" s="59">
        <v>45523</v>
      </c>
      <c r="J26" s="59" t="s">
        <v>535</v>
      </c>
      <c r="K26" s="59"/>
      <c r="L26" s="59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430</v>
      </c>
      <c r="I27" s="59">
        <v>45334</v>
      </c>
      <c r="J27" s="59" t="s">
        <v>535</v>
      </c>
      <c r="K27" s="59"/>
      <c r="L27" s="59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431</v>
      </c>
      <c r="I28" s="59">
        <v>45441</v>
      </c>
      <c r="J28" s="59" t="s">
        <v>535</v>
      </c>
      <c r="K28" s="59"/>
      <c r="L28" s="59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432</v>
      </c>
      <c r="I29" s="59">
        <v>45471</v>
      </c>
      <c r="J29" s="59" t="s">
        <v>535</v>
      </c>
      <c r="K29" s="59"/>
      <c r="L29" s="59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433</v>
      </c>
      <c r="I30" s="59">
        <v>44941</v>
      </c>
      <c r="J30" s="59" t="s">
        <v>535</v>
      </c>
      <c r="K30" s="59"/>
      <c r="L30" s="59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434</v>
      </c>
      <c r="I31" s="59">
        <v>45175</v>
      </c>
      <c r="J31" s="59" t="s">
        <v>535</v>
      </c>
      <c r="K31" s="59"/>
      <c r="L31" s="59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435</v>
      </c>
      <c r="I32" s="59">
        <v>44819</v>
      </c>
      <c r="J32" s="59" t="s">
        <v>535</v>
      </c>
      <c r="K32" s="59"/>
      <c r="L32" s="59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436</v>
      </c>
      <c r="I33" s="59">
        <v>44301</v>
      </c>
      <c r="J33" s="59" t="s">
        <v>535</v>
      </c>
      <c r="K33" s="59"/>
      <c r="L33" s="59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437</v>
      </c>
      <c r="I34" s="59">
        <v>44735</v>
      </c>
      <c r="J34" s="59" t="s">
        <v>535</v>
      </c>
      <c r="K34" s="59"/>
      <c r="L34" s="59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438</v>
      </c>
      <c r="I35" s="59">
        <v>44909</v>
      </c>
      <c r="J35" s="59" t="s">
        <v>535</v>
      </c>
      <c r="K35" s="59"/>
      <c r="L35" s="59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439</v>
      </c>
      <c r="I36" s="59">
        <v>45675</v>
      </c>
      <c r="J36" s="59" t="s">
        <v>535</v>
      </c>
      <c r="K36" s="59"/>
      <c r="L36" s="59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440</v>
      </c>
      <c r="I37" s="59">
        <v>45674</v>
      </c>
      <c r="J37" s="59" t="s">
        <v>535</v>
      </c>
      <c r="K37" s="59"/>
      <c r="L37" s="59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441</v>
      </c>
      <c r="I38" s="59">
        <v>45423</v>
      </c>
      <c r="J38" s="59" t="s">
        <v>535</v>
      </c>
      <c r="K38" s="59"/>
      <c r="L38" s="59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442</v>
      </c>
      <c r="I39" s="59">
        <v>45399</v>
      </c>
      <c r="J39" s="59" t="s">
        <v>535</v>
      </c>
      <c r="K39" s="59"/>
      <c r="L39" s="59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443</v>
      </c>
      <c r="I40" s="59">
        <v>44687</v>
      </c>
      <c r="J40" s="59" t="s">
        <v>535</v>
      </c>
      <c r="K40" s="59"/>
      <c r="L40" s="59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444</v>
      </c>
      <c r="I41" s="59">
        <v>44510</v>
      </c>
      <c r="J41" s="59" t="s">
        <v>535</v>
      </c>
      <c r="K41" s="59"/>
      <c r="L41" s="59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445</v>
      </c>
      <c r="I42" s="59">
        <v>44971</v>
      </c>
      <c r="J42" s="59" t="s">
        <v>535</v>
      </c>
      <c r="K42" s="59"/>
      <c r="L42" s="59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446</v>
      </c>
      <c r="I43" s="59">
        <v>45451</v>
      </c>
      <c r="J43" s="59" t="s">
        <v>535</v>
      </c>
      <c r="K43" s="59"/>
      <c r="L43" s="59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447</v>
      </c>
      <c r="I44" s="59">
        <v>45145</v>
      </c>
      <c r="J44" s="59" t="s">
        <v>535</v>
      </c>
      <c r="K44" s="59"/>
      <c r="L44" s="59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448</v>
      </c>
      <c r="I45" s="59">
        <v>44748</v>
      </c>
      <c r="J45" s="59" t="s">
        <v>535</v>
      </c>
      <c r="K45" s="59"/>
      <c r="L45" s="59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449</v>
      </c>
      <c r="I46" s="59">
        <v>45334</v>
      </c>
      <c r="J46" s="59" t="s">
        <v>535</v>
      </c>
      <c r="K46" s="59"/>
      <c r="L46" s="59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450</v>
      </c>
      <c r="I47" s="59">
        <v>45323</v>
      </c>
      <c r="J47" s="59" t="s">
        <v>535</v>
      </c>
      <c r="K47" s="59"/>
      <c r="L47" s="59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451</v>
      </c>
      <c r="I48" s="59">
        <v>45429</v>
      </c>
      <c r="J48" s="59" t="s">
        <v>535</v>
      </c>
      <c r="K48" s="59"/>
      <c r="L48" s="59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452</v>
      </c>
      <c r="I49" s="59">
        <v>45506</v>
      </c>
      <c r="J49" s="59" t="s">
        <v>535</v>
      </c>
      <c r="K49" s="59"/>
      <c r="L49" s="59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453</v>
      </c>
      <c r="I50" s="59">
        <v>45082</v>
      </c>
      <c r="J50" s="59" t="s">
        <v>535</v>
      </c>
      <c r="K50" s="59"/>
      <c r="L50" s="59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454</v>
      </c>
      <c r="I51" s="59">
        <v>45142</v>
      </c>
      <c r="J51" s="59" t="s">
        <v>535</v>
      </c>
      <c r="K51" s="59"/>
      <c r="L51" s="59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455</v>
      </c>
      <c r="I52" s="59">
        <v>44716</v>
      </c>
      <c r="J52" s="59" t="s">
        <v>535</v>
      </c>
      <c r="K52" s="59"/>
      <c r="L52" s="59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456</v>
      </c>
      <c r="I53" s="59">
        <v>45371</v>
      </c>
      <c r="J53" s="59" t="s">
        <v>535</v>
      </c>
      <c r="K53" s="59"/>
      <c r="L53" s="59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457</v>
      </c>
      <c r="I54" s="59">
        <v>45348</v>
      </c>
      <c r="J54" s="59" t="s">
        <v>535</v>
      </c>
      <c r="K54" s="59"/>
      <c r="L54" s="59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575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458</v>
      </c>
      <c r="I55" s="59">
        <v>45133</v>
      </c>
      <c r="J55" s="59" t="s">
        <v>535</v>
      </c>
      <c r="K55" s="59"/>
      <c r="L55" s="59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459</v>
      </c>
      <c r="I56" s="59">
        <v>45133</v>
      </c>
      <c r="J56" s="59" t="s">
        <v>535</v>
      </c>
      <c r="K56" s="59"/>
      <c r="L56" s="59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460</v>
      </c>
      <c r="I57" s="59">
        <v>45285</v>
      </c>
      <c r="J57" s="59" t="s">
        <v>535</v>
      </c>
      <c r="K57" s="59"/>
      <c r="L57" s="59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461</v>
      </c>
      <c r="I58" s="59">
        <v>45334</v>
      </c>
      <c r="J58" s="59" t="s">
        <v>535</v>
      </c>
      <c r="K58" s="59"/>
      <c r="L58" s="59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462</v>
      </c>
      <c r="I59" s="59">
        <v>44937</v>
      </c>
      <c r="J59" s="59" t="s">
        <v>535</v>
      </c>
      <c r="K59" s="59"/>
      <c r="L59" s="59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463</v>
      </c>
      <c r="I60" s="59">
        <v>42814</v>
      </c>
      <c r="J60" s="59" t="s">
        <v>535</v>
      </c>
      <c r="K60" s="59"/>
      <c r="L60" s="59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464</v>
      </c>
      <c r="I61" s="59">
        <v>45671</v>
      </c>
      <c r="J61" s="59" t="s">
        <v>535</v>
      </c>
      <c r="K61" s="59"/>
      <c r="L61" s="59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465</v>
      </c>
      <c r="I62" s="59">
        <v>45021</v>
      </c>
      <c r="J62" s="59" t="s">
        <v>535</v>
      </c>
      <c r="K62" s="59"/>
      <c r="L62" s="59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466</v>
      </c>
      <c r="I63" s="59">
        <v>44869</v>
      </c>
      <c r="J63" s="59" t="s">
        <v>535</v>
      </c>
      <c r="K63" s="59"/>
      <c r="L63" s="59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467</v>
      </c>
      <c r="I64" s="59">
        <v>45364</v>
      </c>
      <c r="J64" s="59" t="s">
        <v>535</v>
      </c>
      <c r="K64" s="59"/>
      <c r="L64" s="59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571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468</v>
      </c>
      <c r="I65" s="59">
        <v>43035</v>
      </c>
      <c r="J65" s="59" t="s">
        <v>535</v>
      </c>
      <c r="K65" s="59"/>
      <c r="L65" s="59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469</v>
      </c>
      <c r="I66" s="59">
        <v>45299</v>
      </c>
      <c r="J66" s="59" t="s">
        <v>535</v>
      </c>
      <c r="K66" s="59"/>
      <c r="L66" s="59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470</v>
      </c>
      <c r="I67" s="59">
        <v>45590</v>
      </c>
      <c r="J67" s="59" t="s">
        <v>535</v>
      </c>
      <c r="K67" s="59"/>
      <c r="L67" s="59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471</v>
      </c>
      <c r="I68" s="59">
        <v>0</v>
      </c>
      <c r="J68" s="59" t="s">
        <v>535</v>
      </c>
      <c r="K68" s="59"/>
      <c r="L68" s="59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472</v>
      </c>
      <c r="I69" s="59">
        <v>44111</v>
      </c>
      <c r="J69" s="59" t="s">
        <v>535</v>
      </c>
      <c r="K69" s="59"/>
      <c r="L69" s="59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473</v>
      </c>
      <c r="I70" s="59">
        <v>44820</v>
      </c>
      <c r="J70" s="59" t="s">
        <v>535</v>
      </c>
      <c r="K70" s="59"/>
      <c r="L70" s="59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474</v>
      </c>
      <c r="I71" s="59">
        <v>45316</v>
      </c>
      <c r="J71" s="59" t="s">
        <v>535</v>
      </c>
      <c r="K71" s="59"/>
      <c r="L71" s="59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475</v>
      </c>
      <c r="I72" s="59">
        <v>45399</v>
      </c>
      <c r="J72" s="59" t="s">
        <v>535</v>
      </c>
      <c r="K72" s="59"/>
      <c r="L72" s="59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572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476</v>
      </c>
      <c r="I73" s="59">
        <v>44706</v>
      </c>
      <c r="J73" s="59" t="s">
        <v>535</v>
      </c>
      <c r="K73" s="59"/>
      <c r="L73" s="59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571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571</v>
      </c>
      <c r="G74">
        <v>12973</v>
      </c>
      <c r="H74" t="s">
        <v>573</v>
      </c>
      <c r="I74" s="59">
        <v>44716</v>
      </c>
      <c r="J74" s="59" t="s">
        <v>535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572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572</v>
      </c>
      <c r="G75">
        <v>3270</v>
      </c>
      <c r="H75" t="s">
        <v>574</v>
      </c>
      <c r="I75" s="59">
        <v>45343</v>
      </c>
      <c r="J75" s="59" t="s">
        <v>535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575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575</v>
      </c>
      <c r="G76">
        <v>2025</v>
      </c>
      <c r="H76" t="s">
        <v>576</v>
      </c>
      <c r="I76" s="59">
        <v>45131</v>
      </c>
      <c r="J76" s="59" t="s">
        <v>535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I78"/>
  <sheetViews>
    <sheetView topLeftCell="AH3" zoomScale="70" zoomScaleNormal="70" workbookViewId="0">
      <selection activeCell="AZ25" sqref="AZ2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9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533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468</v>
      </c>
      <c r="I3" s="59">
        <v>43035</v>
      </c>
      <c r="J3" t="s">
        <v>535</v>
      </c>
      <c r="L3" s="59"/>
      <c r="M3" s="34">
        <v>2025</v>
      </c>
      <c r="N3" s="34" t="s">
        <v>140</v>
      </c>
      <c r="O3" s="34">
        <v>20</v>
      </c>
    </row>
    <row r="4" spans="1:87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477</v>
      </c>
      <c r="I4" s="59">
        <v>45084</v>
      </c>
      <c r="J4" t="s">
        <v>535</v>
      </c>
      <c r="L4" s="59"/>
    </row>
    <row r="5" spans="1:87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469</v>
      </c>
      <c r="I5" s="59">
        <v>45299</v>
      </c>
      <c r="J5" t="s">
        <v>535</v>
      </c>
      <c r="L5" s="59"/>
    </row>
    <row r="6" spans="1:87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470</v>
      </c>
      <c r="I6" s="59">
        <v>45590</v>
      </c>
      <c r="J6" t="s">
        <v>535</v>
      </c>
      <c r="L6" s="59"/>
    </row>
    <row r="7" spans="1:87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472</v>
      </c>
      <c r="I7" s="59">
        <v>44111</v>
      </c>
      <c r="J7" t="s">
        <v>535</v>
      </c>
      <c r="L7" s="59"/>
    </row>
    <row r="8" spans="1:87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474</v>
      </c>
      <c r="I8" s="59">
        <v>45316</v>
      </c>
      <c r="J8" t="s">
        <v>535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8" t="s">
        <v>567</v>
      </c>
      <c r="T8" s="78" t="s">
        <v>537</v>
      </c>
      <c r="U8" s="78" t="s">
        <v>559</v>
      </c>
      <c r="V8" s="78" t="s">
        <v>563</v>
      </c>
      <c r="W8" s="78" t="s">
        <v>538</v>
      </c>
      <c r="X8" s="78" t="s">
        <v>539</v>
      </c>
      <c r="Y8" s="78" t="s">
        <v>540</v>
      </c>
      <c r="Z8" s="78" t="s">
        <v>541</v>
      </c>
      <c r="AA8" s="78" t="s">
        <v>542</v>
      </c>
      <c r="AB8" s="78" t="s">
        <v>560</v>
      </c>
      <c r="AC8" s="78" t="s">
        <v>564</v>
      </c>
      <c r="AD8" s="78" t="s">
        <v>543</v>
      </c>
      <c r="AE8" s="78" t="s">
        <v>544</v>
      </c>
      <c r="AF8" s="78" t="s">
        <v>545</v>
      </c>
      <c r="AG8" s="78" t="s">
        <v>546</v>
      </c>
      <c r="AH8" s="78" t="s">
        <v>547</v>
      </c>
      <c r="AI8" s="78" t="s">
        <v>561</v>
      </c>
      <c r="AJ8" s="78" t="s">
        <v>565</v>
      </c>
      <c r="AK8" s="78" t="s">
        <v>548</v>
      </c>
      <c r="AL8" s="78" t="s">
        <v>549</v>
      </c>
      <c r="AM8" s="78" t="s">
        <v>550</v>
      </c>
      <c r="AN8" s="78" t="s">
        <v>551</v>
      </c>
      <c r="AO8" s="78" t="s">
        <v>552</v>
      </c>
      <c r="AP8" s="78" t="s">
        <v>562</v>
      </c>
      <c r="AQ8" s="78" t="s">
        <v>566</v>
      </c>
      <c r="AR8" s="78" t="s">
        <v>553</v>
      </c>
      <c r="AS8" s="78" t="s">
        <v>554</v>
      </c>
      <c r="AT8" s="78" t="s">
        <v>555</v>
      </c>
      <c r="AU8" s="78" t="s">
        <v>556</v>
      </c>
      <c r="AV8" s="78" t="s">
        <v>557</v>
      </c>
      <c r="AW8" s="78" t="s">
        <v>558</v>
      </c>
      <c r="AX8" s="15" t="s">
        <v>536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567</v>
      </c>
      <c r="BE8" s="41" t="s">
        <v>537</v>
      </c>
      <c r="BF8" s="41" t="s">
        <v>559</v>
      </c>
      <c r="BG8" s="41" t="s">
        <v>563</v>
      </c>
      <c r="BH8" s="41" t="s">
        <v>538</v>
      </c>
      <c r="BI8" s="41" t="s">
        <v>539</v>
      </c>
      <c r="BJ8" s="41" t="s">
        <v>540</v>
      </c>
      <c r="BK8" s="41" t="s">
        <v>541</v>
      </c>
      <c r="BL8" s="41" t="s">
        <v>542</v>
      </c>
      <c r="BM8" s="41" t="s">
        <v>560</v>
      </c>
      <c r="BN8" s="41" t="s">
        <v>564</v>
      </c>
      <c r="BO8" s="41" t="s">
        <v>543</v>
      </c>
      <c r="BP8" s="41" t="s">
        <v>544</v>
      </c>
      <c r="BQ8" s="41" t="s">
        <v>545</v>
      </c>
      <c r="BR8" s="41" t="s">
        <v>546</v>
      </c>
      <c r="BS8" s="41" t="s">
        <v>547</v>
      </c>
      <c r="BT8" s="41" t="s">
        <v>561</v>
      </c>
      <c r="BU8" s="41" t="s">
        <v>565</v>
      </c>
      <c r="BV8" s="41" t="s">
        <v>548</v>
      </c>
      <c r="BW8" s="41" t="s">
        <v>549</v>
      </c>
      <c r="BX8" s="41" t="s">
        <v>550</v>
      </c>
      <c r="BY8" s="41" t="s">
        <v>551</v>
      </c>
      <c r="BZ8" s="41" t="s">
        <v>552</v>
      </c>
      <c r="CA8" s="41" t="s">
        <v>562</v>
      </c>
      <c r="CB8" s="41" t="s">
        <v>566</v>
      </c>
      <c r="CC8" s="41" t="s">
        <v>553</v>
      </c>
      <c r="CD8" s="41" t="s">
        <v>554</v>
      </c>
      <c r="CE8" s="41" t="s">
        <v>555</v>
      </c>
      <c r="CF8" s="41" t="s">
        <v>556</v>
      </c>
      <c r="CG8" s="41" t="s">
        <v>557</v>
      </c>
      <c r="CH8" s="41" t="s">
        <v>558</v>
      </c>
      <c r="CI8" s="19" t="s">
        <v>134</v>
      </c>
    </row>
    <row r="9" spans="1:87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475</v>
      </c>
      <c r="I9" s="59">
        <v>45399</v>
      </c>
      <c r="J9" t="s">
        <v>535</v>
      </c>
      <c r="L9" s="59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2">
        <f>MAX(DITE_FEBRERO_2025[[#This Row],[1]:[31]])</f>
        <v>389069.42</v>
      </c>
      <c r="BB9" s="18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2" t="s">
        <v>150</v>
      </c>
    </row>
    <row r="10" spans="1:87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476</v>
      </c>
      <c r="I10" s="59">
        <v>44706</v>
      </c>
      <c r="J10" t="s">
        <v>535</v>
      </c>
      <c r="L10" s="59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2">
        <f>MAX(DITE_FEBRERO_2025[[#This Row],[1]:[31]])</f>
        <v>152761.60000000001</v>
      </c>
      <c r="BB10" s="18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2" t="s">
        <v>151</v>
      </c>
    </row>
    <row r="11" spans="1:87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435</v>
      </c>
      <c r="I11" s="59">
        <v>44819</v>
      </c>
      <c r="J11" t="s">
        <v>535</v>
      </c>
      <c r="L11" s="59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2">
        <f>MAX(DITE_FEBRERO_2025[[#This Row],[1]:[31]])</f>
        <v>154755.32</v>
      </c>
      <c r="BB11" s="18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2" t="s">
        <v>152</v>
      </c>
    </row>
    <row r="12" spans="1:87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449</v>
      </c>
      <c r="I12" s="59">
        <v>45334</v>
      </c>
      <c r="J12" t="s">
        <v>535</v>
      </c>
      <c r="L12" s="59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2">
        <f>MAX(DITE_FEBRERO_2025[[#This Row],[1]:[31]])</f>
        <v>135252.25</v>
      </c>
      <c r="BB12" s="18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2" t="s">
        <v>153</v>
      </c>
    </row>
    <row r="13" spans="1:87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450</v>
      </c>
      <c r="I13" s="59">
        <v>45323</v>
      </c>
      <c r="J13" t="s">
        <v>535</v>
      </c>
      <c r="L13" s="59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2">
        <f>MAX(DITE_FEBRERO_2025[[#This Row],[1]:[31]])</f>
        <v>321457.37</v>
      </c>
      <c r="BB13" s="18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2" t="s">
        <v>150</v>
      </c>
    </row>
    <row r="14" spans="1:87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451</v>
      </c>
      <c r="I14" s="59">
        <v>45429</v>
      </c>
      <c r="J14" t="s">
        <v>535</v>
      </c>
      <c r="L14" s="59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2">
        <f>MAX(DITE_FEBRERO_2025[[#This Row],[1]:[31]])</f>
        <v>111163.13</v>
      </c>
      <c r="BB14" s="18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2" t="s">
        <v>154</v>
      </c>
    </row>
    <row r="15" spans="1:87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452</v>
      </c>
      <c r="I15" s="59">
        <v>45506</v>
      </c>
      <c r="J15" t="s">
        <v>535</v>
      </c>
      <c r="L15" s="59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2">
        <f>MAX(DITE_FEBRERO_2025[[#This Row],[1]:[31]])</f>
        <v>490869.5</v>
      </c>
      <c r="BB15" s="18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2" t="s">
        <v>150</v>
      </c>
    </row>
    <row r="16" spans="1:87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454</v>
      </c>
      <c r="I16" s="59">
        <v>45142</v>
      </c>
      <c r="J16" t="s">
        <v>535</v>
      </c>
      <c r="L16" s="59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443</v>
      </c>
      <c r="I17" s="59">
        <v>44687</v>
      </c>
      <c r="J17" t="s">
        <v>535</v>
      </c>
      <c r="L17" s="59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455</v>
      </c>
      <c r="I18" s="59">
        <v>44716</v>
      </c>
      <c r="J18" t="s">
        <v>535</v>
      </c>
      <c r="L18" s="59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456</v>
      </c>
      <c r="I19" s="59">
        <v>45371</v>
      </c>
      <c r="J19" t="s">
        <v>535</v>
      </c>
      <c r="L19" s="59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457</v>
      </c>
      <c r="I20" s="59">
        <v>45348</v>
      </c>
      <c r="J20" t="s">
        <v>535</v>
      </c>
      <c r="L20" s="59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414</v>
      </c>
      <c r="I21" s="59">
        <v>45304</v>
      </c>
      <c r="J21" t="s">
        <v>535</v>
      </c>
      <c r="L21" s="59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415</v>
      </c>
      <c r="I22" s="59">
        <v>45334</v>
      </c>
      <c r="J22" t="s">
        <v>535</v>
      </c>
      <c r="L22" s="59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416</v>
      </c>
      <c r="I23" s="59">
        <v>44870</v>
      </c>
      <c r="J23" t="s">
        <v>535</v>
      </c>
      <c r="L23" s="59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417</v>
      </c>
      <c r="I24" s="59">
        <v>45530</v>
      </c>
      <c r="J24" t="s">
        <v>535</v>
      </c>
      <c r="L24" s="59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418</v>
      </c>
      <c r="I25" s="59">
        <v>44259</v>
      </c>
      <c r="J25" t="s">
        <v>535</v>
      </c>
      <c r="L25" s="59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420</v>
      </c>
      <c r="I26" s="59">
        <v>44840</v>
      </c>
      <c r="J26" t="s">
        <v>535</v>
      </c>
      <c r="L26" s="59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421</v>
      </c>
      <c r="I27" s="59">
        <v>45344</v>
      </c>
      <c r="J27" t="s">
        <v>535</v>
      </c>
      <c r="L27" s="59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422</v>
      </c>
      <c r="I28" s="59">
        <v>44470</v>
      </c>
      <c r="J28" t="s">
        <v>535</v>
      </c>
      <c r="L28" s="59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478</v>
      </c>
      <c r="I29" s="59">
        <v>45714</v>
      </c>
      <c r="J29" t="s">
        <v>535</v>
      </c>
      <c r="L29" s="59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423</v>
      </c>
      <c r="I30" s="59">
        <v>45668</v>
      </c>
      <c r="J30" t="s">
        <v>535</v>
      </c>
      <c r="L30" s="59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424</v>
      </c>
      <c r="I31" s="59">
        <v>44945</v>
      </c>
      <c r="J31" t="s">
        <v>535</v>
      </c>
      <c r="L31" s="59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479</v>
      </c>
      <c r="I32" s="59">
        <v>44951</v>
      </c>
      <c r="J32" t="s">
        <v>535</v>
      </c>
      <c r="L32" s="59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407</v>
      </c>
      <c r="I33" s="59">
        <v>44811</v>
      </c>
      <c r="J33" t="s">
        <v>535</v>
      </c>
      <c r="L33" s="59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408</v>
      </c>
      <c r="I34" s="59">
        <v>44811</v>
      </c>
      <c r="J34" t="s">
        <v>535</v>
      </c>
      <c r="L34" s="59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409</v>
      </c>
      <c r="I35" s="59">
        <v>44811</v>
      </c>
      <c r="J35" t="s">
        <v>535</v>
      </c>
      <c r="L35" s="59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410</v>
      </c>
      <c r="I36" s="59">
        <v>45457</v>
      </c>
      <c r="J36" t="s">
        <v>535</v>
      </c>
      <c r="L36" s="59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411</v>
      </c>
      <c r="I37" s="59">
        <v>45075</v>
      </c>
      <c r="J37" t="s">
        <v>535</v>
      </c>
      <c r="L37" s="59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419</v>
      </c>
      <c r="I38" s="59">
        <v>44748</v>
      </c>
      <c r="J38" t="s">
        <v>535</v>
      </c>
      <c r="L38" s="59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412</v>
      </c>
      <c r="I39" s="59">
        <v>44888</v>
      </c>
      <c r="J39" t="s">
        <v>535</v>
      </c>
      <c r="L39" s="59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413</v>
      </c>
      <c r="I40" s="59">
        <v>45334</v>
      </c>
      <c r="J40" t="s">
        <v>535</v>
      </c>
      <c r="L40" s="59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480</v>
      </c>
      <c r="I41" s="59">
        <v>44566</v>
      </c>
      <c r="J41" t="s">
        <v>535</v>
      </c>
      <c r="L41" s="59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425</v>
      </c>
      <c r="I42" s="59">
        <v>44357</v>
      </c>
      <c r="J42" t="s">
        <v>535</v>
      </c>
      <c r="L42" s="59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426</v>
      </c>
      <c r="I43" s="59">
        <v>44673</v>
      </c>
      <c r="J43" t="s">
        <v>535</v>
      </c>
      <c r="L43" s="59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427</v>
      </c>
      <c r="I44" s="59">
        <v>43132</v>
      </c>
      <c r="J44" t="s">
        <v>535</v>
      </c>
      <c r="L44" s="59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428</v>
      </c>
      <c r="I45" s="59">
        <v>44748</v>
      </c>
      <c r="J45" t="s">
        <v>535</v>
      </c>
      <c r="L45" s="59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430</v>
      </c>
      <c r="I46" s="59">
        <v>45334</v>
      </c>
      <c r="J46" t="s">
        <v>535</v>
      </c>
      <c r="L46" s="59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481</v>
      </c>
      <c r="I47" s="59">
        <v>44993</v>
      </c>
      <c r="J47" t="s">
        <v>535</v>
      </c>
      <c r="L47" s="59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431</v>
      </c>
      <c r="I48" s="59">
        <v>45441</v>
      </c>
      <c r="J48" t="s">
        <v>535</v>
      </c>
      <c r="L48" s="59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432</v>
      </c>
      <c r="I49" s="59">
        <v>45471</v>
      </c>
      <c r="J49" t="s">
        <v>535</v>
      </c>
      <c r="L49" s="59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482</v>
      </c>
      <c r="I50" s="59">
        <v>45700</v>
      </c>
      <c r="J50" t="s">
        <v>535</v>
      </c>
      <c r="L50" s="59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434</v>
      </c>
      <c r="I51" s="59">
        <v>45175</v>
      </c>
      <c r="J51" t="s">
        <v>535</v>
      </c>
      <c r="L51" s="59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458</v>
      </c>
      <c r="I52" s="59">
        <v>45133</v>
      </c>
      <c r="J52" t="s">
        <v>535</v>
      </c>
      <c r="L52" s="59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459</v>
      </c>
      <c r="I53" s="59">
        <v>45133</v>
      </c>
      <c r="J53" t="s">
        <v>535</v>
      </c>
      <c r="L53" s="59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483</v>
      </c>
      <c r="I54" s="59">
        <v>44104</v>
      </c>
      <c r="J54" t="s">
        <v>535</v>
      </c>
      <c r="L54" s="59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460</v>
      </c>
      <c r="I55" s="59">
        <v>45285</v>
      </c>
      <c r="J55" t="s">
        <v>535</v>
      </c>
      <c r="L55" s="59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461</v>
      </c>
      <c r="I56" s="59">
        <v>45334</v>
      </c>
      <c r="J56" t="s">
        <v>535</v>
      </c>
      <c r="L56" s="59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462</v>
      </c>
      <c r="I57" s="59">
        <v>44937</v>
      </c>
      <c r="J57" t="s">
        <v>535</v>
      </c>
      <c r="L57" s="59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463</v>
      </c>
      <c r="I58" s="59">
        <v>42814</v>
      </c>
      <c r="J58" t="s">
        <v>535</v>
      </c>
      <c r="L58" s="59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464</v>
      </c>
      <c r="I59" s="59">
        <v>45671</v>
      </c>
      <c r="J59" t="s">
        <v>535</v>
      </c>
      <c r="L59" s="59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466</v>
      </c>
      <c r="I60" s="59">
        <v>44869</v>
      </c>
      <c r="J60" t="s">
        <v>535</v>
      </c>
      <c r="L60" s="59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467</v>
      </c>
      <c r="I61" s="59">
        <v>45364</v>
      </c>
      <c r="J61" t="s">
        <v>535</v>
      </c>
      <c r="L61" s="59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436</v>
      </c>
      <c r="I62" s="59">
        <v>44301</v>
      </c>
      <c r="J62" t="s">
        <v>535</v>
      </c>
      <c r="L62" s="59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437</v>
      </c>
      <c r="I63" s="59">
        <v>44735</v>
      </c>
      <c r="J63" t="s">
        <v>535</v>
      </c>
      <c r="L63" s="59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438</v>
      </c>
      <c r="I64" s="59">
        <v>44909</v>
      </c>
      <c r="J64" t="s">
        <v>535</v>
      </c>
      <c r="L64" s="59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439</v>
      </c>
      <c r="I65" s="59">
        <v>45675</v>
      </c>
      <c r="J65" t="s">
        <v>535</v>
      </c>
      <c r="L65" s="59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440</v>
      </c>
      <c r="I66" s="59">
        <v>45674</v>
      </c>
      <c r="J66" t="s">
        <v>535</v>
      </c>
      <c r="L66" s="59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441</v>
      </c>
      <c r="I67" s="59">
        <v>45423</v>
      </c>
      <c r="J67" t="s">
        <v>535</v>
      </c>
      <c r="L67" s="59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442</v>
      </c>
      <c r="I68" s="59">
        <v>45399</v>
      </c>
      <c r="J68" t="s">
        <v>535</v>
      </c>
      <c r="L68" s="59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444</v>
      </c>
      <c r="I69" s="59">
        <v>44510</v>
      </c>
      <c r="J69" t="s">
        <v>535</v>
      </c>
      <c r="L69" s="59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446</v>
      </c>
      <c r="I70" s="59">
        <v>45451</v>
      </c>
      <c r="J70" t="s">
        <v>535</v>
      </c>
      <c r="L70" s="59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447</v>
      </c>
      <c r="I71" s="59">
        <v>45145</v>
      </c>
      <c r="J71" t="s">
        <v>535</v>
      </c>
      <c r="L71" s="59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448</v>
      </c>
      <c r="I72" s="59">
        <v>44748</v>
      </c>
      <c r="J72" t="s">
        <v>535</v>
      </c>
      <c r="L72" s="59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I85"/>
  <sheetViews>
    <sheetView zoomScale="55" zoomScaleNormal="55" workbookViewId="0">
      <selection activeCell="R15" sqref="R1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533</v>
      </c>
      <c r="K2" s="66"/>
      <c r="M2" s="33" t="s">
        <v>166</v>
      </c>
      <c r="N2" s="33" t="s">
        <v>136</v>
      </c>
      <c r="O2" s="33" t="s">
        <v>207</v>
      </c>
    </row>
    <row r="3" spans="1:87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468</v>
      </c>
      <c r="I3" s="59">
        <v>43035</v>
      </c>
      <c r="J3" t="s">
        <v>535</v>
      </c>
      <c r="L3" s="59"/>
      <c r="M3" s="34">
        <v>2025</v>
      </c>
      <c r="N3" s="34" t="s">
        <v>141</v>
      </c>
      <c r="O3" s="34">
        <v>21</v>
      </c>
    </row>
    <row r="4" spans="1:87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484</v>
      </c>
      <c r="I4" s="59">
        <v>45727</v>
      </c>
      <c r="J4" t="s">
        <v>535</v>
      </c>
      <c r="L4" s="59"/>
    </row>
    <row r="5" spans="1:87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477</v>
      </c>
      <c r="I5" s="59">
        <v>45084</v>
      </c>
      <c r="J5" t="s">
        <v>535</v>
      </c>
      <c r="L5" s="59"/>
    </row>
    <row r="6" spans="1:87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469</v>
      </c>
      <c r="I6" s="59">
        <v>45299</v>
      </c>
      <c r="J6" t="s">
        <v>535</v>
      </c>
      <c r="L6" s="59"/>
    </row>
    <row r="7" spans="1:87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470</v>
      </c>
      <c r="I7" s="59">
        <v>45590</v>
      </c>
      <c r="J7" t="s">
        <v>535</v>
      </c>
      <c r="L7" s="59"/>
    </row>
    <row r="8" spans="1:87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472</v>
      </c>
      <c r="I8" s="59">
        <v>44111</v>
      </c>
      <c r="J8" t="s">
        <v>535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8" t="s">
        <v>567</v>
      </c>
      <c r="T8" s="78" t="s">
        <v>537</v>
      </c>
      <c r="U8" s="78" t="s">
        <v>559</v>
      </c>
      <c r="V8" s="78" t="s">
        <v>563</v>
      </c>
      <c r="W8" s="78" t="s">
        <v>538</v>
      </c>
      <c r="X8" s="78" t="s">
        <v>539</v>
      </c>
      <c r="Y8" s="78" t="s">
        <v>540</v>
      </c>
      <c r="Z8" s="78" t="s">
        <v>541</v>
      </c>
      <c r="AA8" s="78" t="s">
        <v>542</v>
      </c>
      <c r="AB8" s="78" t="s">
        <v>560</v>
      </c>
      <c r="AC8" s="78" t="s">
        <v>564</v>
      </c>
      <c r="AD8" s="78" t="s">
        <v>543</v>
      </c>
      <c r="AE8" s="78" t="s">
        <v>544</v>
      </c>
      <c r="AF8" s="78" t="s">
        <v>545</v>
      </c>
      <c r="AG8" s="78" t="s">
        <v>546</v>
      </c>
      <c r="AH8" s="78" t="s">
        <v>547</v>
      </c>
      <c r="AI8" s="78" t="s">
        <v>561</v>
      </c>
      <c r="AJ8" s="78" t="s">
        <v>565</v>
      </c>
      <c r="AK8" s="78" t="s">
        <v>548</v>
      </c>
      <c r="AL8" s="78" t="s">
        <v>549</v>
      </c>
      <c r="AM8" s="78" t="s">
        <v>550</v>
      </c>
      <c r="AN8" s="78" t="s">
        <v>551</v>
      </c>
      <c r="AO8" s="78" t="s">
        <v>552</v>
      </c>
      <c r="AP8" s="78" t="s">
        <v>562</v>
      </c>
      <c r="AQ8" s="78" t="s">
        <v>566</v>
      </c>
      <c r="AR8" s="78" t="s">
        <v>553</v>
      </c>
      <c r="AS8" s="78" t="s">
        <v>554</v>
      </c>
      <c r="AT8" s="78" t="s">
        <v>555</v>
      </c>
      <c r="AU8" s="78" t="s">
        <v>556</v>
      </c>
      <c r="AV8" s="78" t="s">
        <v>557</v>
      </c>
      <c r="AW8" s="78" t="s">
        <v>558</v>
      </c>
      <c r="AX8" s="15" t="s">
        <v>536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567</v>
      </c>
      <c r="BE8" s="41" t="s">
        <v>537</v>
      </c>
      <c r="BF8" s="41" t="s">
        <v>559</v>
      </c>
      <c r="BG8" s="41" t="s">
        <v>563</v>
      </c>
      <c r="BH8" s="41" t="s">
        <v>538</v>
      </c>
      <c r="BI8" s="41" t="s">
        <v>539</v>
      </c>
      <c r="BJ8" s="41" t="s">
        <v>540</v>
      </c>
      <c r="BK8" s="41" t="s">
        <v>541</v>
      </c>
      <c r="BL8" s="41" t="s">
        <v>542</v>
      </c>
      <c r="BM8" s="41" t="s">
        <v>560</v>
      </c>
      <c r="BN8" s="41" t="s">
        <v>564</v>
      </c>
      <c r="BO8" s="41" t="s">
        <v>543</v>
      </c>
      <c r="BP8" s="41" t="s">
        <v>544</v>
      </c>
      <c r="BQ8" s="41" t="s">
        <v>545</v>
      </c>
      <c r="BR8" s="41" t="s">
        <v>546</v>
      </c>
      <c r="BS8" s="41" t="s">
        <v>547</v>
      </c>
      <c r="BT8" s="41" t="s">
        <v>561</v>
      </c>
      <c r="BU8" s="41" t="s">
        <v>565</v>
      </c>
      <c r="BV8" s="41" t="s">
        <v>548</v>
      </c>
      <c r="BW8" s="41" t="s">
        <v>549</v>
      </c>
      <c r="BX8" s="41" t="s">
        <v>550</v>
      </c>
      <c r="BY8" s="41" t="s">
        <v>551</v>
      </c>
      <c r="BZ8" s="41" t="s">
        <v>552</v>
      </c>
      <c r="CA8" s="41" t="s">
        <v>562</v>
      </c>
      <c r="CB8" s="41" t="s">
        <v>566</v>
      </c>
      <c r="CC8" s="41" t="s">
        <v>553</v>
      </c>
      <c r="CD8" s="41" t="s">
        <v>554</v>
      </c>
      <c r="CE8" s="41" t="s">
        <v>555</v>
      </c>
      <c r="CF8" s="41" t="s">
        <v>556</v>
      </c>
      <c r="CG8" s="41" t="s">
        <v>557</v>
      </c>
      <c r="CH8" s="41" t="s">
        <v>558</v>
      </c>
      <c r="CI8" s="19" t="s">
        <v>134</v>
      </c>
    </row>
    <row r="9" spans="1:87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473</v>
      </c>
      <c r="I9" s="59">
        <v>44820</v>
      </c>
      <c r="J9" t="s">
        <v>535</v>
      </c>
      <c r="L9" s="59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2">
        <f>MAX(DITE_MARZO_2025[[#This Row],[1]:[31]])</f>
        <v>422359.64</v>
      </c>
      <c r="BB9" s="18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2" t="s">
        <v>150</v>
      </c>
    </row>
    <row r="10" spans="1:87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485</v>
      </c>
      <c r="I10" s="59">
        <v>45727</v>
      </c>
      <c r="J10" t="s">
        <v>535</v>
      </c>
      <c r="L10" s="59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2">
        <f>MAX(DITE_MARZO_2025[[#This Row],[1]:[31]])</f>
        <v>101864</v>
      </c>
      <c r="BB10" s="18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2" t="s">
        <v>151</v>
      </c>
    </row>
    <row r="11" spans="1:87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474</v>
      </c>
      <c r="I11" s="59">
        <v>45316</v>
      </c>
      <c r="J11" t="s">
        <v>535</v>
      </c>
      <c r="L11" s="59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2">
        <f>MAX(DITE_MARZO_2025[[#This Row],[1]:[31]])</f>
        <v>166576</v>
      </c>
      <c r="BB11" s="18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2" t="s">
        <v>152</v>
      </c>
    </row>
    <row r="12" spans="1:87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476</v>
      </c>
      <c r="I12" s="59">
        <v>44706</v>
      </c>
      <c r="J12" t="s">
        <v>535</v>
      </c>
      <c r="L12" s="59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2">
        <f>MAX(DITE_MARZO_2025[[#This Row],[1]:[31]])</f>
        <v>127003.4</v>
      </c>
      <c r="BB12" s="18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2" t="s">
        <v>153</v>
      </c>
    </row>
    <row r="13" spans="1:87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435</v>
      </c>
      <c r="I13" s="59">
        <v>44819</v>
      </c>
      <c r="J13" t="s">
        <v>535</v>
      </c>
      <c r="L13" s="59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2">
        <f>MAX(DITE_MARZO_2025[[#This Row],[1]:[31]])</f>
        <v>333396.75</v>
      </c>
      <c r="BB13" s="18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2" t="s">
        <v>150</v>
      </c>
    </row>
    <row r="14" spans="1:87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449</v>
      </c>
      <c r="I14" s="59">
        <v>45334</v>
      </c>
      <c r="J14" t="s">
        <v>535</v>
      </c>
      <c r="L14" s="59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2">
        <f>MAX(DITE_MARZO_2025[[#This Row],[1]:[31]])</f>
        <v>119608.9</v>
      </c>
      <c r="BB14" s="18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2" t="s">
        <v>154</v>
      </c>
    </row>
    <row r="15" spans="1:87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451</v>
      </c>
      <c r="I15" s="59">
        <v>45429</v>
      </c>
      <c r="J15" t="s">
        <v>535</v>
      </c>
      <c r="L15" s="59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2">
        <f>MAX(DITE_MARZO_2025[[#This Row],[1]:[31]])</f>
        <v>552290.25</v>
      </c>
      <c r="BB15" s="18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2" t="s">
        <v>150</v>
      </c>
    </row>
    <row r="16" spans="1:87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454</v>
      </c>
      <c r="I16" s="59">
        <v>45142</v>
      </c>
      <c r="J16" t="s">
        <v>535</v>
      </c>
      <c r="L16" s="59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443</v>
      </c>
      <c r="I17" s="59">
        <v>44687</v>
      </c>
      <c r="J17" t="s">
        <v>535</v>
      </c>
      <c r="L17" s="59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455</v>
      </c>
      <c r="I18" s="59">
        <v>44716</v>
      </c>
      <c r="J18" t="s">
        <v>535</v>
      </c>
      <c r="L18" s="59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482</v>
      </c>
      <c r="I19" s="59">
        <v>45700</v>
      </c>
      <c r="J19" t="s">
        <v>535</v>
      </c>
      <c r="L19" s="59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456</v>
      </c>
      <c r="I20" s="59">
        <v>45371</v>
      </c>
      <c r="J20" t="s">
        <v>535</v>
      </c>
      <c r="L20" s="59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457</v>
      </c>
      <c r="I21" s="59">
        <v>45348</v>
      </c>
      <c r="J21" t="s">
        <v>535</v>
      </c>
      <c r="L21" s="59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414</v>
      </c>
      <c r="I22" s="59">
        <v>45304</v>
      </c>
      <c r="J22" t="s">
        <v>535</v>
      </c>
      <c r="L22" s="59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415</v>
      </c>
      <c r="I23" s="59">
        <v>45334</v>
      </c>
      <c r="J23" t="s">
        <v>535</v>
      </c>
      <c r="L23" s="59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416</v>
      </c>
      <c r="I24" s="59">
        <v>44870</v>
      </c>
      <c r="J24" t="s">
        <v>535</v>
      </c>
      <c r="L24" s="59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417</v>
      </c>
      <c r="I25" s="59">
        <v>45530</v>
      </c>
      <c r="J25" t="s">
        <v>535</v>
      </c>
      <c r="L25" s="59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486</v>
      </c>
      <c r="I26" s="59">
        <v>45721</v>
      </c>
      <c r="J26" t="s">
        <v>535</v>
      </c>
      <c r="L26" s="59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418</v>
      </c>
      <c r="I27" s="59">
        <v>44259</v>
      </c>
      <c r="J27" t="s">
        <v>535</v>
      </c>
      <c r="L27" s="59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420</v>
      </c>
      <c r="I28" s="59">
        <v>44840</v>
      </c>
      <c r="J28" t="s">
        <v>535</v>
      </c>
      <c r="L28" s="59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422</v>
      </c>
      <c r="I29" s="59">
        <v>44470</v>
      </c>
      <c r="J29" t="s">
        <v>535</v>
      </c>
      <c r="L29" s="59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424</v>
      </c>
      <c r="I30" s="59">
        <v>44945</v>
      </c>
      <c r="J30" t="s">
        <v>535</v>
      </c>
      <c r="L30" s="59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479</v>
      </c>
      <c r="I31" s="59">
        <v>44951</v>
      </c>
      <c r="J31" t="s">
        <v>535</v>
      </c>
      <c r="L31" s="59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407</v>
      </c>
      <c r="I32" s="59">
        <v>44811</v>
      </c>
      <c r="J32" t="s">
        <v>535</v>
      </c>
      <c r="L32" s="59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408</v>
      </c>
      <c r="I33" s="59">
        <v>44811</v>
      </c>
      <c r="J33" t="s">
        <v>535</v>
      </c>
      <c r="L33" s="59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409</v>
      </c>
      <c r="I34" s="59">
        <v>44811</v>
      </c>
      <c r="J34" t="s">
        <v>535</v>
      </c>
      <c r="L34" s="59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410</v>
      </c>
      <c r="I35" s="59">
        <v>45457</v>
      </c>
      <c r="J35" t="s">
        <v>535</v>
      </c>
      <c r="L35" s="59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411</v>
      </c>
      <c r="I36" s="59">
        <v>45075</v>
      </c>
      <c r="J36" t="s">
        <v>535</v>
      </c>
      <c r="L36" s="59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419</v>
      </c>
      <c r="I37" s="59">
        <v>44748</v>
      </c>
      <c r="J37" t="s">
        <v>535</v>
      </c>
      <c r="L37" s="59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412</v>
      </c>
      <c r="I38" s="59">
        <v>44888</v>
      </c>
      <c r="J38" t="s">
        <v>535</v>
      </c>
      <c r="L38" s="59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413</v>
      </c>
      <c r="I39" s="59">
        <v>45334</v>
      </c>
      <c r="J39" t="s">
        <v>535</v>
      </c>
      <c r="L39" s="59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480</v>
      </c>
      <c r="I40" s="59">
        <v>44566</v>
      </c>
      <c r="J40" t="s">
        <v>535</v>
      </c>
      <c r="L40" s="59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425</v>
      </c>
      <c r="I41" s="59">
        <v>44357</v>
      </c>
      <c r="J41" t="s">
        <v>535</v>
      </c>
      <c r="L41" s="59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426</v>
      </c>
      <c r="I42" s="59">
        <v>44673</v>
      </c>
      <c r="J42" t="s">
        <v>535</v>
      </c>
      <c r="L42" s="59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452</v>
      </c>
      <c r="I43" s="59">
        <v>45506</v>
      </c>
      <c r="J43" t="s">
        <v>535</v>
      </c>
      <c r="L43" s="59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427</v>
      </c>
      <c r="I44" s="59">
        <v>43132</v>
      </c>
      <c r="J44" t="s">
        <v>535</v>
      </c>
      <c r="L44" s="59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428</v>
      </c>
      <c r="I45" s="59">
        <v>44748</v>
      </c>
      <c r="J45" t="s">
        <v>535</v>
      </c>
      <c r="L45" s="59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430</v>
      </c>
      <c r="I46" s="59">
        <v>45334</v>
      </c>
      <c r="J46" t="s">
        <v>535</v>
      </c>
      <c r="L46" s="59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481</v>
      </c>
      <c r="I47" s="59">
        <v>44993</v>
      </c>
      <c r="J47" t="s">
        <v>535</v>
      </c>
      <c r="L47" s="59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431</v>
      </c>
      <c r="I48" s="59">
        <v>45441</v>
      </c>
      <c r="J48" t="s">
        <v>535</v>
      </c>
      <c r="L48" s="59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432</v>
      </c>
      <c r="I49" s="59">
        <v>45471</v>
      </c>
      <c r="J49" t="s">
        <v>535</v>
      </c>
      <c r="L49" s="59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433</v>
      </c>
      <c r="I50" s="59">
        <v>44941</v>
      </c>
      <c r="J50" t="s">
        <v>535</v>
      </c>
      <c r="L50" s="59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487</v>
      </c>
      <c r="I51" s="59">
        <v>45727</v>
      </c>
      <c r="J51" t="s">
        <v>535</v>
      </c>
      <c r="L51" s="59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434</v>
      </c>
      <c r="I52" s="59">
        <v>45175</v>
      </c>
      <c r="J52" t="s">
        <v>535</v>
      </c>
      <c r="L52" s="59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436</v>
      </c>
      <c r="I53" s="59">
        <v>44301</v>
      </c>
      <c r="J53" t="s">
        <v>535</v>
      </c>
      <c r="L53" s="59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437</v>
      </c>
      <c r="I54" s="59">
        <v>44735</v>
      </c>
      <c r="J54" t="s">
        <v>535</v>
      </c>
      <c r="L54" s="59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438</v>
      </c>
      <c r="I55" s="59">
        <v>44909</v>
      </c>
      <c r="J55" t="s">
        <v>535</v>
      </c>
      <c r="L55" s="59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488</v>
      </c>
      <c r="I56" s="59">
        <v>45727</v>
      </c>
      <c r="J56" t="s">
        <v>535</v>
      </c>
      <c r="L56" s="59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439</v>
      </c>
      <c r="I57" s="59">
        <v>45675</v>
      </c>
      <c r="J57" t="s">
        <v>535</v>
      </c>
      <c r="L57" s="59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440</v>
      </c>
      <c r="I58" s="59">
        <v>45674</v>
      </c>
      <c r="J58" t="s">
        <v>535</v>
      </c>
      <c r="L58" s="59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441</v>
      </c>
      <c r="I59" s="59">
        <v>45423</v>
      </c>
      <c r="J59" t="s">
        <v>535</v>
      </c>
      <c r="L59" s="59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442</v>
      </c>
      <c r="I60" s="59">
        <v>45399</v>
      </c>
      <c r="J60" t="s">
        <v>535</v>
      </c>
      <c r="L60" s="59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445</v>
      </c>
      <c r="I61" s="59">
        <v>44971</v>
      </c>
      <c r="J61" t="s">
        <v>535</v>
      </c>
      <c r="L61" s="59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446</v>
      </c>
      <c r="I62" s="59">
        <v>45451</v>
      </c>
      <c r="J62" t="s">
        <v>535</v>
      </c>
      <c r="L62" s="59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447</v>
      </c>
      <c r="I63" s="59">
        <v>45145</v>
      </c>
      <c r="J63" t="s">
        <v>535</v>
      </c>
      <c r="L63" s="59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448</v>
      </c>
      <c r="I64" s="59">
        <v>44748</v>
      </c>
      <c r="J64" t="s">
        <v>535</v>
      </c>
      <c r="L64" s="59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458</v>
      </c>
      <c r="I65" s="59">
        <v>45133</v>
      </c>
      <c r="J65" t="s">
        <v>535</v>
      </c>
      <c r="L65" s="59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459</v>
      </c>
      <c r="I66" s="59">
        <v>45133</v>
      </c>
      <c r="J66" t="s">
        <v>535</v>
      </c>
      <c r="L66" s="59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483</v>
      </c>
      <c r="I67" s="59">
        <v>44104</v>
      </c>
      <c r="J67" t="s">
        <v>535</v>
      </c>
      <c r="L67" s="59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460</v>
      </c>
      <c r="I68" s="59">
        <v>45285</v>
      </c>
      <c r="J68" t="s">
        <v>535</v>
      </c>
      <c r="L68" s="59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461</v>
      </c>
      <c r="I69" s="59">
        <v>45334</v>
      </c>
      <c r="J69" t="s">
        <v>535</v>
      </c>
      <c r="L69" s="59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462</v>
      </c>
      <c r="I70" s="59">
        <v>44937</v>
      </c>
      <c r="J70" t="s">
        <v>535</v>
      </c>
      <c r="L70" s="59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463</v>
      </c>
      <c r="I71" s="59">
        <v>42814</v>
      </c>
      <c r="J71" t="s">
        <v>535</v>
      </c>
      <c r="L71" s="59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465</v>
      </c>
      <c r="I72" s="59">
        <v>45021</v>
      </c>
      <c r="J72" t="s">
        <v>535</v>
      </c>
      <c r="L72" s="59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466</v>
      </c>
      <c r="I73" s="59">
        <v>44869</v>
      </c>
      <c r="J73" t="s">
        <v>535</v>
      </c>
      <c r="L73" s="59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467</v>
      </c>
      <c r="I74" s="59">
        <v>45364</v>
      </c>
      <c r="J74" t="s">
        <v>535</v>
      </c>
      <c r="L74" s="59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450</v>
      </c>
      <c r="I75" s="59">
        <v>45323</v>
      </c>
      <c r="J75" t="s">
        <v>535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464</v>
      </c>
      <c r="I76" s="59">
        <v>45671</v>
      </c>
      <c r="J76" t="s">
        <v>535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444</v>
      </c>
      <c r="I77" s="59">
        <v>44510</v>
      </c>
      <c r="J77" t="s">
        <v>535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423</v>
      </c>
      <c r="I78" s="59">
        <v>45668</v>
      </c>
      <c r="J78" t="s">
        <v>535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453</v>
      </c>
      <c r="I79" s="59">
        <v>45082</v>
      </c>
      <c r="J79" t="s">
        <v>535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I75"/>
  <sheetViews>
    <sheetView topLeftCell="AJ1" zoomScale="70" zoomScaleNormal="70" workbookViewId="0">
      <selection activeCell="BC16" sqref="BC9:BC16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9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533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449</v>
      </c>
      <c r="I3" s="59">
        <v>45334</v>
      </c>
      <c r="J3" t="s">
        <v>535</v>
      </c>
      <c r="L3" s="59"/>
      <c r="M3" s="34">
        <v>2025</v>
      </c>
      <c r="N3" s="34" t="s">
        <v>142</v>
      </c>
      <c r="O3" s="34">
        <v>20</v>
      </c>
    </row>
    <row r="4" spans="1:87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484</v>
      </c>
      <c r="I4" s="59">
        <v>45727</v>
      </c>
      <c r="J4" t="s">
        <v>535</v>
      </c>
      <c r="L4" s="59"/>
    </row>
    <row r="5" spans="1:87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469</v>
      </c>
      <c r="I5" s="59">
        <v>45299</v>
      </c>
      <c r="J5" t="s">
        <v>535</v>
      </c>
      <c r="L5" s="59"/>
    </row>
    <row r="6" spans="1:87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472</v>
      </c>
      <c r="I6" s="59">
        <v>44111</v>
      </c>
      <c r="J6" t="s">
        <v>535</v>
      </c>
      <c r="L6" s="59"/>
    </row>
    <row r="7" spans="1:87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473</v>
      </c>
      <c r="I7" s="59">
        <v>44820</v>
      </c>
      <c r="J7" t="s">
        <v>535</v>
      </c>
      <c r="L7" s="59"/>
    </row>
    <row r="8" spans="1:87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485</v>
      </c>
      <c r="I8" s="59">
        <v>45727</v>
      </c>
      <c r="J8" t="s">
        <v>535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8" t="s">
        <v>567</v>
      </c>
      <c r="T8" s="78" t="s">
        <v>537</v>
      </c>
      <c r="U8" s="78" t="s">
        <v>559</v>
      </c>
      <c r="V8" s="78" t="s">
        <v>563</v>
      </c>
      <c r="W8" s="78" t="s">
        <v>538</v>
      </c>
      <c r="X8" s="78" t="s">
        <v>539</v>
      </c>
      <c r="Y8" s="78" t="s">
        <v>540</v>
      </c>
      <c r="Z8" s="78" t="s">
        <v>541</v>
      </c>
      <c r="AA8" s="78" t="s">
        <v>542</v>
      </c>
      <c r="AB8" s="78" t="s">
        <v>560</v>
      </c>
      <c r="AC8" s="78" t="s">
        <v>564</v>
      </c>
      <c r="AD8" s="78" t="s">
        <v>543</v>
      </c>
      <c r="AE8" s="78" t="s">
        <v>544</v>
      </c>
      <c r="AF8" s="78" t="s">
        <v>545</v>
      </c>
      <c r="AG8" s="78" t="s">
        <v>546</v>
      </c>
      <c r="AH8" s="78" t="s">
        <v>547</v>
      </c>
      <c r="AI8" s="78" t="s">
        <v>561</v>
      </c>
      <c r="AJ8" s="78" t="s">
        <v>565</v>
      </c>
      <c r="AK8" s="78" t="s">
        <v>548</v>
      </c>
      <c r="AL8" s="78" t="s">
        <v>549</v>
      </c>
      <c r="AM8" s="78" t="s">
        <v>550</v>
      </c>
      <c r="AN8" s="78" t="s">
        <v>551</v>
      </c>
      <c r="AO8" s="78" t="s">
        <v>552</v>
      </c>
      <c r="AP8" s="78" t="s">
        <v>562</v>
      </c>
      <c r="AQ8" s="78" t="s">
        <v>566</v>
      </c>
      <c r="AR8" s="78" t="s">
        <v>553</v>
      </c>
      <c r="AS8" s="78" t="s">
        <v>554</v>
      </c>
      <c r="AT8" s="78" t="s">
        <v>555</v>
      </c>
      <c r="AU8" s="78" t="s">
        <v>556</v>
      </c>
      <c r="AV8" s="78" t="s">
        <v>557</v>
      </c>
      <c r="AW8" s="78" t="s">
        <v>558</v>
      </c>
      <c r="AX8" s="15" t="s">
        <v>536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567</v>
      </c>
      <c r="BE8" s="41" t="s">
        <v>537</v>
      </c>
      <c r="BF8" s="41" t="s">
        <v>559</v>
      </c>
      <c r="BG8" s="41" t="s">
        <v>563</v>
      </c>
      <c r="BH8" s="41" t="s">
        <v>538</v>
      </c>
      <c r="BI8" s="41" t="s">
        <v>539</v>
      </c>
      <c r="BJ8" s="41" t="s">
        <v>540</v>
      </c>
      <c r="BK8" s="41" t="s">
        <v>541</v>
      </c>
      <c r="BL8" s="41" t="s">
        <v>542</v>
      </c>
      <c r="BM8" s="41" t="s">
        <v>560</v>
      </c>
      <c r="BN8" s="41" t="s">
        <v>564</v>
      </c>
      <c r="BO8" s="41" t="s">
        <v>543</v>
      </c>
      <c r="BP8" s="41" t="s">
        <v>544</v>
      </c>
      <c r="BQ8" s="41" t="s">
        <v>545</v>
      </c>
      <c r="BR8" s="41" t="s">
        <v>546</v>
      </c>
      <c r="BS8" s="41" t="s">
        <v>547</v>
      </c>
      <c r="BT8" s="41" t="s">
        <v>561</v>
      </c>
      <c r="BU8" s="41" t="s">
        <v>565</v>
      </c>
      <c r="BV8" s="41" t="s">
        <v>548</v>
      </c>
      <c r="BW8" s="41" t="s">
        <v>549</v>
      </c>
      <c r="BX8" s="41" t="s">
        <v>550</v>
      </c>
      <c r="BY8" s="41" t="s">
        <v>551</v>
      </c>
      <c r="BZ8" s="41" t="s">
        <v>552</v>
      </c>
      <c r="CA8" s="41" t="s">
        <v>562</v>
      </c>
      <c r="CB8" s="41" t="s">
        <v>566</v>
      </c>
      <c r="CC8" s="41" t="s">
        <v>553</v>
      </c>
      <c r="CD8" s="41" t="s">
        <v>554</v>
      </c>
      <c r="CE8" s="41" t="s">
        <v>555</v>
      </c>
      <c r="CF8" s="41" t="s">
        <v>556</v>
      </c>
      <c r="CG8" s="41" t="s">
        <v>557</v>
      </c>
      <c r="CH8" s="41" t="s">
        <v>558</v>
      </c>
      <c r="CI8" s="19" t="s">
        <v>134</v>
      </c>
    </row>
    <row r="9" spans="1:87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446</v>
      </c>
      <c r="I9" s="59">
        <v>45451</v>
      </c>
      <c r="J9" t="s">
        <v>535</v>
      </c>
      <c r="L9" s="59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2">
        <f>MAX(DITE_ABRIL_2025[[#This Row],[1]:[31]])</f>
        <v>108935.8</v>
      </c>
      <c r="BB9" s="18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2" t="s">
        <v>153</v>
      </c>
    </row>
    <row r="10" spans="1:87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435</v>
      </c>
      <c r="I10" s="59">
        <v>44819</v>
      </c>
      <c r="J10" t="s">
        <v>535</v>
      </c>
      <c r="L10" s="59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2">
        <f>MAX(DITE_ABRIL_2025[[#This Row],[1]:[31]])</f>
        <v>70751.8</v>
      </c>
      <c r="BB10" s="18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2" t="s">
        <v>153</v>
      </c>
    </row>
    <row r="11" spans="1:87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489</v>
      </c>
      <c r="I11" s="59">
        <v>45775</v>
      </c>
      <c r="J11" t="s">
        <v>535</v>
      </c>
      <c r="L11" s="59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2">
        <f>MAX(DITE_ABRIL_2025[[#This Row],[1]:[31]])</f>
        <v>87182.6</v>
      </c>
      <c r="BB11" s="18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2" t="s">
        <v>153</v>
      </c>
    </row>
    <row r="12" spans="1:87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470</v>
      </c>
      <c r="I12" s="59">
        <v>45590</v>
      </c>
      <c r="J12" t="s">
        <v>535</v>
      </c>
      <c r="L12" s="59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2">
        <f>MAX(DITE_ABRIL_2025[[#This Row],[1]:[31]])</f>
        <v>321643.17000000004</v>
      </c>
      <c r="BB12" s="18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2" t="s">
        <v>150</v>
      </c>
    </row>
    <row r="13" spans="1:87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465</v>
      </c>
      <c r="I13" s="59">
        <v>45021</v>
      </c>
      <c r="J13" t="s">
        <v>535</v>
      </c>
      <c r="L13" s="59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2">
        <f>MAX(DITE_ABRIL_2025[[#This Row],[1]:[31]])</f>
        <v>284381.75</v>
      </c>
      <c r="BB13" s="18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2" t="s">
        <v>150</v>
      </c>
    </row>
    <row r="14" spans="1:87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455</v>
      </c>
      <c r="I14" s="59">
        <v>44716</v>
      </c>
      <c r="J14" t="s">
        <v>535</v>
      </c>
      <c r="L14" s="59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2">
        <f>MAX(DITE_ABRIL_2025[[#This Row],[1]:[31]])</f>
        <v>128873.11</v>
      </c>
      <c r="BB14" s="18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2" t="s">
        <v>152</v>
      </c>
    </row>
    <row r="15" spans="1:87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413</v>
      </c>
      <c r="I15" s="59">
        <v>45334</v>
      </c>
      <c r="J15" t="s">
        <v>535</v>
      </c>
      <c r="L15" s="59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2">
        <f>MAX(DITE_ABRIL_2025[[#This Row],[1]:[31]])</f>
        <v>313221.33999999997</v>
      </c>
      <c r="BB15" s="18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2" t="s">
        <v>150</v>
      </c>
    </row>
    <row r="16" spans="1:87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482</v>
      </c>
      <c r="I16" s="59">
        <v>45700</v>
      </c>
      <c r="J16" t="s">
        <v>535</v>
      </c>
      <c r="L16" s="59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2">
        <f>MAX(DITE_ABRIL_2025[[#This Row],[1]:[31]])</f>
        <v>366419.38</v>
      </c>
      <c r="BB16" s="18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2" t="s">
        <v>150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457</v>
      </c>
      <c r="I17" s="59">
        <v>45348</v>
      </c>
      <c r="J17" t="s">
        <v>535</v>
      </c>
      <c r="L17" s="59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474</v>
      </c>
      <c r="I18" s="59">
        <v>45316</v>
      </c>
      <c r="J18" t="s">
        <v>535</v>
      </c>
      <c r="L18" s="59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416</v>
      </c>
      <c r="I19" s="59">
        <v>44870</v>
      </c>
      <c r="J19" t="s">
        <v>535</v>
      </c>
      <c r="L19" s="59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409</v>
      </c>
      <c r="I20" s="59">
        <v>44811</v>
      </c>
      <c r="J20" t="s">
        <v>535</v>
      </c>
      <c r="L20" s="59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420</v>
      </c>
      <c r="I21" s="59">
        <v>44840</v>
      </c>
      <c r="J21" t="s">
        <v>535</v>
      </c>
      <c r="L21" s="59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443</v>
      </c>
      <c r="I22" s="59">
        <v>44687</v>
      </c>
      <c r="J22" t="s">
        <v>535</v>
      </c>
      <c r="L22" s="59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412</v>
      </c>
      <c r="I23" s="59">
        <v>44888</v>
      </c>
      <c r="J23" t="s">
        <v>535</v>
      </c>
      <c r="L23" s="59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456</v>
      </c>
      <c r="I24" s="59">
        <v>45371</v>
      </c>
      <c r="J24" t="s">
        <v>535</v>
      </c>
      <c r="L24" s="59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476</v>
      </c>
      <c r="I25" s="59">
        <v>44706</v>
      </c>
      <c r="J25" t="s">
        <v>535</v>
      </c>
      <c r="L25" s="59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468</v>
      </c>
      <c r="I26" s="59">
        <v>43035</v>
      </c>
      <c r="J26" t="s">
        <v>535</v>
      </c>
      <c r="L26" s="59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407</v>
      </c>
      <c r="I27" s="59">
        <v>44811</v>
      </c>
      <c r="J27" t="s">
        <v>535</v>
      </c>
      <c r="L27" s="59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408</v>
      </c>
      <c r="I28" s="59">
        <v>44811</v>
      </c>
      <c r="J28" t="s">
        <v>535</v>
      </c>
      <c r="L28" s="59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477</v>
      </c>
      <c r="I29" s="59">
        <v>45084</v>
      </c>
      <c r="J29" t="s">
        <v>535</v>
      </c>
      <c r="L29" s="59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410</v>
      </c>
      <c r="I30" s="59">
        <v>45457</v>
      </c>
      <c r="J30" t="s">
        <v>535</v>
      </c>
      <c r="L30" s="59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467</v>
      </c>
      <c r="I31" s="59">
        <v>45364</v>
      </c>
      <c r="J31" t="s">
        <v>535</v>
      </c>
      <c r="L31" s="59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445</v>
      </c>
      <c r="I32" s="59">
        <v>44971</v>
      </c>
      <c r="J32" t="s">
        <v>535</v>
      </c>
      <c r="L32" s="59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480</v>
      </c>
      <c r="I33" s="59">
        <v>44566</v>
      </c>
      <c r="J33" t="s">
        <v>535</v>
      </c>
      <c r="L33" s="59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458</v>
      </c>
      <c r="I34" s="59">
        <v>45133</v>
      </c>
      <c r="J34" t="s">
        <v>535</v>
      </c>
      <c r="L34" s="59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452</v>
      </c>
      <c r="I35" s="59">
        <v>45506</v>
      </c>
      <c r="J35" t="s">
        <v>535</v>
      </c>
      <c r="L35" s="59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490</v>
      </c>
      <c r="I36" s="59">
        <v>44657</v>
      </c>
      <c r="J36" t="s">
        <v>535</v>
      </c>
      <c r="L36" s="59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427</v>
      </c>
      <c r="I37" s="59">
        <v>43132</v>
      </c>
      <c r="J37" t="s">
        <v>535</v>
      </c>
      <c r="L37" s="59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428</v>
      </c>
      <c r="I38" s="59">
        <v>44748</v>
      </c>
      <c r="J38" t="s">
        <v>535</v>
      </c>
      <c r="L38" s="59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430</v>
      </c>
      <c r="I39" s="59">
        <v>45334</v>
      </c>
      <c r="J39" t="s">
        <v>535</v>
      </c>
      <c r="L39" s="59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481</v>
      </c>
      <c r="I40" s="59">
        <v>44993</v>
      </c>
      <c r="J40" t="s">
        <v>535</v>
      </c>
      <c r="L40" s="59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433</v>
      </c>
      <c r="I41" s="59">
        <v>44941</v>
      </c>
      <c r="J41" t="s">
        <v>535</v>
      </c>
      <c r="L41" s="59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487</v>
      </c>
      <c r="I42" s="59">
        <v>45727</v>
      </c>
      <c r="J42" t="s">
        <v>535</v>
      </c>
      <c r="L42" s="59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434</v>
      </c>
      <c r="I43" s="59">
        <v>45175</v>
      </c>
      <c r="J43" t="s">
        <v>535</v>
      </c>
      <c r="L43" s="59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436</v>
      </c>
      <c r="I44" s="59">
        <v>44301</v>
      </c>
      <c r="J44" t="s">
        <v>535</v>
      </c>
      <c r="L44" s="59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437</v>
      </c>
      <c r="I45" s="59">
        <v>44735</v>
      </c>
      <c r="J45" t="s">
        <v>535</v>
      </c>
      <c r="L45" s="59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483</v>
      </c>
      <c r="I46" s="59">
        <v>44104</v>
      </c>
      <c r="J46" t="s">
        <v>535</v>
      </c>
      <c r="L46" s="59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414</v>
      </c>
      <c r="I47" s="59">
        <v>45304</v>
      </c>
      <c r="J47" t="s">
        <v>535</v>
      </c>
      <c r="L47" s="59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441</v>
      </c>
      <c r="I48" s="59">
        <v>45423</v>
      </c>
      <c r="J48" t="s">
        <v>535</v>
      </c>
      <c r="L48" s="59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442</v>
      </c>
      <c r="I49" s="59">
        <v>45399</v>
      </c>
      <c r="J49" t="s">
        <v>535</v>
      </c>
      <c r="L49" s="59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454</v>
      </c>
      <c r="I50" s="59">
        <v>45142</v>
      </c>
      <c r="J50" t="s">
        <v>535</v>
      </c>
      <c r="L50" s="59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419</v>
      </c>
      <c r="I51" s="59">
        <v>44748</v>
      </c>
      <c r="J51" t="s">
        <v>535</v>
      </c>
      <c r="L51" s="59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447</v>
      </c>
      <c r="I52" s="59">
        <v>45145</v>
      </c>
      <c r="J52" t="s">
        <v>535</v>
      </c>
      <c r="L52" s="59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459</v>
      </c>
      <c r="I53" s="59">
        <v>45133</v>
      </c>
      <c r="J53" t="s">
        <v>535</v>
      </c>
      <c r="L53" s="59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488</v>
      </c>
      <c r="I54" s="59">
        <v>45727</v>
      </c>
      <c r="J54" t="s">
        <v>535</v>
      </c>
      <c r="L54" s="59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461</v>
      </c>
      <c r="I55" s="59">
        <v>45334</v>
      </c>
      <c r="J55" t="s">
        <v>535</v>
      </c>
      <c r="L55" s="59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440</v>
      </c>
      <c r="I56" s="59">
        <v>45674</v>
      </c>
      <c r="J56" t="s">
        <v>535</v>
      </c>
      <c r="L56" s="59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462</v>
      </c>
      <c r="I57" s="59">
        <v>44937</v>
      </c>
      <c r="J57" t="s">
        <v>535</v>
      </c>
      <c r="L57" s="59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466</v>
      </c>
      <c r="I58" s="59">
        <v>44869</v>
      </c>
      <c r="J58" t="s">
        <v>535</v>
      </c>
      <c r="L58" s="59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424</v>
      </c>
      <c r="I59" s="59">
        <v>44945</v>
      </c>
      <c r="J59" t="s">
        <v>535</v>
      </c>
      <c r="L59" s="59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479</v>
      </c>
      <c r="I60" s="59">
        <v>44951</v>
      </c>
      <c r="J60" t="s">
        <v>535</v>
      </c>
      <c r="L60" s="59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491</v>
      </c>
      <c r="I61" s="59">
        <v>45772</v>
      </c>
      <c r="J61" t="s">
        <v>535</v>
      </c>
      <c r="L61" s="59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438</v>
      </c>
      <c r="I62" s="59">
        <v>44909</v>
      </c>
      <c r="J62" t="s">
        <v>535</v>
      </c>
      <c r="L62" s="59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460</v>
      </c>
      <c r="I63" s="59">
        <v>45285</v>
      </c>
      <c r="J63" t="s">
        <v>535</v>
      </c>
      <c r="L63" s="59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415</v>
      </c>
      <c r="I64" s="59">
        <v>45334</v>
      </c>
      <c r="J64" t="s">
        <v>535</v>
      </c>
      <c r="L64" s="59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439</v>
      </c>
      <c r="I65" s="59">
        <v>45675</v>
      </c>
      <c r="J65" t="s">
        <v>535</v>
      </c>
      <c r="L65" s="59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417</v>
      </c>
      <c r="I66" s="59">
        <v>45530</v>
      </c>
      <c r="J66" t="s">
        <v>535</v>
      </c>
      <c r="L66" s="59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486</v>
      </c>
      <c r="I67" s="59">
        <v>45721</v>
      </c>
      <c r="J67" t="s">
        <v>535</v>
      </c>
      <c r="L67" s="59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422</v>
      </c>
      <c r="I68" s="59">
        <v>44470</v>
      </c>
      <c r="J68" t="s">
        <v>535</v>
      </c>
      <c r="L68" s="59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448</v>
      </c>
      <c r="I69" s="59">
        <v>44748</v>
      </c>
      <c r="J69" t="s">
        <v>535</v>
      </c>
      <c r="L69" s="59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I84"/>
  <sheetViews>
    <sheetView zoomScale="70" zoomScaleNormal="70" workbookViewId="0">
      <selection activeCell="L10" sqref="L10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87" x14ac:dyDescent="0.25">
      <c r="L1" s="59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533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449</v>
      </c>
      <c r="I3" s="59">
        <v>45334</v>
      </c>
      <c r="J3" t="s">
        <v>535</v>
      </c>
      <c r="L3" s="59"/>
      <c r="M3" s="34">
        <v>2025</v>
      </c>
      <c r="N3" s="34" t="s">
        <v>143</v>
      </c>
      <c r="O3" s="34">
        <v>21</v>
      </c>
    </row>
    <row r="4" spans="1:87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484</v>
      </c>
      <c r="I4" s="59">
        <v>45727</v>
      </c>
      <c r="J4" t="s">
        <v>535</v>
      </c>
      <c r="L4" s="59"/>
    </row>
    <row r="5" spans="1:87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469</v>
      </c>
      <c r="I5" s="59">
        <v>45299</v>
      </c>
      <c r="J5" t="s">
        <v>535</v>
      </c>
      <c r="L5" s="59"/>
    </row>
    <row r="6" spans="1:87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418</v>
      </c>
      <c r="I6" s="59">
        <v>44259</v>
      </c>
      <c r="J6" t="s">
        <v>535</v>
      </c>
      <c r="L6" s="59"/>
    </row>
    <row r="7" spans="1:87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472</v>
      </c>
      <c r="I7" s="59">
        <v>44111</v>
      </c>
      <c r="J7" t="s">
        <v>535</v>
      </c>
      <c r="L7" s="59"/>
    </row>
    <row r="8" spans="1:87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473</v>
      </c>
      <c r="I8" s="59">
        <v>44820</v>
      </c>
      <c r="J8" t="s">
        <v>535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45" t="s">
        <v>567</v>
      </c>
      <c r="T8" s="78" t="s">
        <v>537</v>
      </c>
      <c r="U8" s="78" t="s">
        <v>559</v>
      </c>
      <c r="V8" s="78" t="s">
        <v>563</v>
      </c>
      <c r="W8" s="78" t="s">
        <v>538</v>
      </c>
      <c r="X8" s="78" t="s">
        <v>539</v>
      </c>
      <c r="Y8" s="78" t="s">
        <v>540</v>
      </c>
      <c r="Z8" s="78" t="s">
        <v>541</v>
      </c>
      <c r="AA8" s="78" t="s">
        <v>542</v>
      </c>
      <c r="AB8" s="78" t="s">
        <v>560</v>
      </c>
      <c r="AC8" s="78" t="s">
        <v>564</v>
      </c>
      <c r="AD8" s="78" t="s">
        <v>543</v>
      </c>
      <c r="AE8" s="78" t="s">
        <v>544</v>
      </c>
      <c r="AF8" s="78" t="s">
        <v>545</v>
      </c>
      <c r="AG8" s="78" t="s">
        <v>546</v>
      </c>
      <c r="AH8" s="78" t="s">
        <v>547</v>
      </c>
      <c r="AI8" s="78" t="s">
        <v>561</v>
      </c>
      <c r="AJ8" s="78" t="s">
        <v>565</v>
      </c>
      <c r="AK8" s="78" t="s">
        <v>548</v>
      </c>
      <c r="AL8" s="78" t="s">
        <v>549</v>
      </c>
      <c r="AM8" s="78" t="s">
        <v>550</v>
      </c>
      <c r="AN8" s="78" t="s">
        <v>551</v>
      </c>
      <c r="AO8" s="78" t="s">
        <v>552</v>
      </c>
      <c r="AP8" s="78" t="s">
        <v>562</v>
      </c>
      <c r="AQ8" s="78" t="s">
        <v>566</v>
      </c>
      <c r="AR8" s="78" t="s">
        <v>553</v>
      </c>
      <c r="AS8" s="78" t="s">
        <v>554</v>
      </c>
      <c r="AT8" s="78" t="s">
        <v>555</v>
      </c>
      <c r="AU8" s="78" t="s">
        <v>556</v>
      </c>
      <c r="AV8" s="78" t="s">
        <v>557</v>
      </c>
      <c r="AW8" s="78" t="s">
        <v>558</v>
      </c>
      <c r="AX8" s="72" t="s">
        <v>536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567</v>
      </c>
      <c r="BE8" s="41" t="s">
        <v>537</v>
      </c>
      <c r="BF8" s="41" t="s">
        <v>559</v>
      </c>
      <c r="BG8" s="41" t="s">
        <v>563</v>
      </c>
      <c r="BH8" s="41" t="s">
        <v>538</v>
      </c>
      <c r="BI8" s="41" t="s">
        <v>539</v>
      </c>
      <c r="BJ8" s="41" t="s">
        <v>540</v>
      </c>
      <c r="BK8" s="41" t="s">
        <v>541</v>
      </c>
      <c r="BL8" s="41" t="s">
        <v>542</v>
      </c>
      <c r="BM8" s="41" t="s">
        <v>560</v>
      </c>
      <c r="BN8" s="41" t="s">
        <v>564</v>
      </c>
      <c r="BO8" s="41" t="s">
        <v>543</v>
      </c>
      <c r="BP8" s="41" t="s">
        <v>544</v>
      </c>
      <c r="BQ8" s="41" t="s">
        <v>545</v>
      </c>
      <c r="BR8" s="41" t="s">
        <v>546</v>
      </c>
      <c r="BS8" s="41" t="s">
        <v>547</v>
      </c>
      <c r="BT8" s="41" t="s">
        <v>561</v>
      </c>
      <c r="BU8" s="41" t="s">
        <v>565</v>
      </c>
      <c r="BV8" s="41" t="s">
        <v>548</v>
      </c>
      <c r="BW8" s="41" t="s">
        <v>549</v>
      </c>
      <c r="BX8" s="41" t="s">
        <v>550</v>
      </c>
      <c r="BY8" s="41" t="s">
        <v>551</v>
      </c>
      <c r="BZ8" s="41" t="s">
        <v>552</v>
      </c>
      <c r="CA8" s="41" t="s">
        <v>562</v>
      </c>
      <c r="CB8" s="41" t="s">
        <v>566</v>
      </c>
      <c r="CC8" s="41" t="s">
        <v>553</v>
      </c>
      <c r="CD8" s="41" t="s">
        <v>554</v>
      </c>
      <c r="CE8" s="41" t="s">
        <v>555</v>
      </c>
      <c r="CF8" s="41" t="s">
        <v>556</v>
      </c>
      <c r="CG8" s="41" t="s">
        <v>557</v>
      </c>
      <c r="CH8" s="41" t="s">
        <v>558</v>
      </c>
      <c r="CI8" s="19" t="s">
        <v>134</v>
      </c>
    </row>
    <row r="9" spans="1:87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485</v>
      </c>
      <c r="I9" s="59">
        <v>45727</v>
      </c>
      <c r="J9" t="s">
        <v>535</v>
      </c>
      <c r="L9" s="59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2">
        <f>MAX(DITE_MAYO_2025[[#This Row],[1]:[31]])</f>
        <v>125130.3</v>
      </c>
      <c r="BB9" s="18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2" t="s">
        <v>153</v>
      </c>
    </row>
    <row r="10" spans="1:87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446</v>
      </c>
      <c r="I10" s="59">
        <v>45451</v>
      </c>
      <c r="J10" t="s">
        <v>535</v>
      </c>
      <c r="L10" s="59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2">
        <f>MAX(DITE_MAYO_2025[[#This Row],[1]:[31]])</f>
        <v>116791.99</v>
      </c>
      <c r="BB10" s="18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2" t="s">
        <v>153</v>
      </c>
    </row>
    <row r="11" spans="1:87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435</v>
      </c>
      <c r="I11" s="59">
        <v>44819</v>
      </c>
      <c r="J11" t="s">
        <v>535</v>
      </c>
      <c r="L11" s="59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2">
        <f>MAX(DITE_MAYO_2025[[#This Row],[1]:[31]])</f>
        <v>369775.30000000005</v>
      </c>
      <c r="BB11" s="18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2" t="s">
        <v>150</v>
      </c>
    </row>
    <row r="12" spans="1:87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492</v>
      </c>
      <c r="I12" s="59">
        <v>45798</v>
      </c>
      <c r="J12" t="s">
        <v>535</v>
      </c>
      <c r="L12" s="59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2">
        <f>MAX(DITE_MAYO_2025[[#This Row],[1]:[31]])</f>
        <v>285981.05</v>
      </c>
      <c r="BB12" s="18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2" t="s">
        <v>150</v>
      </c>
    </row>
    <row r="13" spans="1:87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438</v>
      </c>
      <c r="I13" s="59">
        <v>44909</v>
      </c>
      <c r="J13" t="s">
        <v>535</v>
      </c>
      <c r="L13" s="59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2">
        <f>MAX(DITE_MAYO_2025[[#This Row],[1]:[31]])</f>
        <v>164757</v>
      </c>
      <c r="BB13" s="18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2" t="s">
        <v>152</v>
      </c>
    </row>
    <row r="14" spans="1:87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470</v>
      </c>
      <c r="I14" s="59">
        <v>45590</v>
      </c>
      <c r="J14" t="s">
        <v>535</v>
      </c>
      <c r="L14" s="59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2">
        <f>MAX(DITE_MAYO_2025[[#This Row],[1]:[31]])</f>
        <v>80264.929999999993</v>
      </c>
      <c r="BB14" s="18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2" t="s">
        <v>153</v>
      </c>
    </row>
    <row r="15" spans="1:87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465</v>
      </c>
      <c r="I15" s="59">
        <v>45021</v>
      </c>
      <c r="J15" t="s">
        <v>535</v>
      </c>
      <c r="L15" s="59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2">
        <f>MAX(DITE_MAYO_2025[[#This Row],[1]:[31]])</f>
        <v>283840.03000000003</v>
      </c>
      <c r="BB15" s="18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2" t="s">
        <v>150</v>
      </c>
    </row>
    <row r="16" spans="1:87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455</v>
      </c>
      <c r="I16" s="59">
        <v>44716</v>
      </c>
      <c r="J16" t="s">
        <v>535</v>
      </c>
      <c r="L16" s="59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2">
        <f>MAX(DITE_MAYO_2025[[#This Row],[1]:[31]])</f>
        <v>448751.23</v>
      </c>
      <c r="BB16" s="18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2" t="s">
        <v>150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413</v>
      </c>
      <c r="I17" s="59">
        <v>45334</v>
      </c>
      <c r="J17" t="s">
        <v>535</v>
      </c>
      <c r="L17" s="59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482</v>
      </c>
      <c r="I18" s="59">
        <v>45700</v>
      </c>
      <c r="J18" t="s">
        <v>535</v>
      </c>
      <c r="L18" s="59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457</v>
      </c>
      <c r="I19" s="59">
        <v>45348</v>
      </c>
      <c r="J19" t="s">
        <v>535</v>
      </c>
      <c r="L19" s="59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415</v>
      </c>
      <c r="I20" s="59">
        <v>45334</v>
      </c>
      <c r="J20" t="s">
        <v>535</v>
      </c>
      <c r="L20" s="59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416</v>
      </c>
      <c r="I21" s="59">
        <v>44870</v>
      </c>
      <c r="J21" t="s">
        <v>535</v>
      </c>
      <c r="L21" s="59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409</v>
      </c>
      <c r="I22" s="59">
        <v>44811</v>
      </c>
      <c r="J22" t="s">
        <v>535</v>
      </c>
      <c r="L22" s="59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420</v>
      </c>
      <c r="I23" s="59">
        <v>44840</v>
      </c>
      <c r="J23" t="s">
        <v>535</v>
      </c>
      <c r="L23" s="59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443</v>
      </c>
      <c r="I24" s="59">
        <v>44687</v>
      </c>
      <c r="J24" t="s">
        <v>535</v>
      </c>
      <c r="L24" s="59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412</v>
      </c>
      <c r="I25" s="59">
        <v>44888</v>
      </c>
      <c r="J25" t="s">
        <v>535</v>
      </c>
      <c r="L25" s="59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456</v>
      </c>
      <c r="I26" s="59">
        <v>45371</v>
      </c>
      <c r="J26" t="s">
        <v>535</v>
      </c>
      <c r="L26" s="59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493</v>
      </c>
      <c r="I27" s="59">
        <v>45798</v>
      </c>
      <c r="J27" t="s">
        <v>535</v>
      </c>
      <c r="L27" s="59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476</v>
      </c>
      <c r="I28" s="59">
        <v>44706</v>
      </c>
      <c r="J28" t="s">
        <v>535</v>
      </c>
      <c r="L28" s="59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468</v>
      </c>
      <c r="I29" s="59">
        <v>43035</v>
      </c>
      <c r="J29" t="s">
        <v>535</v>
      </c>
      <c r="L29" s="59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406</v>
      </c>
      <c r="I30" s="59">
        <v>44461</v>
      </c>
      <c r="J30" t="s">
        <v>535</v>
      </c>
      <c r="L30" s="59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407</v>
      </c>
      <c r="I31" s="59">
        <v>44811</v>
      </c>
      <c r="J31" t="s">
        <v>535</v>
      </c>
      <c r="L31" s="59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408</v>
      </c>
      <c r="I32" s="59">
        <v>44811</v>
      </c>
      <c r="J32" t="s">
        <v>535</v>
      </c>
      <c r="L32" s="59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477</v>
      </c>
      <c r="I33" s="59">
        <v>45084</v>
      </c>
      <c r="J33" t="s">
        <v>535</v>
      </c>
      <c r="L33" s="59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410</v>
      </c>
      <c r="I34" s="59">
        <v>45457</v>
      </c>
      <c r="J34" t="s">
        <v>535</v>
      </c>
      <c r="L34" s="59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467</v>
      </c>
      <c r="I35" s="59">
        <v>45364</v>
      </c>
      <c r="J35" t="s">
        <v>535</v>
      </c>
      <c r="L35" s="59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445</v>
      </c>
      <c r="I36" s="59">
        <v>44971</v>
      </c>
      <c r="J36" t="s">
        <v>535</v>
      </c>
      <c r="L36" s="59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480</v>
      </c>
      <c r="I37" s="59">
        <v>44566</v>
      </c>
      <c r="J37" t="s">
        <v>535</v>
      </c>
      <c r="L37" s="59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458</v>
      </c>
      <c r="I38" s="59">
        <v>45133</v>
      </c>
      <c r="J38" t="s">
        <v>535</v>
      </c>
      <c r="L38" s="59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426</v>
      </c>
      <c r="I39" s="59">
        <v>44673</v>
      </c>
      <c r="J39" t="s">
        <v>535</v>
      </c>
      <c r="L39" s="59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452</v>
      </c>
      <c r="I40" s="59">
        <v>45506</v>
      </c>
      <c r="J40" t="s">
        <v>535</v>
      </c>
      <c r="L40" s="59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490</v>
      </c>
      <c r="I41" s="59">
        <v>44657</v>
      </c>
      <c r="J41" t="s">
        <v>535</v>
      </c>
      <c r="L41" s="59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494</v>
      </c>
      <c r="I42" s="59">
        <v>45804</v>
      </c>
      <c r="J42" t="s">
        <v>535</v>
      </c>
      <c r="L42" s="59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427</v>
      </c>
      <c r="I43" s="59">
        <v>43132</v>
      </c>
      <c r="J43" t="s">
        <v>535</v>
      </c>
      <c r="L43" s="59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428</v>
      </c>
      <c r="I44" s="59">
        <v>44748</v>
      </c>
      <c r="J44" t="s">
        <v>535</v>
      </c>
      <c r="L44" s="59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429</v>
      </c>
      <c r="I45" s="59">
        <v>45523</v>
      </c>
      <c r="J45" t="s">
        <v>535</v>
      </c>
      <c r="L45" s="59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430</v>
      </c>
      <c r="I46" s="59">
        <v>45334</v>
      </c>
      <c r="J46" t="s">
        <v>535</v>
      </c>
      <c r="L46" s="59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481</v>
      </c>
      <c r="I47" s="59">
        <v>44993</v>
      </c>
      <c r="J47" t="s">
        <v>535</v>
      </c>
      <c r="L47" s="59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433</v>
      </c>
      <c r="I48" s="59">
        <v>44941</v>
      </c>
      <c r="J48" t="s">
        <v>535</v>
      </c>
      <c r="L48" s="59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434</v>
      </c>
      <c r="I49" s="59">
        <v>45175</v>
      </c>
      <c r="J49" t="s">
        <v>535</v>
      </c>
      <c r="L49" s="59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495</v>
      </c>
      <c r="I50" s="59">
        <v>45803</v>
      </c>
      <c r="J50" t="s">
        <v>535</v>
      </c>
      <c r="L50" s="59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460</v>
      </c>
      <c r="I51" s="59">
        <v>45285</v>
      </c>
      <c r="J51" t="s">
        <v>535</v>
      </c>
      <c r="L51" s="59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439</v>
      </c>
      <c r="I52" s="59">
        <v>45675</v>
      </c>
      <c r="J52" t="s">
        <v>535</v>
      </c>
      <c r="L52" s="59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454</v>
      </c>
      <c r="I53" s="59">
        <v>45142</v>
      </c>
      <c r="J53" t="s">
        <v>535</v>
      </c>
      <c r="L53" s="59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466</v>
      </c>
      <c r="I54" s="59">
        <v>44869</v>
      </c>
      <c r="J54" t="s">
        <v>535</v>
      </c>
      <c r="L54" s="59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496</v>
      </c>
      <c r="I55" s="59">
        <v>45805</v>
      </c>
      <c r="J55" t="s">
        <v>535</v>
      </c>
      <c r="L55" s="59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422</v>
      </c>
      <c r="I56" s="59">
        <v>44470</v>
      </c>
      <c r="J56" t="s">
        <v>535</v>
      </c>
      <c r="L56" s="59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479</v>
      </c>
      <c r="I57" s="59">
        <v>44951</v>
      </c>
      <c r="J57" t="s">
        <v>535</v>
      </c>
      <c r="L57" s="59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491</v>
      </c>
      <c r="I58" s="59">
        <v>45772</v>
      </c>
      <c r="J58" t="s">
        <v>535</v>
      </c>
      <c r="L58" s="59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436</v>
      </c>
      <c r="I59" s="59">
        <v>44301</v>
      </c>
      <c r="J59" t="s">
        <v>535</v>
      </c>
      <c r="L59" s="59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459</v>
      </c>
      <c r="I60" s="59">
        <v>45133</v>
      </c>
      <c r="J60" t="s">
        <v>535</v>
      </c>
      <c r="L60" s="59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414</v>
      </c>
      <c r="I61" s="59">
        <v>45304</v>
      </c>
      <c r="J61" t="s">
        <v>535</v>
      </c>
      <c r="L61" s="59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451</v>
      </c>
      <c r="I62" s="59">
        <v>45429</v>
      </c>
      <c r="J62" t="s">
        <v>535</v>
      </c>
      <c r="L62" s="59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461</v>
      </c>
      <c r="I63" s="59">
        <v>45334</v>
      </c>
      <c r="J63" t="s">
        <v>535</v>
      </c>
      <c r="L63" s="59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442</v>
      </c>
      <c r="I64" s="59">
        <v>45399</v>
      </c>
      <c r="J64" t="s">
        <v>535</v>
      </c>
      <c r="L64" s="59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462</v>
      </c>
      <c r="I65" s="59">
        <v>44937</v>
      </c>
      <c r="J65" t="s">
        <v>535</v>
      </c>
      <c r="L65" s="59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497</v>
      </c>
      <c r="I66" s="59">
        <v>45785</v>
      </c>
      <c r="J66" t="s">
        <v>535</v>
      </c>
      <c r="L66" s="59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498</v>
      </c>
      <c r="I67" s="59">
        <v>45793</v>
      </c>
      <c r="J67" t="s">
        <v>535</v>
      </c>
      <c r="L67" s="59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448</v>
      </c>
      <c r="I68" s="59">
        <v>44748</v>
      </c>
      <c r="J68" t="s">
        <v>535</v>
      </c>
      <c r="L68" s="59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437</v>
      </c>
      <c r="I69" s="59">
        <v>44735</v>
      </c>
      <c r="J69" t="s">
        <v>535</v>
      </c>
      <c r="L69" s="59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483</v>
      </c>
      <c r="I70" s="59">
        <v>44104</v>
      </c>
      <c r="J70" t="s">
        <v>535</v>
      </c>
      <c r="L70" s="59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440</v>
      </c>
      <c r="I71" s="59">
        <v>45674</v>
      </c>
      <c r="J71" t="s">
        <v>535</v>
      </c>
      <c r="L71" s="59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417</v>
      </c>
      <c r="I72" s="59">
        <v>45530</v>
      </c>
      <c r="J72" t="s">
        <v>535</v>
      </c>
      <c r="L72" s="59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441</v>
      </c>
      <c r="I73" s="59">
        <v>45423</v>
      </c>
      <c r="J73" t="s">
        <v>535</v>
      </c>
      <c r="L73" s="59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463</v>
      </c>
      <c r="I74" s="59">
        <v>42814</v>
      </c>
      <c r="J74" t="s">
        <v>535</v>
      </c>
      <c r="L74" s="59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499</v>
      </c>
      <c r="I75" s="59">
        <v>45800</v>
      </c>
      <c r="J75" t="s">
        <v>535</v>
      </c>
      <c r="L75" s="59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500</v>
      </c>
      <c r="I76" s="59">
        <v>45800</v>
      </c>
      <c r="J76" t="s">
        <v>535</v>
      </c>
      <c r="L76" s="59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447</v>
      </c>
      <c r="I77" s="59">
        <v>45145</v>
      </c>
      <c r="J77" t="s">
        <v>535</v>
      </c>
      <c r="L77" s="59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424</v>
      </c>
      <c r="I78" s="59">
        <v>44945</v>
      </c>
      <c r="J78" t="s">
        <v>535</v>
      </c>
      <c r="L78" s="59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I83"/>
  <sheetViews>
    <sheetView topLeftCell="H59" zoomScale="70" zoomScaleNormal="70" workbookViewId="0">
      <selection activeCell="P8" sqref="P8:R83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9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87" x14ac:dyDescent="0.25">
      <c r="L1" s="59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76" t="s">
        <v>405</v>
      </c>
      <c r="J2" s="66" t="s">
        <v>533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s="73" t="s">
        <v>5</v>
      </c>
      <c r="B3" s="73" t="s">
        <v>69</v>
      </c>
      <c r="C3" s="74"/>
      <c r="D3" s="74"/>
      <c r="E3" s="74" t="s">
        <v>5</v>
      </c>
      <c r="F3" s="73" t="s">
        <v>69</v>
      </c>
      <c r="G3" s="73"/>
      <c r="H3" s="73" t="s">
        <v>406</v>
      </c>
      <c r="I3" s="75">
        <v>44459</v>
      </c>
      <c r="J3" s="75" t="s">
        <v>534</v>
      </c>
      <c r="L3" s="59"/>
      <c r="M3" s="34">
        <v>2025</v>
      </c>
      <c r="N3" s="34" t="s">
        <v>144</v>
      </c>
      <c r="O3" s="34">
        <v>21</v>
      </c>
    </row>
    <row r="4" spans="1:87" x14ac:dyDescent="0.25">
      <c r="A4" s="73" t="s">
        <v>2</v>
      </c>
      <c r="B4" s="73" t="s">
        <v>29</v>
      </c>
      <c r="C4" s="74"/>
      <c r="D4" s="74"/>
      <c r="E4" s="74" t="s">
        <v>2</v>
      </c>
      <c r="F4" s="73" t="s">
        <v>29</v>
      </c>
      <c r="G4" s="73"/>
      <c r="H4" s="73" t="s">
        <v>443</v>
      </c>
      <c r="I4" s="75">
        <v>44685</v>
      </c>
      <c r="J4" s="75" t="s">
        <v>534</v>
      </c>
      <c r="L4" s="59"/>
    </row>
    <row r="5" spans="1:87" x14ac:dyDescent="0.25">
      <c r="A5" s="73" t="s">
        <v>8</v>
      </c>
      <c r="B5" s="73" t="s">
        <v>21</v>
      </c>
      <c r="C5" s="74"/>
      <c r="D5" s="74"/>
      <c r="E5" s="74" t="s">
        <v>8</v>
      </c>
      <c r="F5" s="73" t="s">
        <v>21</v>
      </c>
      <c r="G5" s="73"/>
      <c r="H5" s="73" t="s">
        <v>436</v>
      </c>
      <c r="I5" s="75">
        <v>44824</v>
      </c>
      <c r="J5" s="75" t="s">
        <v>534</v>
      </c>
      <c r="L5" s="59"/>
    </row>
    <row r="6" spans="1:87" x14ac:dyDescent="0.25">
      <c r="A6" s="73" t="s">
        <v>6</v>
      </c>
      <c r="B6" s="73" t="s">
        <v>18</v>
      </c>
      <c r="C6" s="74"/>
      <c r="D6" s="74"/>
      <c r="E6" s="74" t="s">
        <v>6</v>
      </c>
      <c r="F6" s="73" t="s">
        <v>18</v>
      </c>
      <c r="G6" s="73"/>
      <c r="H6" s="73" t="s">
        <v>458</v>
      </c>
      <c r="I6" s="75">
        <v>45132</v>
      </c>
      <c r="J6" s="75" t="s">
        <v>534</v>
      </c>
      <c r="L6" s="59"/>
    </row>
    <row r="7" spans="1:87" x14ac:dyDescent="0.25">
      <c r="A7" s="73" t="s">
        <v>125</v>
      </c>
      <c r="B7" s="73" t="s">
        <v>20</v>
      </c>
      <c r="C7" s="74"/>
      <c r="D7" s="74"/>
      <c r="E7" s="74" t="s">
        <v>125</v>
      </c>
      <c r="F7" s="73" t="s">
        <v>20</v>
      </c>
      <c r="G7" s="73"/>
      <c r="H7" s="73" t="s">
        <v>454</v>
      </c>
      <c r="I7" s="75">
        <v>45141</v>
      </c>
      <c r="J7" s="75" t="s">
        <v>534</v>
      </c>
      <c r="L7" s="59"/>
    </row>
    <row r="8" spans="1:87" x14ac:dyDescent="0.25">
      <c r="A8" s="73" t="s">
        <v>9</v>
      </c>
      <c r="B8" s="73" t="s">
        <v>71</v>
      </c>
      <c r="C8" s="74"/>
      <c r="D8" s="74"/>
      <c r="E8" s="74" t="s">
        <v>9</v>
      </c>
      <c r="F8" s="73" t="s">
        <v>71</v>
      </c>
      <c r="G8" s="73"/>
      <c r="H8" s="73" t="s">
        <v>441</v>
      </c>
      <c r="I8" s="75">
        <v>45427</v>
      </c>
      <c r="J8" s="75" t="s">
        <v>534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8" t="s">
        <v>567</v>
      </c>
      <c r="T8" s="78" t="s">
        <v>537</v>
      </c>
      <c r="U8" s="78" t="s">
        <v>559</v>
      </c>
      <c r="V8" s="78" t="s">
        <v>563</v>
      </c>
      <c r="W8" s="78" t="s">
        <v>538</v>
      </c>
      <c r="X8" s="78" t="s">
        <v>539</v>
      </c>
      <c r="Y8" s="78" t="s">
        <v>540</v>
      </c>
      <c r="Z8" s="78" t="s">
        <v>541</v>
      </c>
      <c r="AA8" s="78" t="s">
        <v>542</v>
      </c>
      <c r="AB8" s="78" t="s">
        <v>560</v>
      </c>
      <c r="AC8" s="78" t="s">
        <v>564</v>
      </c>
      <c r="AD8" s="78" t="s">
        <v>543</v>
      </c>
      <c r="AE8" s="78" t="s">
        <v>544</v>
      </c>
      <c r="AF8" s="78" t="s">
        <v>545</v>
      </c>
      <c r="AG8" s="78" t="s">
        <v>546</v>
      </c>
      <c r="AH8" s="78" t="s">
        <v>547</v>
      </c>
      <c r="AI8" s="78" t="s">
        <v>561</v>
      </c>
      <c r="AJ8" s="78" t="s">
        <v>565</v>
      </c>
      <c r="AK8" s="78" t="s">
        <v>548</v>
      </c>
      <c r="AL8" s="78" t="s">
        <v>549</v>
      </c>
      <c r="AM8" s="78" t="s">
        <v>550</v>
      </c>
      <c r="AN8" s="78" t="s">
        <v>551</v>
      </c>
      <c r="AO8" s="78" t="s">
        <v>552</v>
      </c>
      <c r="AP8" s="78" t="s">
        <v>562</v>
      </c>
      <c r="AQ8" s="78" t="s">
        <v>566</v>
      </c>
      <c r="AR8" s="78" t="s">
        <v>553</v>
      </c>
      <c r="AS8" s="78" t="s">
        <v>554</v>
      </c>
      <c r="AT8" s="78" t="s">
        <v>555</v>
      </c>
      <c r="AU8" s="78" t="s">
        <v>556</v>
      </c>
      <c r="AV8" s="78" t="s">
        <v>557</v>
      </c>
      <c r="AW8" s="78" t="s">
        <v>558</v>
      </c>
      <c r="AX8" s="72" t="s">
        <v>536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567</v>
      </c>
      <c r="BE8" s="41" t="s">
        <v>537</v>
      </c>
      <c r="BF8" s="41" t="s">
        <v>559</v>
      </c>
      <c r="BG8" s="41" t="s">
        <v>563</v>
      </c>
      <c r="BH8" s="41" t="s">
        <v>538</v>
      </c>
      <c r="BI8" s="41" t="s">
        <v>539</v>
      </c>
      <c r="BJ8" s="41" t="s">
        <v>540</v>
      </c>
      <c r="BK8" s="41" t="s">
        <v>541</v>
      </c>
      <c r="BL8" s="41" t="s">
        <v>542</v>
      </c>
      <c r="BM8" s="41" t="s">
        <v>560</v>
      </c>
      <c r="BN8" s="41" t="s">
        <v>564</v>
      </c>
      <c r="BO8" s="41" t="s">
        <v>543</v>
      </c>
      <c r="BP8" s="41" t="s">
        <v>544</v>
      </c>
      <c r="BQ8" s="41" t="s">
        <v>545</v>
      </c>
      <c r="BR8" s="41" t="s">
        <v>546</v>
      </c>
      <c r="BS8" s="41" t="s">
        <v>547</v>
      </c>
      <c r="BT8" s="41" t="s">
        <v>561</v>
      </c>
      <c r="BU8" s="41" t="s">
        <v>565</v>
      </c>
      <c r="BV8" s="41" t="s">
        <v>548</v>
      </c>
      <c r="BW8" s="41" t="s">
        <v>549</v>
      </c>
      <c r="BX8" s="41" t="s">
        <v>550</v>
      </c>
      <c r="BY8" s="41" t="s">
        <v>551</v>
      </c>
      <c r="BZ8" s="41" t="s">
        <v>552</v>
      </c>
      <c r="CA8" s="41" t="s">
        <v>562</v>
      </c>
      <c r="CB8" s="41" t="s">
        <v>566</v>
      </c>
      <c r="CC8" s="41" t="s">
        <v>553</v>
      </c>
      <c r="CD8" s="41" t="s">
        <v>554</v>
      </c>
      <c r="CE8" s="41" t="s">
        <v>555</v>
      </c>
      <c r="CF8" s="41" t="s">
        <v>556</v>
      </c>
      <c r="CG8" s="41" t="s">
        <v>557</v>
      </c>
      <c r="CH8" s="41" t="s">
        <v>558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472</v>
      </c>
      <c r="I9" s="59">
        <v>44111</v>
      </c>
      <c r="J9" t="s">
        <v>535</v>
      </c>
      <c r="L9" s="59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Row],[ASER_]]="","",IFERROR(_xlfn.IFS(M9&gt;=100%,"&gt;100%",AND(M9&lt;100%,M9&gt;=70%),"&gt;70%",AND(M9&lt;70%,M9&gt;=40%),"&gt;40%",AND(M9&lt;40%,M9&gt;=0%),"&gt;0%"),""))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2">
        <v>98819.199999999997</v>
      </c>
      <c r="BB9" s="18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2" t="s">
        <v>153</v>
      </c>
    </row>
    <row r="10" spans="1:87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469</v>
      </c>
      <c r="I10" s="59">
        <v>45299</v>
      </c>
      <c r="J10" t="s">
        <v>535</v>
      </c>
      <c r="L10" s="59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Row],[ASER_]]="","",IFERROR(_xlfn.IFS(M10&gt;=100%,"&gt;100%",AND(M10&lt;100%,M10&gt;=70%),"&gt;70%",AND(M10&lt;70%,M10&gt;=40%),"&gt;40%",AND(M10&lt;40%,M10&gt;=0%),"&gt;0%"),""))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2">
        <v>81923.100000000006</v>
      </c>
      <c r="BB10" s="18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2" t="s">
        <v>153</v>
      </c>
    </row>
    <row r="11" spans="1:87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418</v>
      </c>
      <c r="I11" s="59">
        <v>44259</v>
      </c>
      <c r="J11" t="s">
        <v>535</v>
      </c>
      <c r="L11" s="59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2">
        <v>305667</v>
      </c>
      <c r="BB11" s="18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2" t="s">
        <v>150</v>
      </c>
    </row>
    <row r="12" spans="1:87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473</v>
      </c>
      <c r="I12" s="59">
        <v>44820</v>
      </c>
      <c r="J12" t="s">
        <v>535</v>
      </c>
      <c r="L12" s="59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Row],[ASER_]]="","",IFERROR(_xlfn.IFS(M12&gt;=100%,"&gt;100%",AND(M12&lt;100%,M12&gt;=70%),"&gt;70%",AND(M12&lt;70%,M12&gt;=40%),"&gt;40%",AND(M12&lt;40%,M12&gt;=0%),"&gt;0%"),""))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2">
        <v>308880.75</v>
      </c>
      <c r="BB12" s="18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2" t="s">
        <v>150</v>
      </c>
    </row>
    <row r="13" spans="1:87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435</v>
      </c>
      <c r="I13" s="59">
        <v>44819</v>
      </c>
      <c r="J13" t="s">
        <v>535</v>
      </c>
      <c r="L13" s="59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Row],[ASER_]]="","",IFERROR(_xlfn.IFS(M13&gt;=100%,"&gt;100%",AND(M13&lt;100%,M13&gt;=70%),"&gt;70%",AND(M13&lt;70%,M13&gt;=40%),"&gt;40%",AND(M13&lt;40%,M13&gt;=0%),"&gt;0%"),""))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2">
        <v>146493</v>
      </c>
      <c r="BB13" s="18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2" t="s">
        <v>152</v>
      </c>
    </row>
    <row r="14" spans="1:87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449</v>
      </c>
      <c r="I14" s="59">
        <v>45334</v>
      </c>
      <c r="J14" t="s">
        <v>535</v>
      </c>
      <c r="L14" s="59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Row],[ASER_]]="","",IFERROR(_xlfn.IFS(M14&gt;=100%,"&gt;100%",AND(M14&lt;100%,M14&gt;=70%),"&gt;70%",AND(M14&lt;70%,M14&gt;=40%),"&gt;40%",AND(M14&lt;40%,M14&gt;=0%),"&gt;0%"),""))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2">
        <v>69716.799999999988</v>
      </c>
      <c r="BB14" s="18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2" t="s">
        <v>153</v>
      </c>
    </row>
    <row r="15" spans="1:87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485</v>
      </c>
      <c r="I15" s="59">
        <v>45727</v>
      </c>
      <c r="J15" t="s">
        <v>535</v>
      </c>
      <c r="L15" s="59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2">
        <v>518397.5</v>
      </c>
      <c r="BB15" s="18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2" t="s">
        <v>150</v>
      </c>
    </row>
    <row r="16" spans="1:87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501</v>
      </c>
      <c r="I16" s="59">
        <v>45819</v>
      </c>
      <c r="J16" t="s">
        <v>535</v>
      </c>
      <c r="L16" s="59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Row],[ASER_]]="","",IFERROR(_xlfn.IFS(M16&gt;=100%,"&gt;100%",AND(M16&lt;100%,M16&gt;=70%),"&gt;70%",AND(M16&lt;70%,M16&gt;=40%),"&gt;40%",AND(M16&lt;40%,M16&gt;=0%),"&gt;0%"),""))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2">
        <v>327455.82</v>
      </c>
      <c r="BB16" s="18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2" t="s">
        <v>150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484</v>
      </c>
      <c r="I17" s="59">
        <v>45727</v>
      </c>
      <c r="J17" t="s">
        <v>535</v>
      </c>
      <c r="L17" s="59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Row],[ASER_]]="","",IFERROR(_xlfn.IFS(M17&gt;=100%,"&gt;100%",AND(M17&lt;100%,M17&gt;=70%),"&gt;70%",AND(M17&lt;70%,M17&gt;=40%),"&gt;40%",AND(M17&lt;40%,M17&gt;=0%),"&gt;0%"),""))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457</v>
      </c>
      <c r="I18" s="59">
        <v>45348</v>
      </c>
      <c r="J18" t="s">
        <v>535</v>
      </c>
      <c r="L18" s="59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Row],[ASER_]]="","",IFERROR(_xlfn.IFS(M18&gt;=100%,"&gt;100%",AND(M18&lt;100%,M18&gt;=70%),"&gt;70%",AND(M18&lt;70%,M18&gt;=40%),"&gt;40%",AND(M18&lt;40%,M18&gt;=0%),"&gt;0%"),""))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438</v>
      </c>
      <c r="I19" s="59">
        <v>44909</v>
      </c>
      <c r="J19" t="s">
        <v>535</v>
      </c>
      <c r="L19" s="59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Row],[ASER_]]="","",IFERROR(_xlfn.IFS(M19&gt;=100%,"&gt;100%",AND(M19&lt;100%,M19&gt;=70%),"&gt;70%",AND(M19&lt;70%,M19&gt;=40%),"&gt;40%",AND(M19&lt;40%,M19&gt;=0%),"&gt;0%"),""))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455</v>
      </c>
      <c r="I20" s="59">
        <v>44716</v>
      </c>
      <c r="J20" t="s">
        <v>535</v>
      </c>
      <c r="L20" s="59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Row],[ASER_]]="","",IFERROR(_xlfn.IFS(M20&gt;=100%,"&gt;100%",AND(M20&lt;100%,M20&gt;=70%),"&gt;70%",AND(M20&lt;70%,M20&gt;=40%),"&gt;40%",AND(M20&lt;40%,M20&gt;=0%),"&gt;0%"),""))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470</v>
      </c>
      <c r="I21" s="59">
        <v>45590</v>
      </c>
      <c r="J21" t="s">
        <v>535</v>
      </c>
      <c r="L21" s="59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Row],[ASER_]]="","",IFERROR(_xlfn.IFS(M21&gt;=100%,"&gt;100%",AND(M21&lt;100%,M21&gt;=70%),"&gt;70%",AND(M21&lt;70%,M21&gt;=40%),"&gt;40%",AND(M21&lt;40%,M21&gt;=0%),"&gt;0%"),""))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465</v>
      </c>
      <c r="I22" s="59">
        <v>45021</v>
      </c>
      <c r="J22" t="s">
        <v>535</v>
      </c>
      <c r="L22" s="59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Row],[ASER_]]="","",IFERROR(_xlfn.IFS(M22&gt;=100%,"&gt;100%",AND(M22&lt;100%,M22&gt;=70%),"&gt;70%",AND(M22&lt;70%,M22&gt;=40%),"&gt;40%",AND(M22&lt;40%,M22&gt;=0%),"&gt;0%"),""))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413</v>
      </c>
      <c r="I23" s="59">
        <v>45334</v>
      </c>
      <c r="J23" t="s">
        <v>535</v>
      </c>
      <c r="L23" s="59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Row],[ASER_]]="","",IFERROR(_xlfn.IFS(M23&gt;=100%,"&gt;100%",AND(M23&lt;100%,M23&gt;=70%),"&gt;70%",AND(M23&lt;70%,M23&gt;=40%),"&gt;40%",AND(M23&lt;40%,M23&gt;=0%),"&gt;0%"),""))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474</v>
      </c>
      <c r="I24" s="59">
        <v>45316</v>
      </c>
      <c r="J24" t="s">
        <v>535</v>
      </c>
      <c r="L24" s="59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Row],[ASER_]]="","",IFERROR(_xlfn.IFS(M24&gt;=100%,"&gt;100%",AND(M24&lt;100%,M24&gt;=70%),"&gt;70%",AND(M24&lt;70%,M24&gt;=40%),"&gt;40%",AND(M24&lt;40%,M24&gt;=0%),"&gt;0%"),""))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482</v>
      </c>
      <c r="I25" s="59">
        <v>45700</v>
      </c>
      <c r="J25" t="s">
        <v>535</v>
      </c>
      <c r="L25" s="59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Row],[ASER_]]="","",IFERROR(_xlfn.IFS(M25&gt;=100%,"&gt;100%",AND(M25&lt;100%,M25&gt;=70%),"&gt;70%",AND(M25&lt;70%,M25&gt;=40%),"&gt;40%",AND(M25&lt;40%,M25&gt;=0%),"&gt;0%"),""))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492</v>
      </c>
      <c r="I26" s="59">
        <v>45798</v>
      </c>
      <c r="J26" t="s">
        <v>535</v>
      </c>
      <c r="L26" s="59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Row],[ASER_]]="","",IFERROR(_xlfn.IFS(M26&gt;=100%,"&gt;100%",AND(M26&lt;100%,M26&gt;=70%),"&gt;70%",AND(M26&lt;70%,M26&gt;=40%),"&gt;40%",AND(M26&lt;40%,M26&gt;=0%),"&gt;0%"),""))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409</v>
      </c>
      <c r="I27" s="59">
        <v>44811</v>
      </c>
      <c r="J27" t="s">
        <v>535</v>
      </c>
      <c r="L27" s="59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Row],[ASER_]]="","",IFERROR(_xlfn.IFS(M27&gt;=100%,"&gt;100%",AND(M27&lt;100%,M27&gt;=70%),"&gt;70%",AND(M27&lt;70%,M27&gt;=40%),"&gt;40%",AND(M27&lt;40%,M27&gt;=0%),"&gt;0%"),""))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456</v>
      </c>
      <c r="I28" s="59">
        <v>45371</v>
      </c>
      <c r="J28" t="s">
        <v>535</v>
      </c>
      <c r="L28" s="59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Row],[ASER_]]="","",IFERROR(_xlfn.IFS(M28&gt;=100%,"&gt;100%",AND(M28&lt;100%,M28&gt;=70%),"&gt;70%",AND(M28&lt;70%,M28&gt;=40%),"&gt;40%",AND(M28&lt;40%,M28&gt;=0%),"&gt;0%"),""))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476</v>
      </c>
      <c r="I29" s="59">
        <v>44706</v>
      </c>
      <c r="J29" t="s">
        <v>535</v>
      </c>
      <c r="L29" s="59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Row],[ASER_]]="","",IFERROR(_xlfn.IFS(M29&gt;=100%,"&gt;100%",AND(M29&lt;100%,M29&gt;=70%),"&gt;70%",AND(M29&lt;70%,M29&gt;=40%),"&gt;40%",AND(M29&lt;40%,M29&gt;=0%),"&gt;0%"),""))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412</v>
      </c>
      <c r="I30" s="59">
        <v>44888</v>
      </c>
      <c r="J30" t="s">
        <v>535</v>
      </c>
      <c r="L30" s="59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Row],[ASER_]]="","",IFERROR(_xlfn.IFS(M30&gt;=100%,"&gt;100%",AND(M30&lt;100%,M30&gt;=70%),"&gt;70%",AND(M30&lt;70%,M30&gt;=40%),"&gt;40%",AND(M30&lt;40%,M30&gt;=0%),"&gt;0%"),""))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416</v>
      </c>
      <c r="I31" s="59">
        <v>44870</v>
      </c>
      <c r="J31" t="s">
        <v>535</v>
      </c>
      <c r="L31" s="59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Row],[ASER_]]="","",IFERROR(_xlfn.IFS(M31&gt;=100%,"&gt;100%",AND(M31&lt;100%,M31&gt;=70%),"&gt;70%",AND(M31&lt;70%,M31&gt;=40%),"&gt;40%",AND(M31&lt;40%,M31&gt;=0%),"&gt;0%"),""))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420</v>
      </c>
      <c r="I32" s="59">
        <v>44840</v>
      </c>
      <c r="J32" t="s">
        <v>535</v>
      </c>
      <c r="L32" s="59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493</v>
      </c>
      <c r="I33" s="59">
        <v>45798</v>
      </c>
      <c r="J33" t="s">
        <v>535</v>
      </c>
      <c r="L33" s="59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Row],[ASER_]]="","",IFERROR(_xlfn.IFS(M33&gt;=100%,"&gt;100%",AND(M33&lt;100%,M33&gt;=70%),"&gt;70%",AND(M33&lt;70%,M33&gt;=40%),"&gt;40%",AND(M33&lt;40%,M33&gt;=0%),"&gt;0%"),""))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415</v>
      </c>
      <c r="I34" s="59">
        <v>45334</v>
      </c>
      <c r="J34" t="s">
        <v>535</v>
      </c>
      <c r="L34" s="59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Row],[ASER_]]="","",IFERROR(_xlfn.IFS(M34&gt;=100%,"&gt;100%",AND(M34&lt;100%,M34&gt;=70%),"&gt;70%",AND(M34&lt;70%,M34&gt;=40%),"&gt;40%",AND(M34&lt;40%,M34&gt;=0%),"&gt;0%"),""))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468</v>
      </c>
      <c r="I35" s="59">
        <v>43035</v>
      </c>
      <c r="J35" t="s">
        <v>535</v>
      </c>
      <c r="L35" s="59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Row],[ASER_]]="","",IFERROR(_xlfn.IFS(M35&gt;=100%,"&gt;100%",AND(M35&lt;100%,M35&gt;=70%),"&gt;70%",AND(M35&lt;70%,M35&gt;=40%),"&gt;40%",AND(M35&lt;40%,M35&gt;=0%),"&gt;0%"),""))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445</v>
      </c>
      <c r="I36" s="59">
        <v>44971</v>
      </c>
      <c r="J36" t="s">
        <v>535</v>
      </c>
      <c r="L36" s="59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Row],[ASER_]]="","",IFERROR(_xlfn.IFS(M36&gt;=100%,"&gt;100%",AND(M36&lt;100%,M36&gt;=70%),"&gt;70%",AND(M36&lt;70%,M36&gt;=40%),"&gt;40%",AND(M36&lt;40%,M36&gt;=0%),"&gt;0%"),""))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477</v>
      </c>
      <c r="I37" s="59">
        <v>45084</v>
      </c>
      <c r="J37" t="s">
        <v>535</v>
      </c>
      <c r="L37" s="59"/>
      <c r="M37" s="1">
        <f>DATA_JUNIO_2025[[#This Row],[RECUPERO]]/DATA_JUNIO_2025[[#This Row],[META]]</f>
        <v>0.32</v>
      </c>
      <c r="N37" t="str" cm="1">
        <f t="array" ref="N37">IF(DATA_JUNIO_2025[[#This Row],[ASER_]]="","",IFERROR(_xlfn.IFS(M37&gt;=100%,"&gt;100%",AND(M37&lt;100%,M37&gt;=70%),"&gt;70%",AND(M37&lt;70%,M37&gt;=40%),"&gt;40%",AND(M37&lt;40%,M37&gt;=0%),"&gt;0%"),""))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480</v>
      </c>
      <c r="I38" s="59">
        <v>44566</v>
      </c>
      <c r="J38" t="s">
        <v>535</v>
      </c>
      <c r="L38" s="59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Row],[ASER_]]="","",IFERROR(_xlfn.IFS(M38&gt;=100%,"&gt;100%",AND(M38&lt;100%,M38&gt;=70%),"&gt;70%",AND(M38&lt;70%,M38&gt;=40%),"&gt;40%",AND(M38&lt;40%,M38&gt;=0%),"&gt;0%"),""))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408</v>
      </c>
      <c r="I39" s="59">
        <v>44811</v>
      </c>
      <c r="J39" t="s">
        <v>535</v>
      </c>
      <c r="L39" s="59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410</v>
      </c>
      <c r="I40" s="59">
        <v>45457</v>
      </c>
      <c r="J40" t="s">
        <v>535</v>
      </c>
      <c r="L40" s="59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Row],[ASER_]]="","",IFERROR(_xlfn.IFS(M40&gt;=100%,"&gt;100%",AND(M40&lt;100%,M40&gt;=70%),"&gt;70%",AND(M40&lt;70%,M40&gt;=40%),"&gt;40%",AND(M40&lt;40%,M40&gt;=0%),"&gt;0%"),""))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467</v>
      </c>
      <c r="I41" s="59">
        <v>45364</v>
      </c>
      <c r="J41" t="s">
        <v>535</v>
      </c>
      <c r="L41" s="59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407</v>
      </c>
      <c r="I42" s="59">
        <v>44811</v>
      </c>
      <c r="J42" t="s">
        <v>535</v>
      </c>
      <c r="L42" s="59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Row],[ASER_]]="","",IFERROR(_xlfn.IFS(M42&gt;=100%,"&gt;100%",AND(M42&lt;100%,M42&gt;=70%),"&gt;70%",AND(M42&lt;70%,M42&gt;=40%),"&gt;40%",AND(M42&lt;40%,M42&gt;=0%),"&gt;0%"),""))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429</v>
      </c>
      <c r="I43" s="59">
        <v>45523</v>
      </c>
      <c r="J43" t="s">
        <v>535</v>
      </c>
      <c r="L43" s="59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Row],[ASER_]]="","",IFERROR(_xlfn.IFS(M43&gt;=100%,"&gt;100%",AND(M43&lt;100%,M43&gt;=70%),"&gt;70%",AND(M43&lt;70%,M43&gt;=40%),"&gt;40%",AND(M43&lt;40%,M43&gt;=0%),"&gt;0%"),""))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490</v>
      </c>
      <c r="I44" s="59">
        <v>44657</v>
      </c>
      <c r="J44" t="s">
        <v>535</v>
      </c>
      <c r="L44" s="59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Row],[ASER_]]="","",IFERROR(_xlfn.IFS(M44&gt;=100%,"&gt;100%",AND(M44&lt;100%,M44&gt;=70%),"&gt;70%",AND(M44&lt;70%,M44&gt;=40%),"&gt;40%",AND(M44&lt;40%,M44&gt;=0%),"&gt;0%"),""))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428</v>
      </c>
      <c r="I45" s="59">
        <v>44748</v>
      </c>
      <c r="J45" t="s">
        <v>535</v>
      </c>
      <c r="L45" s="59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Row],[ASER_]]="","",IFERROR(_xlfn.IFS(M45&gt;=100%,"&gt;100%",AND(M45&lt;100%,M45&gt;=70%),"&gt;70%",AND(M45&lt;70%,M45&gt;=40%),"&gt;40%",AND(M45&lt;40%,M45&gt;=0%),"&gt;0%"),""))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426</v>
      </c>
      <c r="I46" s="59">
        <v>44673</v>
      </c>
      <c r="J46" t="s">
        <v>535</v>
      </c>
      <c r="L46" s="59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Row],[ASER_]]="","",IFERROR(_xlfn.IFS(M46&gt;=100%,"&gt;100%",AND(M46&lt;100%,M46&gt;=70%),"&gt;70%",AND(M46&lt;70%,M46&gt;=40%),"&gt;40%",AND(M46&lt;40%,M46&gt;=0%),"&gt;0%"),""))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430</v>
      </c>
      <c r="I47" s="59">
        <v>45334</v>
      </c>
      <c r="J47" t="s">
        <v>535</v>
      </c>
      <c r="L47" s="59"/>
      <c r="M47" s="1">
        <f>DATA_JUNIO_2025[[#This Row],[RECUPERO]]/DATA_JUNIO_2025[[#This Row],[META]]</f>
        <v>0.32</v>
      </c>
      <c r="N47" t="str" cm="1">
        <f t="array" ref="N47">IF(DATA_JUNIO_2025[[#This Row],[ASER_]]="","",IFERROR(_xlfn.IFS(M47&gt;=100%,"&gt;100%",AND(M47&lt;100%,M47&gt;=70%),"&gt;70%",AND(M47&lt;70%,M47&gt;=40%),"&gt;40%",AND(M47&lt;40%,M47&gt;=0%),"&gt;0%"),""))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434</v>
      </c>
      <c r="I48" s="59">
        <v>45175</v>
      </c>
      <c r="J48" t="s">
        <v>535</v>
      </c>
      <c r="L48" s="59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Row],[ASER_]]="","",IFERROR(_xlfn.IFS(M48&gt;=100%,"&gt;100%",AND(M48&lt;100%,M48&gt;=70%),"&gt;70%",AND(M48&lt;70%,M48&gt;=40%),"&gt;40%",AND(M48&lt;40%,M48&gt;=0%),"&gt;0%"),""))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427</v>
      </c>
      <c r="I49" s="59">
        <v>43132</v>
      </c>
      <c r="J49" t="s">
        <v>535</v>
      </c>
      <c r="L49" s="59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Row],[ASER_]]="","",IFERROR(_xlfn.IFS(M49&gt;=100%,"&gt;100%",AND(M49&lt;100%,M49&gt;=70%),"&gt;70%",AND(M49&lt;70%,M49&gt;=40%),"&gt;40%",AND(M49&lt;40%,M49&gt;=0%),"&gt;0%"),""))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452</v>
      </c>
      <c r="I50" s="59">
        <v>45506</v>
      </c>
      <c r="J50" t="s">
        <v>535</v>
      </c>
      <c r="L50" s="59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494</v>
      </c>
      <c r="I51" s="59">
        <v>45804</v>
      </c>
      <c r="J51" t="s">
        <v>535</v>
      </c>
      <c r="L51" s="59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Row],[ASER_]]="","",IFERROR(_xlfn.IFS(M51&gt;=100%,"&gt;100%",AND(M51&lt;100%,M51&gt;=70%),"&gt;70%",AND(M51&lt;70%,M51&gt;=40%),"&gt;40%",AND(M51&lt;40%,M51&gt;=0%),"&gt;0%"),""))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433</v>
      </c>
      <c r="I52" s="59">
        <v>44941</v>
      </c>
      <c r="J52" t="s">
        <v>535</v>
      </c>
      <c r="L52" s="59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Row],[ASER_]]="","",IFERROR(_xlfn.IFS(M52&gt;=100%,"&gt;100%",AND(M52&lt;100%,M52&gt;=70%),"&gt;70%",AND(M52&lt;70%,M52&gt;=40%),"&gt;40%",AND(M52&lt;40%,M52&gt;=0%),"&gt;0%"),""))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481</v>
      </c>
      <c r="I53" s="59">
        <v>44993</v>
      </c>
      <c r="J53" t="s">
        <v>535</v>
      </c>
      <c r="L53" s="59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Row],[ASER_]]="","",IFERROR(_xlfn.IFS(M53&gt;=100%,"&gt;100%",AND(M53&lt;100%,M53&gt;=70%),"&gt;70%",AND(M53&lt;70%,M53&gt;=40%),"&gt;40%",AND(M53&lt;40%,M53&gt;=0%),"&gt;0%"),""))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460</v>
      </c>
      <c r="I54" s="59">
        <v>45285</v>
      </c>
      <c r="J54" t="s">
        <v>535</v>
      </c>
      <c r="L54" s="59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Row],[ASER_]]="","",IFERROR(_xlfn.IFS(M54&gt;=100%,"&gt;100%",AND(M54&lt;100%,M54&gt;=70%),"&gt;70%",AND(M54&lt;70%,M54&gt;=40%),"&gt;40%",AND(M54&lt;40%,M54&gt;=0%),"&gt;0%"),""))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439</v>
      </c>
      <c r="I55" s="59">
        <v>45675</v>
      </c>
      <c r="J55" t="s">
        <v>535</v>
      </c>
      <c r="L55" s="59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Row],[ASER_]]="","",IFERROR(_xlfn.IFS(M55&gt;=100%,"&gt;100%",AND(M55&lt;100%,M55&gt;=70%),"&gt;70%",AND(M55&lt;70%,M55&gt;=40%),"&gt;40%",AND(M55&lt;40%,M55&gt;=0%),"&gt;0%"),""))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479</v>
      </c>
      <c r="I56" s="59">
        <v>44951</v>
      </c>
      <c r="J56" t="s">
        <v>535</v>
      </c>
      <c r="L56" s="59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Row],[ASER_]]="","",IFERROR(_xlfn.IFS(M56&gt;=100%,"&gt;100%",AND(M56&lt;100%,M56&gt;=70%),"&gt;70%",AND(M56&lt;70%,M56&gt;=40%),"&gt;40%",AND(M56&lt;40%,M56&gt;=0%),"&gt;0%"),""))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422</v>
      </c>
      <c r="I57" s="59">
        <v>44470</v>
      </c>
      <c r="J57" t="s">
        <v>535</v>
      </c>
      <c r="L57" s="59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496</v>
      </c>
      <c r="I58" s="59">
        <v>45805</v>
      </c>
      <c r="J58" t="s">
        <v>535</v>
      </c>
      <c r="L58" s="59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Row],[ASER_]]="","",IFERROR(_xlfn.IFS(M58&gt;=100%,"&gt;100%",AND(M58&lt;100%,M58&gt;=70%),"&gt;70%",AND(M58&lt;70%,M58&gt;=40%),"&gt;40%",AND(M58&lt;40%,M58&gt;=0%),"&gt;0%"),""))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491</v>
      </c>
      <c r="I59" s="59">
        <v>45772</v>
      </c>
      <c r="J59" t="s">
        <v>535</v>
      </c>
      <c r="L59" s="59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Row],[ASER_]]="","",IFERROR(_xlfn.IFS(M59&gt;=100%,"&gt;100%",AND(M59&lt;100%,M59&gt;=70%),"&gt;70%",AND(M59&lt;70%,M59&gt;=40%),"&gt;40%",AND(M59&lt;40%,M59&gt;=0%),"&gt;0%"),""))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502</v>
      </c>
      <c r="I60" s="59">
        <v>45818</v>
      </c>
      <c r="J60" t="s">
        <v>535</v>
      </c>
      <c r="L60" s="59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Row],[ASER_]]="","",IFERROR(_xlfn.IFS(M60&gt;=100%,"&gt;100%",AND(M60&lt;100%,M60&gt;=70%),"&gt;70%",AND(M60&lt;70%,M60&gt;=40%),"&gt;40%",AND(M60&lt;40%,M60&gt;=0%),"&gt;0%"),""))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419</v>
      </c>
      <c r="I61" s="59">
        <v>44748</v>
      </c>
      <c r="J61" t="s">
        <v>535</v>
      </c>
      <c r="L61" s="59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Row],[ASER_]]="","",IFERROR(_xlfn.IFS(M61&gt;=100%,"&gt;100%",AND(M61&lt;100%,M61&gt;=70%),"&gt;70%",AND(M61&lt;70%,M61&gt;=40%),"&gt;40%",AND(M61&lt;40%,M61&gt;=0%),"&gt;0%"),""))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466</v>
      </c>
      <c r="I62" s="59">
        <v>44869</v>
      </c>
      <c r="J62" t="s">
        <v>535</v>
      </c>
      <c r="L62" s="59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495</v>
      </c>
      <c r="I63" s="59">
        <v>45803</v>
      </c>
      <c r="J63" t="s">
        <v>535</v>
      </c>
      <c r="L63" s="59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461</v>
      </c>
      <c r="I64" s="59">
        <v>45334</v>
      </c>
      <c r="J64" t="s">
        <v>535</v>
      </c>
      <c r="L64" s="59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Row],[ASER_]]="","",IFERROR(_xlfn.IFS(M64&gt;=100%,"&gt;100%",AND(M64&lt;100%,M64&gt;=70%),"&gt;70%",AND(M64&lt;70%,M64&gt;=40%),"&gt;40%",AND(M64&lt;40%,M64&gt;=0%),"&gt;0%"),""))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459</v>
      </c>
      <c r="I65" s="59">
        <v>45133</v>
      </c>
      <c r="J65" t="s">
        <v>535</v>
      </c>
      <c r="L65" s="59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414</v>
      </c>
      <c r="I66" s="59">
        <v>45304</v>
      </c>
      <c r="J66" t="s">
        <v>535</v>
      </c>
      <c r="L66" s="59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446</v>
      </c>
      <c r="I67" s="59">
        <v>45451</v>
      </c>
      <c r="J67" t="s">
        <v>535</v>
      </c>
      <c r="L67" s="59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Row],[ASER_]]="","",IFERROR(_xlfn.IFS(M67&gt;=100%,"&gt;100%",AND(M67&lt;100%,M67&gt;=70%),"&gt;70%",AND(M67&lt;70%,M67&gt;=40%),"&gt;40%",AND(M67&lt;40%,M67&gt;=0%),"&gt;0%"),""))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462</v>
      </c>
      <c r="I68" s="59">
        <v>44937</v>
      </c>
      <c r="J68" t="s">
        <v>535</v>
      </c>
      <c r="L68" s="59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Row],[ASER_]]="","",IFERROR(_xlfn.IFS(M68&gt;=100%,"&gt;100%",AND(M68&lt;100%,M68&gt;=70%),"&gt;70%",AND(M68&lt;70%,M68&gt;=40%),"&gt;40%",AND(M68&lt;40%,M68&gt;=0%),"&gt;0%"),""))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451</v>
      </c>
      <c r="I69" s="59">
        <v>45429</v>
      </c>
      <c r="J69" t="s">
        <v>535</v>
      </c>
      <c r="L69" s="59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Row],[ASER_]]="","",IFERROR(_xlfn.IFS(M69&gt;=100%,"&gt;100%",AND(M69&lt;100%,M69&gt;=70%),"&gt;70%",AND(M69&lt;70%,M69&gt;=40%),"&gt;40%",AND(M69&lt;40%,M69&gt;=0%),"&gt;0%"),""))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442</v>
      </c>
      <c r="I70" s="59">
        <v>45399</v>
      </c>
      <c r="J70" t="s">
        <v>535</v>
      </c>
      <c r="L70" s="59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Row],[ASER_]]="","",IFERROR(_xlfn.IFS(M70&gt;=100%,"&gt;100%",AND(M70&lt;100%,M70&gt;=70%),"&gt;70%",AND(M70&lt;70%,M70&gt;=40%),"&gt;40%",AND(M70&lt;40%,M70&gt;=0%),"&gt;0%"),""))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498</v>
      </c>
      <c r="I71" s="59">
        <v>45793</v>
      </c>
      <c r="J71" t="s">
        <v>535</v>
      </c>
      <c r="L71" s="59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Row],[ASER_]]="","",IFERROR(_xlfn.IFS(M71&gt;=100%,"&gt;100%",AND(M71&lt;100%,M71&gt;=70%),"&gt;70%",AND(M71&lt;70%,M71&gt;=40%),"&gt;40%",AND(M71&lt;40%,M71&gt;=0%),"&gt;0%"),""))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448</v>
      </c>
      <c r="I72" s="59">
        <v>44748</v>
      </c>
      <c r="J72" t="s">
        <v>535</v>
      </c>
      <c r="L72" s="59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Row],[ASER_]]="","",IFERROR(_xlfn.IFS(M72&gt;=100%,"&gt;100%",AND(M72&lt;100%,M72&gt;=70%),"&gt;70%",AND(M72&lt;70%,M72&gt;=40%),"&gt;40%",AND(M72&lt;40%,M72&gt;=0%),"&gt;0%"),""))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503</v>
      </c>
      <c r="I73" s="59">
        <v>38525</v>
      </c>
      <c r="J73" t="s">
        <v>535</v>
      </c>
      <c r="L73" s="59"/>
      <c r="M73" s="1">
        <f>DATA_JUNIO_2025[[#This Row],[RECUPERO]]/DATA_JUNIO_2025[[#This Row],[META]]</f>
        <v>0.754</v>
      </c>
      <c r="N73" t="str" cm="1">
        <f t="array" ref="N73">IF(DATA_JUNIO_2025[[#This Row],[ASER_]]="","",IFERROR(_xlfn.IFS(M73&gt;=100%,"&gt;100%",AND(M73&lt;100%,M73&gt;=70%),"&gt;70%",AND(M73&lt;70%,M73&gt;=40%),"&gt;40%",AND(M73&lt;40%,M73&gt;=0%),"&gt;0%"),""))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437</v>
      </c>
      <c r="I74" s="59">
        <v>44735</v>
      </c>
      <c r="J74" t="s">
        <v>535</v>
      </c>
      <c r="L74" s="59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Row],[ASER_]]="","",IFERROR(_xlfn.IFS(M74&gt;=100%,"&gt;100%",AND(M74&lt;100%,M74&gt;=70%),"&gt;70%",AND(M74&lt;70%,M74&gt;=40%),"&gt;40%",AND(M74&lt;40%,M74&gt;=0%),"&gt;0%"),""))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424</v>
      </c>
      <c r="I75" s="59">
        <v>44945</v>
      </c>
      <c r="J75" t="s">
        <v>535</v>
      </c>
      <c r="L75" s="59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Row],[ASER_]]="","",IFERROR(_xlfn.IFS(M75&gt;=100%,"&gt;100%",AND(M75&lt;100%,M75&gt;=70%),"&gt;70%",AND(M75&lt;70%,M75&gt;=40%),"&gt;40%",AND(M75&lt;40%,M75&gt;=0%),"&gt;0%"),""))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417</v>
      </c>
      <c r="I76" s="59">
        <v>45530</v>
      </c>
      <c r="J76" t="s">
        <v>535</v>
      </c>
      <c r="L76" s="59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Row],[ASER_]]="","",IFERROR(_xlfn.IFS(M76&gt;=100%,"&gt;100%",AND(M76&lt;100%,M76&gt;=70%),"&gt;70%",AND(M76&lt;70%,M76&gt;=40%),"&gt;40%",AND(M76&lt;40%,M76&gt;=0%),"&gt;0%"),""))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447</v>
      </c>
      <c r="I77" s="59">
        <v>45145</v>
      </c>
      <c r="J77" t="s">
        <v>535</v>
      </c>
      <c r="L77" s="59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Row],[ASER_]]="","",IFERROR(_xlfn.IFS(M77&gt;=100%,"&gt;100%",AND(M77&lt;100%,M77&gt;=70%),"&gt;70%",AND(M77&lt;70%,M77&gt;=40%),"&gt;40%",AND(M77&lt;40%,M77&gt;=0%),"&gt;0%"),""))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463</v>
      </c>
      <c r="I78" s="59">
        <v>42814</v>
      </c>
      <c r="J78" t="s">
        <v>535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Row],[ASER_]]="","",IFERROR(_xlfn.IFS(M78&gt;=100%,"&gt;100%",AND(M78&lt;100%,M78&gt;=70%),"&gt;70%",AND(M78&lt;70%,M78&gt;=40%),"&gt;40%",AND(M78&lt;40%,M78&gt;=0%),"&gt;0%"),""))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483</v>
      </c>
      <c r="I79" s="59">
        <v>44104</v>
      </c>
      <c r="J79" t="s">
        <v>535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Row],[ASER_]]="","",IFERROR(_xlfn.IFS(M79&gt;=100%,"&gt;100%",AND(M79&lt;100%,M79&gt;=70%),"&gt;70%",AND(M79&lt;70%,M79&gt;=40%),"&gt;40%",AND(M79&lt;40%,M79&gt;=0%),"&gt;0%"),""))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440</v>
      </c>
      <c r="I80" s="59">
        <v>45674</v>
      </c>
      <c r="J80" t="s">
        <v>535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Row],[ASER_]]="","",IFERROR(_xlfn.IFS(M80&gt;=100%,"&gt;100%",AND(M80&lt;100%,M80&gt;=70%),"&gt;70%",AND(M80&lt;70%,M80&gt;=40%),"&gt;40%",AND(M80&lt;40%,M80&gt;=0%),"&gt;0%"),""))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500</v>
      </c>
      <c r="I81" s="59">
        <v>45800</v>
      </c>
      <c r="J81" t="s">
        <v>535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504</v>
      </c>
      <c r="I82" s="59">
        <v>45832</v>
      </c>
      <c r="J82" t="s">
        <v>535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Row],[ASER_]]="","",IFERROR(_xlfn.IFS(M82&gt;=100%,"&gt;100%",AND(M82&lt;100%,M82&gt;=70%),"&gt;70%",AND(M82&lt;70%,M82&gt;=40%),"&gt;40%",AND(M82&lt;40%,M82&gt;=0%),"&gt;0%"),""))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475</v>
      </c>
      <c r="I83" s="59">
        <v>45399</v>
      </c>
      <c r="J83" t="s">
        <v>535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Row],[ASER_]]="","",IFERROR(_xlfn.IFS(M83&gt;=100%,"&gt;100%",AND(M83&lt;100%,M83&gt;=70%),"&gt;70%",AND(M83&lt;70%,M83&gt;=40%),"&gt;40%",AND(M83&lt;40%,M83&gt;=0%),"&gt;0%"),""))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I89"/>
  <sheetViews>
    <sheetView topLeftCell="B65" zoomScale="70" zoomScaleNormal="70" workbookViewId="0">
      <selection activeCell="P8" sqref="P8:R89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87" ht="15" customHeight="1" x14ac:dyDescent="0.25">
      <c r="L1" s="59"/>
    </row>
    <row r="2" spans="1:87" ht="15" customHeight="1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2" t="s">
        <v>403</v>
      </c>
      <c r="I2" s="62" t="s">
        <v>405</v>
      </c>
      <c r="J2" s="67" t="s">
        <v>533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s="2" t="str">
        <f>D1_JULIO_2025[[#This Row],[SUPER2]]</f>
        <v>SANDY</v>
      </c>
      <c r="B3" s="2" t="str">
        <f>D1_JULIO_2025[[#This Row],[ASESOR]]</f>
        <v>VICTOR RAMIREZ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435</v>
      </c>
      <c r="I3" s="59">
        <v>44819</v>
      </c>
      <c r="J3" t="s">
        <v>535</v>
      </c>
      <c r="L3" s="59"/>
      <c r="M3" s="34">
        <v>2025</v>
      </c>
      <c r="N3" s="34" t="s">
        <v>145</v>
      </c>
      <c r="O3" s="34">
        <v>20</v>
      </c>
    </row>
    <row r="4" spans="1:87" x14ac:dyDescent="0.25">
      <c r="A4" s="2" t="str">
        <f>D1_JULIO_2025[[#This Row],[SUPER2]]</f>
        <v>SANDY</v>
      </c>
      <c r="B4" s="2" t="str">
        <f>D1_JULIO_2025[[#This Row],[ASESOR]]</f>
        <v>LISELY MERA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472</v>
      </c>
      <c r="I4" s="59">
        <v>44111</v>
      </c>
      <c r="J4" t="s">
        <v>535</v>
      </c>
      <c r="L4" s="59"/>
    </row>
    <row r="5" spans="1:87" x14ac:dyDescent="0.25">
      <c r="A5" s="2" t="str">
        <f>D1_JULIO_2025[[#This Row],[SUPER2]]</f>
        <v>SANDY</v>
      </c>
      <c r="B5" s="2" t="str">
        <f>D1_JULIO_2025[[#This Row],[ASESOR]]</f>
        <v>EVELY TENORIO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469</v>
      </c>
      <c r="I5" s="59">
        <v>45299</v>
      </c>
      <c r="J5" t="s">
        <v>535</v>
      </c>
      <c r="L5" s="59"/>
    </row>
    <row r="6" spans="1:87" x14ac:dyDescent="0.25">
      <c r="A6" s="2" t="str">
        <f>D1_JULIO_2025[[#This Row],[SUPER2]]</f>
        <v>SANDY</v>
      </c>
      <c r="B6" s="2" t="str">
        <f>D1_JULIO_2025[[#This Row],[ASESOR]]</f>
        <v>MALORY MONTEBLANCO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473</v>
      </c>
      <c r="I6" s="59">
        <v>44820</v>
      </c>
      <c r="J6" t="s">
        <v>535</v>
      </c>
      <c r="L6" s="59"/>
    </row>
    <row r="7" spans="1:87" x14ac:dyDescent="0.25">
      <c r="A7" s="2" t="str">
        <f>D1_JULIO_2025[[#This Row],[SUPER2]]</f>
        <v>SANDY</v>
      </c>
      <c r="B7" s="2" t="str">
        <f>D1_JULIO_2025[[#This Row],[ASESOR]]</f>
        <v>FRANCO HUAMANI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461</v>
      </c>
      <c r="I7" s="59">
        <v>45334</v>
      </c>
      <c r="J7" t="s">
        <v>535</v>
      </c>
      <c r="L7" s="59"/>
    </row>
    <row r="8" spans="1:87" x14ac:dyDescent="0.25">
      <c r="A8" s="2" t="str">
        <f>D1_JULIO_2025[[#This Row],[SUPER2]]</f>
        <v>SANDY</v>
      </c>
      <c r="B8" s="2" t="str">
        <f>D1_JULIO_2025[[#This Row],[ASESOR]]</f>
        <v>JENY LAZARO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418</v>
      </c>
      <c r="I8" s="59">
        <v>44259</v>
      </c>
      <c r="J8" t="s">
        <v>535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8" t="s">
        <v>567</v>
      </c>
      <c r="T8" s="78" t="s">
        <v>537</v>
      </c>
      <c r="U8" s="78" t="s">
        <v>559</v>
      </c>
      <c r="V8" s="78" t="s">
        <v>563</v>
      </c>
      <c r="W8" s="78" t="s">
        <v>538</v>
      </c>
      <c r="X8" s="78" t="s">
        <v>539</v>
      </c>
      <c r="Y8" s="78" t="s">
        <v>540</v>
      </c>
      <c r="Z8" s="78" t="s">
        <v>541</v>
      </c>
      <c r="AA8" s="78" t="s">
        <v>542</v>
      </c>
      <c r="AB8" s="78" t="s">
        <v>560</v>
      </c>
      <c r="AC8" s="78" t="s">
        <v>564</v>
      </c>
      <c r="AD8" s="78" t="s">
        <v>543</v>
      </c>
      <c r="AE8" s="78" t="s">
        <v>544</v>
      </c>
      <c r="AF8" s="78" t="s">
        <v>545</v>
      </c>
      <c r="AG8" s="78" t="s">
        <v>546</v>
      </c>
      <c r="AH8" s="78" t="s">
        <v>547</v>
      </c>
      <c r="AI8" s="78" t="s">
        <v>561</v>
      </c>
      <c r="AJ8" s="78" t="s">
        <v>565</v>
      </c>
      <c r="AK8" s="78" t="s">
        <v>548</v>
      </c>
      <c r="AL8" s="78" t="s">
        <v>549</v>
      </c>
      <c r="AM8" s="78" t="s">
        <v>550</v>
      </c>
      <c r="AN8" s="78" t="s">
        <v>551</v>
      </c>
      <c r="AO8" s="78" t="s">
        <v>552</v>
      </c>
      <c r="AP8" s="78" t="s">
        <v>562</v>
      </c>
      <c r="AQ8" s="78" t="s">
        <v>566</v>
      </c>
      <c r="AR8" s="78" t="s">
        <v>553</v>
      </c>
      <c r="AS8" s="78" t="s">
        <v>554</v>
      </c>
      <c r="AT8" s="78" t="s">
        <v>555</v>
      </c>
      <c r="AU8" s="78" t="s">
        <v>556</v>
      </c>
      <c r="AV8" s="78" t="s">
        <v>557</v>
      </c>
      <c r="AW8" s="78" t="s">
        <v>558</v>
      </c>
      <c r="AX8" s="72" t="s">
        <v>536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567</v>
      </c>
      <c r="BE8" s="41" t="s">
        <v>537</v>
      </c>
      <c r="BF8" s="41" t="s">
        <v>559</v>
      </c>
      <c r="BG8" s="41" t="s">
        <v>563</v>
      </c>
      <c r="BH8" s="41" t="s">
        <v>538</v>
      </c>
      <c r="BI8" s="41" t="s">
        <v>539</v>
      </c>
      <c r="BJ8" s="41" t="s">
        <v>540</v>
      </c>
      <c r="BK8" s="41" t="s">
        <v>541</v>
      </c>
      <c r="BL8" s="41" t="s">
        <v>542</v>
      </c>
      <c r="BM8" s="41" t="s">
        <v>560</v>
      </c>
      <c r="BN8" s="41" t="s">
        <v>564</v>
      </c>
      <c r="BO8" s="41" t="s">
        <v>543</v>
      </c>
      <c r="BP8" s="41" t="s">
        <v>544</v>
      </c>
      <c r="BQ8" s="41" t="s">
        <v>545</v>
      </c>
      <c r="BR8" s="41" t="s">
        <v>546</v>
      </c>
      <c r="BS8" s="41" t="s">
        <v>547</v>
      </c>
      <c r="BT8" s="41" t="s">
        <v>561</v>
      </c>
      <c r="BU8" s="41" t="s">
        <v>565</v>
      </c>
      <c r="BV8" s="41" t="s">
        <v>548</v>
      </c>
      <c r="BW8" s="41" t="s">
        <v>549</v>
      </c>
      <c r="BX8" s="41" t="s">
        <v>550</v>
      </c>
      <c r="BY8" s="41" t="s">
        <v>551</v>
      </c>
      <c r="BZ8" s="41" t="s">
        <v>552</v>
      </c>
      <c r="CA8" s="41" t="s">
        <v>562</v>
      </c>
      <c r="CB8" s="41" t="s">
        <v>566</v>
      </c>
      <c r="CC8" s="41" t="s">
        <v>553</v>
      </c>
      <c r="CD8" s="41" t="s">
        <v>554</v>
      </c>
      <c r="CE8" s="41" t="s">
        <v>555</v>
      </c>
      <c r="CF8" s="41" t="s">
        <v>556</v>
      </c>
      <c r="CG8" s="41" t="s">
        <v>557</v>
      </c>
      <c r="CH8" s="41" t="s">
        <v>558</v>
      </c>
      <c r="CI8" s="19" t="s">
        <v>134</v>
      </c>
    </row>
    <row r="9" spans="1:87" x14ac:dyDescent="0.25">
      <c r="A9" s="2" t="str">
        <f>D1_JULIO_2025[[#This Row],[SUPER2]]</f>
        <v>SANDY</v>
      </c>
      <c r="B9" s="2" t="str">
        <f>D1_JULIO_2025[[#This Row],[ASESOR]]</f>
        <v>LUIS VALLADARES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443</v>
      </c>
      <c r="I9" s="59">
        <v>44687</v>
      </c>
      <c r="J9" t="s">
        <v>535</v>
      </c>
      <c r="L9" s="59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Row],[ASER_]]="","",IFERROR(_xlfn.IFS(M9&gt;=100%,"&gt;100%",AND(M9&lt;100%,M9&gt;=70%),"&gt;70%",AND(M9&lt;70%,M9&gt;=40%),"&gt;40%",AND(M9&lt;40%,M9&gt;=0%),"&gt;0%"),""))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2">
        <v>87646.3</v>
      </c>
      <c r="BB9" s="18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2" t="s">
        <v>153</v>
      </c>
    </row>
    <row r="10" spans="1:87" x14ac:dyDescent="0.25">
      <c r="A10" s="2" t="str">
        <f>D1_JULIO_2025[[#This Row],[SUPER2]]</f>
        <v>SANDY</v>
      </c>
      <c r="B10" s="2" t="str">
        <f>D1_JULIO_2025[[#This Row],[ASESOR]]</f>
        <v>ERICK PORTILLA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505</v>
      </c>
      <c r="I10" s="59">
        <v>45845</v>
      </c>
      <c r="J10" t="s">
        <v>535</v>
      </c>
      <c r="L10" s="59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Row],[ASER_]]="","",IFERROR(_xlfn.IFS(M10&gt;=100%,"&gt;100%",AND(M10&lt;100%,M10&gt;=70%),"&gt;70%",AND(M10&lt;70%,M10&gt;=40%),"&gt;40%",AND(M10&lt;40%,M10&gt;=0%),"&gt;0%"),""))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2">
        <v>236090.5</v>
      </c>
      <c r="BB10" s="18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2" t="s">
        <v>150</v>
      </c>
    </row>
    <row r="11" spans="1:87" x14ac:dyDescent="0.25">
      <c r="A11" s="2" t="str">
        <f>D1_JULIO_2025[[#This Row],[SUPER2]]</f>
        <v>SANDY</v>
      </c>
      <c r="B11" s="2" t="str">
        <f>D1_JULIO_2025[[#This Row],[ASESOR]]</f>
        <v>GABRIELA APONTE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439</v>
      </c>
      <c r="I11" s="59">
        <v>45675</v>
      </c>
      <c r="J11" t="s">
        <v>535</v>
      </c>
      <c r="L11" s="59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Row],[ASER_]]="","",IFERROR(_xlfn.IFS(M11&gt;=100%,"&gt;100%",AND(M11&lt;100%,M11&gt;=70%),"&gt;70%",AND(M11&lt;70%,M11&gt;=40%),"&gt;40%",AND(M11&lt;40%,M11&gt;=0%),"&gt;0%"),""))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2">
        <v>295647</v>
      </c>
      <c r="BB11" s="18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2" t="s">
        <v>150</v>
      </c>
    </row>
    <row r="12" spans="1:87" x14ac:dyDescent="0.25">
      <c r="A12" s="2" t="str">
        <f>D1_JULIO_2025[[#This Row],[SUPER2]]</f>
        <v>SANDY</v>
      </c>
      <c r="B12" s="2" t="str">
        <f>D1_JULIO_2025[[#This Row],[ASESOR]]</f>
        <v>TERRY ECHEVARRIA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475</v>
      </c>
      <c r="I12" s="59">
        <v>45399</v>
      </c>
      <c r="J12" t="s">
        <v>535</v>
      </c>
      <c r="L12" s="59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Row],[ASER_]]="","",IFERROR(_xlfn.IFS(M12&gt;=100%,"&gt;100%",AND(M12&lt;100%,M12&gt;=70%),"&gt;70%",AND(M12&lt;70%,M12&gt;=40%),"&gt;40%",AND(M12&lt;40%,M12&gt;=0%),"&gt;0%"),""))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2">
        <v>317517.38</v>
      </c>
      <c r="BB12" s="18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2" t="s">
        <v>156</v>
      </c>
    </row>
    <row r="13" spans="1:87" x14ac:dyDescent="0.25">
      <c r="A13" s="2" t="str">
        <f>D1_JULIO_2025[[#This Row],[SUPER2]]</f>
        <v>MELINA</v>
      </c>
      <c r="B13" s="2" t="str">
        <f>D1_JULIO_2025[[#This Row],[ASESOR]]</f>
        <v>PIERINA TESEN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457</v>
      </c>
      <c r="I13" s="59">
        <v>45348</v>
      </c>
      <c r="J13" t="s">
        <v>535</v>
      </c>
      <c r="L13" s="59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Row],[ASER_]]="","",IFERROR(_xlfn.IFS(M13&gt;=100%,"&gt;100%",AND(M13&lt;100%,M13&gt;=70%),"&gt;70%",AND(M13&lt;70%,M13&gt;=40%),"&gt;40%",AND(M13&lt;40%,M13&gt;=0%),"&gt;0%"),""))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2">
        <v>138518</v>
      </c>
      <c r="BB13" s="18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2" t="s">
        <v>152</v>
      </c>
    </row>
    <row r="14" spans="1:87" x14ac:dyDescent="0.25">
      <c r="A14" s="2" t="str">
        <f>D1_JULIO_2025[[#This Row],[SUPER2]]</f>
        <v>MELINA</v>
      </c>
      <c r="B14" s="2" t="str">
        <f>D1_JULIO_2025[[#This Row],[ASESOR]]</f>
        <v>MARIA TINTAYA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455</v>
      </c>
      <c r="I14" s="59">
        <v>44716</v>
      </c>
      <c r="J14" t="s">
        <v>535</v>
      </c>
      <c r="L14" s="59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Row],[ASER_]]="","",IFERROR(_xlfn.IFS(M14&gt;=100%,"&gt;100%",AND(M14&lt;100%,M14&gt;=70%),"&gt;70%",AND(M14&lt;70%,M14&gt;=40%),"&gt;40%",AND(M14&lt;40%,M14&gt;=0%),"&gt;0%"),""))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2">
        <v>115774</v>
      </c>
      <c r="BB14" s="18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2" t="s">
        <v>153</v>
      </c>
    </row>
    <row r="15" spans="1:87" x14ac:dyDescent="0.25">
      <c r="A15" s="2" t="str">
        <f>D1_JULIO_2025[[#This Row],[SUPER2]]</f>
        <v>MELINA</v>
      </c>
      <c r="B15" s="2" t="str">
        <f>D1_JULIO_2025[[#This Row],[ASESOR]]</f>
        <v>ALEJANDRA QUISPE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468</v>
      </c>
      <c r="I15" s="59">
        <v>43035</v>
      </c>
      <c r="J15" t="s">
        <v>535</v>
      </c>
      <c r="L15" s="59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Row],[ASER_]]="","",IFERROR(_xlfn.IFS(M15&gt;=100%,"&gt;100%",AND(M15&lt;100%,M15&gt;=70%),"&gt;70%",AND(M15&lt;70%,M15&gt;=40%),"&gt;40%",AND(M15&lt;40%,M15&gt;=0%),"&gt;0%"),""))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2">
        <v>564638.38</v>
      </c>
      <c r="BB15" s="18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2" t="s">
        <v>155</v>
      </c>
    </row>
    <row r="16" spans="1:87" x14ac:dyDescent="0.25">
      <c r="A16" s="2" t="str">
        <f>D1_JULIO_2025[[#This Row],[SUPER2]]</f>
        <v>MELINA</v>
      </c>
      <c r="B16" s="2" t="str">
        <f>D1_JULIO_2025[[#This Row],[ASESOR]]</f>
        <v>MELISSA GUERRERO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413</v>
      </c>
      <c r="I16" s="59">
        <v>45334</v>
      </c>
      <c r="J16" t="s">
        <v>535</v>
      </c>
      <c r="L16" s="59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Row],[ASER_]]="","",IFERROR(_xlfn.IFS(M16&gt;=100%,"&gt;100%",AND(M16&lt;100%,M16&gt;=70%),"&gt;70%",AND(M16&lt;70%,M16&gt;=40%),"&gt;40%",AND(M16&lt;40%,M16&gt;=0%),"&gt;0%"),""))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2">
        <v>538920.89</v>
      </c>
      <c r="BB16" s="18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2" t="s">
        <v>155</v>
      </c>
    </row>
    <row r="17" spans="1:50" x14ac:dyDescent="0.25">
      <c r="A17" s="2" t="str">
        <f>D1_JULIO_2025[[#This Row],[SUPER2]]</f>
        <v>MELINA</v>
      </c>
      <c r="B17" s="2" t="str">
        <f>D1_JULIO_2025[[#This Row],[ASESOR]]</f>
        <v>MICAELA PEREZ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482</v>
      </c>
      <c r="I17" s="59">
        <v>45700</v>
      </c>
      <c r="J17" t="s">
        <v>535</v>
      </c>
      <c r="L17" s="59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Row],[ASER_]]="","",IFERROR(_xlfn.IFS(M17&gt;=100%,"&gt;100%",AND(M17&lt;100%,M17&gt;=70%),"&gt;70%",AND(M17&lt;70%,M17&gt;=40%),"&gt;40%",AND(M17&lt;40%,M17&gt;=0%),"&gt;0%"),""))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tr">
        <f>D1_JULIO_2025[[#This Row],[ASESOR]]</f>
        <v>CRISTINA TICONA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438</v>
      </c>
      <c r="I18" s="59">
        <v>44909</v>
      </c>
      <c r="J18" t="s">
        <v>535</v>
      </c>
      <c r="L18" s="59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Row],[ASER_]]="","",IFERROR(_xlfn.IFS(M18&gt;=100%,"&gt;100%",AND(M18&lt;100%,M18&gt;=70%),"&gt;70%",AND(M18&lt;70%,M18&gt;=40%),"&gt;40%",AND(M18&lt;40%,M18&gt;=0%),"&gt;0%"),""))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tr">
        <f>D1_JULIO_2025[[#This Row],[ASESOR]]</f>
        <v>JAIR MARTINEZ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470</v>
      </c>
      <c r="I19" s="59">
        <v>45590</v>
      </c>
      <c r="J19" t="s">
        <v>535</v>
      </c>
      <c r="L19" s="59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Row],[ASER_]]="","",IFERROR(_xlfn.IFS(M19&gt;=100%,"&gt;100%",AND(M19&lt;100%,M19&gt;=70%),"&gt;70%",AND(M19&lt;70%,M19&gt;=40%),"&gt;40%",AND(M19&lt;40%,M19&gt;=0%),"&gt;0%"),""))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tr">
        <f>D1_JULIO_2025[[#This Row],[ASESOR]]</f>
        <v>JHONATAN CHAVEZ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465</v>
      </c>
      <c r="I20" s="59">
        <v>45021</v>
      </c>
      <c r="J20" t="s">
        <v>535</v>
      </c>
      <c r="L20" s="59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Row],[ASER_]]="","",IFERROR(_xlfn.IFS(M20&gt;=100%,"&gt;100%",AND(M20&lt;100%,M20&gt;=70%),"&gt;70%",AND(M20&lt;70%,M20&gt;=40%),"&gt;40%",AND(M20&lt;40%,M20&gt;=0%),"&gt;0%"),""))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tr">
        <f>D1_JULIO_2025[[#This Row],[ASESOR]]</f>
        <v>ANALUCIA PONCE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450</v>
      </c>
      <c r="I21" s="59">
        <v>45323</v>
      </c>
      <c r="J21" t="s">
        <v>535</v>
      </c>
      <c r="L21" s="59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Row],[ASER_]]="","",IFERROR(_xlfn.IFS(M21&gt;=100%,"&gt;100%",AND(M21&lt;100%,M21&gt;=70%),"&gt;70%",AND(M21&lt;70%,M21&gt;=40%),"&gt;40%",AND(M21&lt;40%,M21&gt;=0%),"&gt;0%"),""))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tr">
        <f>D1_JULIO_2025[[#This Row],[ASESOR]]</f>
        <v>RICHARD RODRIGUEZ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474</v>
      </c>
      <c r="I22" s="59">
        <v>45316</v>
      </c>
      <c r="J22" t="s">
        <v>535</v>
      </c>
      <c r="L22" s="59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Row],[ASER_]]="","",IFERROR(_xlfn.IFS(M22&gt;=100%,"&gt;100%",AND(M22&lt;100%,M22&gt;=70%),"&gt;70%",AND(M22&lt;70%,M22&gt;=40%),"&gt;40%",AND(M22&lt;40%,M22&gt;=0%),"&gt;0%"),""))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tr">
        <f>D1_JULIO_2025[[#This Row],[ASESOR]]</f>
        <v>DANIEL ZAPATA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460</v>
      </c>
      <c r="I23" s="59">
        <v>45285</v>
      </c>
      <c r="J23" t="s">
        <v>535</v>
      </c>
      <c r="L23" s="59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Row],[ASER_]]="","",IFERROR(_xlfn.IFS(M23&gt;=100%,"&gt;100%",AND(M23&lt;100%,M23&gt;=70%),"&gt;70%",AND(M23&lt;70%,M23&gt;=40%),"&gt;40%",AND(M23&lt;40%,M23&gt;=0%),"&gt;0%"),""))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tr">
        <f>D1_JULIO_2025[[#This Row],[ASESOR]]</f>
        <v>FRANS TACSI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415</v>
      </c>
      <c r="I24" s="59">
        <v>45334</v>
      </c>
      <c r="J24" t="s">
        <v>535</v>
      </c>
      <c r="L24" s="59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tr">
        <f>D1_JULIO_2025[[#This Row],[ASESOR]]</f>
        <v>VERONICA TASAYCO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476</v>
      </c>
      <c r="I25" s="59">
        <v>44706</v>
      </c>
      <c r="J25" t="s">
        <v>535</v>
      </c>
      <c r="L25" s="59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tr">
        <f>D1_JULIO_2025[[#This Row],[ASESOR]]</f>
        <v>MARGARITA PIANCHACHI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412</v>
      </c>
      <c r="I26" s="59">
        <v>44888</v>
      </c>
      <c r="J26" t="s">
        <v>535</v>
      </c>
      <c r="L26" s="59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Row],[ASER_]]="","",IFERROR(_xlfn.IFS(M26&gt;=100%,"&gt;100%",AND(M26&lt;100%,M26&gt;=70%),"&gt;70%",AND(M26&lt;70%,M26&gt;=40%),"&gt;40%",AND(M26&lt;40%,M26&gt;=0%),"&gt;0%"),""))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tr">
        <f>D1_JULIO_2025[[#This Row],[ASESOR]]</f>
        <v>GENESIS VICUNA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416</v>
      </c>
      <c r="I27" s="59">
        <v>44870</v>
      </c>
      <c r="J27" t="s">
        <v>535</v>
      </c>
      <c r="L27" s="59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tr">
        <f>D1_JULIO_2025[[#This Row],[ASESOR]]</f>
        <v>MILAGROS QUIO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456</v>
      </c>
      <c r="I28" s="59">
        <v>45371</v>
      </c>
      <c r="J28" t="s">
        <v>535</v>
      </c>
      <c r="L28" s="59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Row],[ASER_]]="","",IFERROR(_xlfn.IFS(M28&gt;=100%,"&gt;100%",AND(M28&lt;100%,M28&gt;=70%),"&gt;70%",AND(M28&lt;70%,M28&gt;=40%),"&gt;40%",AND(M28&lt;40%,M28&gt;=0%),"&gt;0%"),""))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tr">
        <f>D1_JULIO_2025[[#This Row],[ASESOR]]</f>
        <v>ANDERSON RODRIGUEZ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437</v>
      </c>
      <c r="I29" s="59">
        <v>44735</v>
      </c>
      <c r="J29" t="s">
        <v>535</v>
      </c>
      <c r="L29" s="59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Row],[ASER_]]="","",IFERROR(_xlfn.IFS(M29&gt;=100%,"&gt;100%",AND(M29&lt;100%,M29&gt;=70%),"&gt;70%",AND(M29&lt;70%,M29&gt;=40%),"&gt;40%",AND(M29&lt;40%,M29&gt;=0%),"&gt;0%"),""))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tr">
        <f>D1_JULIO_2025[[#This Row],[ASESOR]]</f>
        <v>BRINA SOTO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459</v>
      </c>
      <c r="I30" s="59">
        <v>45133</v>
      </c>
      <c r="J30" t="s">
        <v>535</v>
      </c>
      <c r="L30" s="59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Row],[ASER_]]="","",IFERROR(_xlfn.IFS(M30&gt;=100%,"&gt;100%",AND(M30&lt;100%,M30&gt;=70%),"&gt;70%",AND(M30&lt;70%,M30&gt;=40%),"&gt;40%",AND(M30&lt;40%,M30&gt;=0%),"&gt;0%"),""))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tr">
        <f>D1_JULIO_2025[[#This Row],[ASESOR]]</f>
        <v>GIANFRANCO PINEDO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409</v>
      </c>
      <c r="I31" s="59">
        <v>44811</v>
      </c>
      <c r="J31" t="s">
        <v>535</v>
      </c>
      <c r="L31" s="59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Row],[ASER_]]="","",IFERROR(_xlfn.IFS(M31&gt;=100%,"&gt;100%",AND(M31&lt;100%,M31&gt;=70%),"&gt;70%",AND(M31&lt;70%,M31&gt;=40%),"&gt;40%",AND(M31&lt;40%,M31&gt;=0%),"&gt;0%"),""))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tr">
        <f>D1_JULIO_2025[[#This Row],[ASESOR]]</f>
        <v>SOLMAIRA BRAVO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493</v>
      </c>
      <c r="I32" s="59">
        <v>45798</v>
      </c>
      <c r="J32" t="s">
        <v>535</v>
      </c>
      <c r="L32" s="59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Row],[ASER_]]="","",IFERROR(_xlfn.IFS(M32&gt;=100%,"&gt;100%",AND(M32&lt;100%,M32&gt;=70%),"&gt;70%",AND(M32&lt;70%,M32&gt;=40%),"&gt;40%",AND(M32&lt;40%,M32&gt;=0%),"&gt;0%"),""))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tr">
        <f>D1_JULIO_2025[[#This Row],[ASESOR]]</f>
        <v>AURORA FAUSTOR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408</v>
      </c>
      <c r="I33" s="59">
        <v>44811</v>
      </c>
      <c r="J33" t="s">
        <v>535</v>
      </c>
      <c r="L33" s="59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Row],[ASER_]]="","",IFERROR(_xlfn.IFS(M33&gt;=100%,"&gt;100%",AND(M33&lt;100%,M33&gt;=70%),"&gt;70%",AND(M33&lt;70%,M33&gt;=40%),"&gt;40%",AND(M33&lt;40%,M33&gt;=0%),"&gt;0%"),""))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tr">
        <f>D1_JULIO_2025[[#This Row],[ASESOR]]</f>
        <v>MERLY CORONEL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445</v>
      </c>
      <c r="I34" s="59">
        <v>44971</v>
      </c>
      <c r="J34" t="s">
        <v>535</v>
      </c>
      <c r="L34" s="59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Row],[ASER_]]="","",IFERROR(_xlfn.IFS(M34&gt;=100%,"&gt;100%",AND(M34&lt;100%,M34&gt;=70%),"&gt;70%",AND(M34&lt;70%,M34&gt;=40%),"&gt;40%",AND(M34&lt;40%,M34&gt;=0%),"&gt;0%"),""))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tr">
        <f>D1_JULIO_2025[[#This Row],[ASESOR]]</f>
        <v>GILBERTO PURIZACA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410</v>
      </c>
      <c r="I35" s="59">
        <v>45457</v>
      </c>
      <c r="J35" t="s">
        <v>535</v>
      </c>
      <c r="L35" s="59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Row],[ASER_]]="","",IFERROR(_xlfn.IFS(M35&gt;=100%,"&gt;100%",AND(M35&lt;100%,M35&gt;=70%),"&gt;70%",AND(M35&lt;70%,M35&gt;=40%),"&gt;40%",AND(M35&lt;40%,M35&gt;=0%),"&gt;0%"),""))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tr">
        <f>D1_JULIO_2025[[#This Row],[ASESOR]]</f>
        <v>ERIKA VILLAR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477</v>
      </c>
      <c r="I36" s="59">
        <v>45084</v>
      </c>
      <c r="J36" t="s">
        <v>535</v>
      </c>
      <c r="L36" s="59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tr">
        <f>D1_JULIO_2025[[#This Row],[ASESOR]]</f>
        <v>ANTHONY VICENTE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407</v>
      </c>
      <c r="I37" s="59">
        <v>44811</v>
      </c>
      <c r="J37" t="s">
        <v>535</v>
      </c>
      <c r="L37" s="59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Row],[ASER_]]="","",IFERROR(_xlfn.IFS(M37&gt;=100%,"&gt;100%",AND(M37&lt;100%,M37&gt;=70%),"&gt;70%",AND(M37&lt;70%,M37&gt;=40%),"&gt;40%",AND(M37&lt;40%,M37&gt;=0%),"&gt;0%"),""))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tr">
        <f>D1_JULIO_2025[[#This Row],[ASESOR]]</f>
        <v>GIULIANA QUISPE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441</v>
      </c>
      <c r="I38" s="59">
        <v>45423</v>
      </c>
      <c r="J38" t="s">
        <v>535</v>
      </c>
      <c r="L38" s="59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Row],[ASER_]]="","",IFERROR(_xlfn.IFS(M38&gt;=100%,"&gt;100%",AND(M38&lt;100%,M38&gt;=70%),"&gt;70%",AND(M38&lt;70%,M38&gt;=40%),"&gt;40%",AND(M38&lt;40%,M38&gt;=0%),"&gt;0%"),""))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tr">
        <f>D1_JULIO_2025[[#This Row],[ASESOR]]</f>
        <v>LUCERO JORDAN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467</v>
      </c>
      <c r="I39" s="59">
        <v>45364</v>
      </c>
      <c r="J39" t="s">
        <v>535</v>
      </c>
      <c r="L39" s="59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Row],[ASER_]]="","",IFERROR(_xlfn.IFS(M39&gt;=100%,"&gt;100%",AND(M39&lt;100%,M39&gt;=70%),"&gt;70%",AND(M39&lt;70%,M39&gt;=40%),"&gt;40%",AND(M39&lt;40%,M39&gt;=0%),"&gt;0%"),""))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tr">
        <f>D1_JULIO_2025[[#This Row],[ASESOR]]</f>
        <v>ANTHONY TORRES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406</v>
      </c>
      <c r="I40" s="59">
        <v>44461</v>
      </c>
      <c r="J40" t="s">
        <v>535</v>
      </c>
      <c r="L40" s="59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Row],[ASER_]]="","",IFERROR(_xlfn.IFS(M40&gt;=100%,"&gt;100%",AND(M40&lt;100%,M40&gt;=70%),"&gt;70%",AND(M40&lt;70%,M40&gt;=40%),"&gt;40%",AND(M40&lt;40%,M40&gt;=0%),"&gt;0%"),""))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tr">
        <f>D1_JULIO_2025[[#This Row],[ASESOR]]</f>
        <v>NATALIA MARIN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480</v>
      </c>
      <c r="I41" s="59">
        <v>44566</v>
      </c>
      <c r="J41" t="s">
        <v>535</v>
      </c>
      <c r="L41" s="59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Row],[ASER_]]="","",IFERROR(_xlfn.IFS(M41&gt;=100%,"&gt;100%",AND(M41&lt;100%,M41&gt;=70%),"&gt;70%",AND(M41&lt;70%,M41&gt;=40%),"&gt;40%",AND(M41&lt;40%,M41&gt;=0%),"&gt;0%"),""))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tr">
        <f>D1_JULIO_2025[[#This Row],[ASESOR]]</f>
        <v>LUIS CENTENO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430</v>
      </c>
      <c r="I42" s="59">
        <v>45334</v>
      </c>
      <c r="J42" t="s">
        <v>535</v>
      </c>
      <c r="L42" s="59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Row],[ASER_]]="","",IFERROR(_xlfn.IFS(M42&gt;=100%,"&gt;100%",AND(M42&lt;100%,M42&gt;=70%),"&gt;70%",AND(M42&lt;70%,M42&gt;=40%),"&gt;40%",AND(M42&lt;40%,M42&gt;=0%),"&gt;0%"),""))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tr">
        <f>D1_JULIO_2025[[#This Row],[ASESOR]]</f>
        <v>URSULA CENTENO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424</v>
      </c>
      <c r="I43" s="59">
        <v>44945</v>
      </c>
      <c r="J43" t="s">
        <v>535</v>
      </c>
      <c r="L43" s="59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Row],[ASER_]]="","",IFERROR(_xlfn.IFS(M43&gt;=100%,"&gt;100%",AND(M43&lt;100%,M43&gt;=70%),"&gt;70%",AND(M43&lt;70%,M43&gt;=40%),"&gt;40%",AND(M43&lt;40%,M43&gt;=0%),"&gt;0%"),""))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tr">
        <f>D1_JULIO_2025[[#This Row],[ASESOR]]</f>
        <v>JUAN LOZA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428</v>
      </c>
      <c r="I44" s="59">
        <v>44748</v>
      </c>
      <c r="J44" t="s">
        <v>535</v>
      </c>
      <c r="L44" s="59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Row],[ASER_]]="","",IFERROR(_xlfn.IFS(M44&gt;=100%,"&gt;100%",AND(M44&lt;100%,M44&gt;=70%),"&gt;70%",AND(M44&lt;70%,M44&gt;=40%),"&gt;40%",AND(M44&lt;40%,M44&gt;=0%),"&gt;0%"),""))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tr">
        <f>D1_JULIO_2025[[#This Row],[ASESOR]]</f>
        <v>LINDA TUESTA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466</v>
      </c>
      <c r="I45" s="59">
        <v>44869</v>
      </c>
      <c r="J45" t="s">
        <v>535</v>
      </c>
      <c r="L45" s="59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Row],[ASER_]]="","",IFERROR(_xlfn.IFS(M45&gt;=100%,"&gt;100%",AND(M45&lt;100%,M45&gt;=70%),"&gt;70%",AND(M45&lt;70%,M45&gt;=40%),"&gt;40%",AND(M45&lt;40%,M45&gt;=0%),"&gt;0%"),""))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tr">
        <f>D1_JULIO_2025[[#This Row],[ASESOR]]</f>
        <v>MEDALITH NESTARES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433</v>
      </c>
      <c r="I46" s="59">
        <v>44941</v>
      </c>
      <c r="J46" t="s">
        <v>535</v>
      </c>
      <c r="L46" s="59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Row],[ASER_]]="","",IFERROR(_xlfn.IFS(M46&gt;=100%,"&gt;100%",AND(M46&lt;100%,M46&gt;=70%),"&gt;70%",AND(M46&lt;70%,M46&gt;=40%),"&gt;40%",AND(M46&lt;40%,M46&gt;=0%),"&gt;0%"),""))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tr">
        <f>D1_JULIO_2025[[#This Row],[ASESOR]]</f>
        <v>STWUAR MACURI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434</v>
      </c>
      <c r="I47" s="59">
        <v>45175</v>
      </c>
      <c r="J47" t="s">
        <v>535</v>
      </c>
      <c r="L47" s="59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Row],[ASER_]]="","",IFERROR(_xlfn.IFS(M47&gt;=100%,"&gt;100%",AND(M47&lt;100%,M47&gt;=70%),"&gt;70%",AND(M47&lt;70%,M47&gt;=40%),"&gt;40%",AND(M47&lt;40%,M47&gt;=0%),"&gt;0%"),""))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tr">
        <f>D1_JULIO_2025[[#This Row],[ASESOR]]</f>
        <v>JIMENA MEDINA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427</v>
      </c>
      <c r="I48" s="59">
        <v>43132</v>
      </c>
      <c r="J48" t="s">
        <v>535</v>
      </c>
      <c r="L48" s="59"/>
      <c r="M48" s="1">
        <f>DATA_JULIO_2025[[#This Row],[RECUPERO]]/DATA_JULIO_2025[[#This Row],[META]]</f>
        <v>0.23</v>
      </c>
      <c r="N48" t="str" cm="1">
        <f t="array" ref="N48">IF(DATA_JULIO_2025[[#This Row],[ASER_]]="","",IFERROR(_xlfn.IFS(M48&gt;=100%,"&gt;100%",AND(M48&lt;100%,M48&gt;=70%),"&gt;70%",AND(M48&lt;70%,M48&gt;=40%),"&gt;40%",AND(M48&lt;40%,M48&gt;=0%),"&gt;0%"),""))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tr">
        <f>D1_JULIO_2025[[#This Row],[ASESOR]]</f>
        <v>MARIA HUARCAYA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496</v>
      </c>
      <c r="I49" s="59">
        <v>45805</v>
      </c>
      <c r="J49" t="s">
        <v>535</v>
      </c>
      <c r="L49" s="59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Row],[ASER_]]="","",IFERROR(_xlfn.IFS(M49&gt;=100%,"&gt;100%",AND(M49&lt;100%,M49&gt;=70%),"&gt;70%",AND(M49&lt;70%,M49&gt;=40%),"&gt;40%",AND(M49&lt;40%,M49&gt;=0%),"&gt;0%"),""))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tr">
        <f>D1_JULIO_2025[[#This Row],[ASESOR]]</f>
        <v>DARYL FERREL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451</v>
      </c>
      <c r="I50" s="59">
        <v>45429</v>
      </c>
      <c r="J50" t="s">
        <v>535</v>
      </c>
      <c r="L50" s="59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Row],[ASER_]]="","",IFERROR(_xlfn.IFS(M50&gt;=100%,"&gt;100%",AND(M50&lt;100%,M50&gt;=70%),"&gt;70%",AND(M50&lt;70%,M50&gt;=40%),"&gt;40%",AND(M50&lt;40%,M50&gt;=0%),"&gt;0%"),""))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tr">
        <f>D1_JULIO_2025[[#This Row],[ASESOR]]</f>
        <v>GIANNINA AGUILAR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417</v>
      </c>
      <c r="I51" s="59">
        <v>45530</v>
      </c>
      <c r="J51" t="s">
        <v>535</v>
      </c>
      <c r="L51" s="59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Row],[ASER_]]="","",IFERROR(_xlfn.IFS(M51&gt;=100%,"&gt;100%",AND(M51&lt;100%,M51&gt;=70%),"&gt;70%",AND(M51&lt;70%,M51&gt;=40%),"&gt;40%",AND(M51&lt;40%,M51&gt;=0%),"&gt;0%"),""))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tr">
        <f>D1_JULIO_2025[[#This Row],[ASESOR]]</f>
        <v>YENNY INGA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479</v>
      </c>
      <c r="I52" s="59">
        <v>44951</v>
      </c>
      <c r="J52" t="s">
        <v>535</v>
      </c>
      <c r="L52" s="59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Row],[ASER_]]="","",IFERROR(_xlfn.IFS(M52&gt;=100%,"&gt;100%",AND(M52&lt;100%,M52&gt;=70%),"&gt;70%",AND(M52&lt;70%,M52&gt;=40%),"&gt;40%",AND(M52&lt;40%,M52&gt;=0%),"&gt;0%"),""))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tr">
        <f>D1_JULIO_2025[[#This Row],[ASESOR]]</f>
        <v>ALEIDITH GUEVARA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458</v>
      </c>
      <c r="I53" s="59">
        <v>45133</v>
      </c>
      <c r="J53" t="s">
        <v>535</v>
      </c>
      <c r="L53" s="59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Row],[ASER_]]="","",IFERROR(_xlfn.IFS(M53&gt;=100%,"&gt;100%",AND(M53&lt;100%,M53&gt;=70%),"&gt;70%",AND(M53&lt;70%,M53&gt;=40%),"&gt;40%",AND(M53&lt;40%,M53&gt;=0%),"&gt;0%"),""))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tr">
        <f>D1_JULIO_2025[[#This Row],[ASESOR]]</f>
        <v>FRANK PACORA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490</v>
      </c>
      <c r="I54" s="59">
        <v>44657</v>
      </c>
      <c r="J54" t="s">
        <v>535</v>
      </c>
      <c r="L54" s="59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Row],[ASER_]]="","",IFERROR(_xlfn.IFS(M54&gt;=100%,"&gt;100%",AND(M54&lt;100%,M54&gt;=70%),"&gt;70%",AND(M54&lt;70%,M54&gt;=40%),"&gt;40%",AND(M54&lt;40%,M54&gt;=0%),"&gt;0%"),""))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tr">
        <f>D1_JULIO_2025[[#This Row],[ASESOR]]</f>
        <v>ALEJANDRA AVILA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436</v>
      </c>
      <c r="I55" s="59">
        <v>44301</v>
      </c>
      <c r="J55" t="s">
        <v>535</v>
      </c>
      <c r="L55" s="59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tr">
        <f>D1_JULIO_2025[[#This Row],[ASESOR]]</f>
        <v>ROCIO TERRONES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446</v>
      </c>
      <c r="I56" s="59">
        <v>45451</v>
      </c>
      <c r="J56" t="s">
        <v>535</v>
      </c>
      <c r="L56" s="59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Row],[ASER_]]="","",IFERROR(_xlfn.IFS(M56&gt;=100%,"&gt;100%",AND(M56&lt;100%,M56&gt;=70%),"&gt;70%",AND(M56&lt;70%,M56&gt;=40%),"&gt;40%",AND(M56&lt;40%,M56&gt;=0%),"&gt;0%"),""))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tr">
        <f>D1_JULIO_2025[[#This Row],[ASESOR]]</f>
        <v>CARLOS CALAGUA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483</v>
      </c>
      <c r="I57" s="59">
        <v>44104</v>
      </c>
      <c r="J57" t="s">
        <v>535</v>
      </c>
      <c r="L57" s="59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Row],[ASER_]]="","",IFERROR(_xlfn.IFS(M57&gt;=100%,"&gt;100%",AND(M57&lt;100%,M57&gt;=70%),"&gt;70%",AND(M57&lt;70%,M57&gt;=40%),"&gt;40%",AND(M57&lt;40%,M57&gt;=0%),"&gt;0%"),""))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tr">
        <f>D1_JULIO_2025[[#This Row],[ASESOR]]</f>
        <v>CARMEN PUMA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426</v>
      </c>
      <c r="I58" s="59">
        <v>44673</v>
      </c>
      <c r="J58" t="s">
        <v>535</v>
      </c>
      <c r="L58" s="59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Row],[ASER_]]="","",IFERROR(_xlfn.IFS(M58&gt;=100%,"&gt;100%",AND(M58&lt;100%,M58&gt;=70%),"&gt;70%",AND(M58&lt;70%,M58&gt;=40%),"&gt;40%",AND(M58&lt;40%,M58&gt;=0%),"&gt;0%"),""))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tr">
        <f>D1_JULIO_2025[[#This Row],[ASESOR]]</f>
        <v>MARCO SARMIENTO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481</v>
      </c>
      <c r="I59" s="59">
        <v>44993</v>
      </c>
      <c r="J59" t="s">
        <v>535</v>
      </c>
      <c r="L59" s="59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Row],[ASER_]]="","",IFERROR(_xlfn.IFS(M59&gt;=100%,"&gt;100%",AND(M59&lt;100%,M59&gt;=70%),"&gt;70%",AND(M59&lt;70%,M59&gt;=40%),"&gt;40%",AND(M59&lt;40%,M59&gt;=0%),"&gt;0%"),""))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tr">
        <f>D1_JULIO_2025[[#This Row],[ASESOR]]</f>
        <v>JOANA GIL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419</v>
      </c>
      <c r="I60" s="59">
        <v>44748</v>
      </c>
      <c r="J60" t="s">
        <v>535</v>
      </c>
      <c r="L60" s="59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Row],[ASER_]]="","",IFERROR(_xlfn.IFS(M60&gt;=100%,"&gt;100%",AND(M60&lt;100%,M60&gt;=70%),"&gt;70%",AND(M60&lt;70%,M60&gt;=40%),"&gt;40%",AND(M60&lt;40%,M60&gt;=0%),"&gt;0%"),""))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tr">
        <f>D1_JULIO_2025[[#This Row],[ASESOR]]</f>
        <v>MICHAEL TAFUR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485</v>
      </c>
      <c r="I61" s="59">
        <v>45727</v>
      </c>
      <c r="J61" t="s">
        <v>535</v>
      </c>
      <c r="L61" s="59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Row],[ASER_]]="","",IFERROR(_xlfn.IFS(M61&gt;=100%,"&gt;100%",AND(M61&lt;100%,M61&gt;=70%),"&gt;70%",AND(M61&lt;70%,M61&gt;=40%),"&gt;40%",AND(M61&lt;40%,M61&gt;=0%),"&gt;0%"),""))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tr">
        <f>D1_JULIO_2025[[#This Row],[ASESOR]]</f>
        <v>NARDIA URPIS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422</v>
      </c>
      <c r="I62" s="59">
        <v>44470</v>
      </c>
      <c r="J62" t="s">
        <v>535</v>
      </c>
      <c r="L62" s="59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Row],[ASER_]]="","",IFERROR(_xlfn.IFS(M62&gt;=100%,"&gt;100%",AND(M62&lt;100%,M62&gt;=70%),"&gt;70%",AND(M62&lt;70%,M62&gt;=40%),"&gt;40%",AND(M62&lt;40%,M62&gt;=0%),"&gt;0%"),""))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tr">
        <f>D1_JULIO_2025[[#This Row],[ASESOR]]</f>
        <v>JHOVANA TORRES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454</v>
      </c>
      <c r="I63" s="59">
        <v>45142</v>
      </c>
      <c r="J63" t="s">
        <v>535</v>
      </c>
      <c r="L63" s="59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Row],[ASER_]]="","",IFERROR(_xlfn.IFS(M63&gt;=100%,"&gt;100%",AND(M63&lt;100%,M63&gt;=70%),"&gt;70%",AND(M63&lt;70%,M63&gt;=40%),"&gt;40%",AND(M63&lt;40%,M63&gt;=0%),"&gt;0%"),""))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tr">
        <f>D1_JULIO_2025[[#This Row],[ASESOR]]</f>
        <v>DAVID SANCHEZ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452</v>
      </c>
      <c r="I64" s="59">
        <v>45506</v>
      </c>
      <c r="J64" t="s">
        <v>535</v>
      </c>
      <c r="L64" s="59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Row],[ASER_]]="","",IFERROR(_xlfn.IFS(M64&gt;=100%,"&gt;100%",AND(M64&lt;100%,M64&gt;=70%),"&gt;70%",AND(M64&lt;70%,M64&gt;=40%),"&gt;40%",AND(M64&lt;40%,M64&gt;=0%),"&gt;0%"),""))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tr">
        <f>D1_JULIO_2025[[#This Row],[ASESOR]]</f>
        <v>GINA HUAMANI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494</v>
      </c>
      <c r="I65" s="59">
        <v>45804</v>
      </c>
      <c r="J65" t="s">
        <v>535</v>
      </c>
      <c r="L65" s="59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Row],[ASER_]]="","",IFERROR(_xlfn.IFS(M65&gt;=100%,"&gt;100%",AND(M65&lt;100%,M65&gt;=70%),"&gt;70%",AND(M65&lt;70%,M65&gt;=40%),"&gt;40%",AND(M65&lt;40%,M65&gt;=0%),"&gt;0%"),""))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tr">
        <f>D1_JULIO_2025[[#This Row],[ASESOR]]</f>
        <v>CHRISTIAN ALVARADO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414</v>
      </c>
      <c r="I66" s="59">
        <v>45304</v>
      </c>
      <c r="J66" t="s">
        <v>535</v>
      </c>
      <c r="L66" s="59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Row],[ASER_]]="","",IFERROR(_xlfn.IFS(M66&gt;=100%,"&gt;100%",AND(M66&lt;100%,M66&gt;=70%),"&gt;70%",AND(M66&lt;70%,M66&gt;=40%),"&gt;40%",AND(M66&lt;40%,M66&gt;=0%),"&gt;0%"),""))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tr">
        <f>D1_JULIO_2025[[#This Row],[ASESOR]]</f>
        <v>VERONICA HUARCA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448</v>
      </c>
      <c r="I67" s="59">
        <v>44748</v>
      </c>
      <c r="J67" t="s">
        <v>535</v>
      </c>
      <c r="L67" s="59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Row],[ASER_]]="","",IFERROR(_xlfn.IFS(M67&gt;=100%,"&gt;100%",AND(M67&lt;100%,M67&gt;=70%),"&gt;70%",AND(M67&lt;70%,M67&gt;=40%),"&gt;40%",AND(M67&lt;40%,M67&gt;=0%),"&gt;0%"),""))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tr">
        <f>D1_JULIO_2025[[#This Row],[ASESOR]]</f>
        <v>ISABEL BEJARANO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462</v>
      </c>
      <c r="I68" s="59">
        <v>44937</v>
      </c>
      <c r="J68" t="s">
        <v>535</v>
      </c>
      <c r="L68" s="59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Row],[ASER_]]="","",IFERROR(_xlfn.IFS(M68&gt;=100%,"&gt;100%",AND(M68&lt;100%,M68&gt;=70%),"&gt;70%",AND(M68&lt;70%,M68&gt;=40%),"&gt;40%",AND(M68&lt;40%,M68&gt;=0%),"&gt;0%"),""))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tr">
        <f>D1_JULIO_2025[[#This Row],[ASESOR]]</f>
        <v>HAROLD FLORES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442</v>
      </c>
      <c r="I69" s="59">
        <v>45399</v>
      </c>
      <c r="J69" t="s">
        <v>535</v>
      </c>
      <c r="L69" s="59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tr">
        <f>D1_JULIO_2025[[#This Row],[ASESOR]]</f>
        <v>RAQUEL RICO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500</v>
      </c>
      <c r="I70" s="59">
        <v>45800</v>
      </c>
      <c r="J70" t="s">
        <v>535</v>
      </c>
      <c r="L70" s="59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Row],[ASER_]]="","",IFERROR(_xlfn.IFS(M70&gt;=100%,"&gt;100%",AND(M70&lt;100%,M70&gt;=70%),"&gt;70%",AND(M70&lt;70%,M70&gt;=40%),"&gt;40%",AND(M70&lt;40%,M70&gt;=0%),"&gt;0%"),""))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tr">
        <f>D1_JULIO_2025[[#This Row],[ASESOR]]</f>
        <v>LYNDA PEREZ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498</v>
      </c>
      <c r="I71" s="59">
        <v>45793</v>
      </c>
      <c r="J71" t="s">
        <v>535</v>
      </c>
      <c r="L71" s="59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Row],[ASER_]]="","",IFERROR(_xlfn.IFS(M71&gt;=100%,"&gt;100%",AND(M71&lt;100%,M71&gt;=70%),"&gt;70%",AND(M71&lt;70%,M71&gt;=40%),"&gt;40%",AND(M71&lt;40%,M71&gt;=0%),"&gt;0%"),""))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tr">
        <f>D1_JULIO_2025[[#This Row],[ASESOR]]</f>
        <v>KATYUSCA LEVANO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421</v>
      </c>
      <c r="I72" s="59">
        <v>45344</v>
      </c>
      <c r="J72" t="s">
        <v>535</v>
      </c>
      <c r="L72" s="59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Row],[ASER_]]="","",IFERROR(_xlfn.IFS(M72&gt;=100%,"&gt;100%",AND(M72&lt;100%,M72&gt;=70%),"&gt;70%",AND(M72&lt;70%,M72&gt;=40%),"&gt;40%",AND(M72&lt;40%,M72&gt;=0%),"&gt;0%"),""))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tr">
        <f>D1_JULIO_2025[[#This Row],[ASESOR]]</f>
        <v>KATHLEEN FLORES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503</v>
      </c>
      <c r="I73" s="59">
        <v>38525</v>
      </c>
      <c r="J73" t="s">
        <v>535</v>
      </c>
      <c r="L73" s="59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Row],[ASER_]]="","",IFERROR(_xlfn.IFS(M73&gt;=100%,"&gt;100%",AND(M73&lt;100%,M73&gt;=70%),"&gt;70%",AND(M73&lt;70%,M73&gt;=40%),"&gt;40%",AND(M73&lt;40%,M73&gt;=0%),"&gt;0%"),""))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tr">
        <f>D1_JULIO_2025[[#This Row],[ASESOR]]</f>
        <v>DARY VICHARRA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506</v>
      </c>
      <c r="I74" s="59">
        <v>45853</v>
      </c>
      <c r="J74" t="s">
        <v>535</v>
      </c>
      <c r="L74" s="59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Row],[ASER_]]="","",IFERROR(_xlfn.IFS(M74&gt;=100%,"&gt;100%",AND(M74&lt;100%,M74&gt;=70%),"&gt;70%",AND(M74&lt;70%,M74&gt;=40%),"&gt;40%",AND(M74&lt;40%,M74&gt;=0%),"&gt;0%"),""))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tr">
        <f>D1_JULIO_2025[[#This Row],[ASESOR]]</f>
        <v>SARITA GARAY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447</v>
      </c>
      <c r="I75" s="59">
        <v>45145</v>
      </c>
      <c r="J75" t="s">
        <v>535</v>
      </c>
      <c r="L75" s="59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Row],[ASER_]]="","",IFERROR(_xlfn.IFS(M75&gt;=100%,"&gt;100%",AND(M75&lt;100%,M75&gt;=70%),"&gt;70%",AND(M75&lt;70%,M75&gt;=40%),"&gt;40%",AND(M75&lt;40%,M75&gt;=0%),"&gt;0%"),""))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tr">
        <f>D1_JULIO_2025[[#This Row],[ASESOR]]</f>
        <v>JUAN ALANOCCA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420</v>
      </c>
      <c r="I76" s="59">
        <v>44840</v>
      </c>
      <c r="J76" t="s">
        <v>535</v>
      </c>
      <c r="L76" s="59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Row],[ASER_]]="","",IFERROR(_xlfn.IFS(M76&gt;=100%,"&gt;100%",AND(M76&lt;100%,M76&gt;=70%),"&gt;70%",AND(M76&lt;70%,M76&gt;=40%),"&gt;40%",AND(M76&lt;40%,M76&gt;=0%),"&gt;0%"),""))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tr">
        <f>D1_JULIO_2025[[#This Row],[ASESOR]]</f>
        <v>JANETH PORTOCARRERO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463</v>
      </c>
      <c r="I77" s="59">
        <v>42814</v>
      </c>
      <c r="J77" t="s">
        <v>535</v>
      </c>
      <c r="L77" s="59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Row],[ASER_]]="","",IFERROR(_xlfn.IFS(M77&gt;=100%,"&gt;100%",AND(M77&lt;100%,M77&gt;=70%),"&gt;70%",AND(M77&lt;70%,M77&gt;=40%),"&gt;40%",AND(M77&lt;40%,M77&gt;=0%),"&gt;0%"),""))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tr">
        <f>D1_JULIO_2025[[#This Row],[ASESOR]]</f>
        <v>KIARA CANEPA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429</v>
      </c>
      <c r="I78" s="59">
        <v>45523</v>
      </c>
      <c r="J78" t="s">
        <v>535</v>
      </c>
      <c r="L78" s="59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Row],[ASER_]]="","",IFERROR(_xlfn.IFS(M78&gt;=100%,"&gt;100%",AND(M78&lt;100%,M78&gt;=70%),"&gt;70%",AND(M78&lt;70%,M78&gt;=40%),"&gt;40%",AND(M78&lt;40%,M78&gt;=0%),"&gt;0%"),""))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tr">
        <f>D1_JULIO_2025[[#This Row],[ASESOR]]</f>
        <v>CHRISTIAN ALBUJAR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484</v>
      </c>
      <c r="I79" s="59">
        <v>45727</v>
      </c>
      <c r="J79" t="s">
        <v>535</v>
      </c>
      <c r="L79" s="59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Row],[ASER_]]="","",IFERROR(_xlfn.IFS(M79&gt;=100%,"&gt;100%",AND(M79&lt;100%,M79&gt;=70%),"&gt;70%",AND(M79&lt;70%,M79&gt;=40%),"&gt;40%",AND(M79&lt;40%,M79&gt;=0%),"&gt;0%"),""))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tr">
        <f>D1_JULIO_2025[[#This Row],[ASESOR]]</f>
        <v>YEYMY HUERTA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491</v>
      </c>
      <c r="I80" s="59">
        <v>45772</v>
      </c>
      <c r="J80" t="s">
        <v>535</v>
      </c>
      <c r="L80" s="59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Row],[ASER_]]="","",IFERROR(_xlfn.IFS(M80&gt;=100%,"&gt;100%",AND(M80&lt;100%,M80&gt;=70%),"&gt;70%",AND(M80&lt;70%,M80&gt;=40%),"&gt;40%",AND(M80&lt;40%,M80&gt;=0%),"&gt;0%"),""))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tr">
        <f>D1_JULIO_2025[[#This Row],[ASESOR]]</f>
        <v>GERALDINE ARROYO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440</v>
      </c>
      <c r="I81" s="59">
        <v>45674</v>
      </c>
      <c r="J81" t="s">
        <v>535</v>
      </c>
      <c r="L81" s="59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tr">
        <f>D1_JULIO_2025[[#This Row],[ASESOR]]</f>
        <v>ANABEL SIHUE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501</v>
      </c>
      <c r="I82" s="59">
        <v>45819</v>
      </c>
      <c r="J82" t="s">
        <v>535</v>
      </c>
      <c r="L82" s="59"/>
      <c r="M82" s="1">
        <f>DATA_JULIO_2025[[#This Row],[RECUPERO]]/DATA_JULIO_2025[[#This Row],[META]]</f>
        <v>0.85</v>
      </c>
      <c r="N82" t="str" cm="1">
        <f t="array" ref="N82">IF(DATA_JULIO_2025[[#This Row],[ASER_]]="","",IFERROR(_xlfn.IFS(M82&gt;=100%,"&gt;100%",AND(M82&lt;100%,M82&gt;=70%),"&gt;70%",AND(M82&lt;70%,M82&gt;=40%),"&gt;40%",AND(M82&lt;40%,M82&gt;=0%),"&gt;0%"),""))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tr">
        <f>D1_JULIO_2025[[#This Row],[ASESOR]]</f>
        <v>MAYRA AVALOS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502</v>
      </c>
      <c r="I83" s="59">
        <v>45818</v>
      </c>
      <c r="J83" t="s">
        <v>535</v>
      </c>
      <c r="L83" s="59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Row],[ASER_]]="","",IFERROR(_xlfn.IFS(M83&gt;=100%,"&gt;100%",AND(M83&lt;100%,M83&gt;=70%),"&gt;70%",AND(M83&lt;70%,M83&gt;=40%),"&gt;40%",AND(M83&lt;40%,M83&gt;=0%),"&gt;0%"),""))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tr">
        <f>D1_JULIO_2025[[#This Row],[ASESOR]]</f>
        <v>CINTHYA PAUCAR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492</v>
      </c>
      <c r="I84" s="59">
        <v>45798</v>
      </c>
      <c r="J84" t="s">
        <v>535</v>
      </c>
      <c r="L84" s="59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Row],[ASER_]]="","",IFERROR(_xlfn.IFS(M84&gt;=100%,"&gt;100%",AND(M84&lt;100%,M84&gt;=70%),"&gt;70%",AND(M84&lt;70%,M84&gt;=40%),"&gt;40%",AND(M84&lt;40%,M84&gt;=0%),"&gt;0%"),""))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tr">
        <f>D1_JULIO_2025[[#This Row],[ASESOR]]</f>
        <v>MARCO QUISPE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507</v>
      </c>
      <c r="I85" s="59">
        <v>45862</v>
      </c>
      <c r="J85" t="s">
        <v>535</v>
      </c>
      <c r="L85" s="59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Row],[ASER_]]="","",IFERROR(_xlfn.IFS(M85&gt;=100%,"&gt;100%",AND(M85&lt;100%,M85&gt;=70%),"&gt;70%",AND(M85&lt;70%,M85&gt;=40%),"&gt;40%",AND(M85&lt;40%,M85&gt;=0%),"&gt;0%"),""))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Row],[ASER_]]="","",IFERROR(_xlfn.IFS(M86&gt;=100%,"&gt;100%",AND(M86&lt;100%,M86&gt;=70%),"&gt;70%",AND(M86&lt;70%,M86&gt;=40%),"&gt;40%",AND(M86&lt;40%,M86&gt;=0%),"&gt;0%"),""))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Row],[ASER_]]="","",IFERROR(_xlfn.IFS(M87&gt;=100%,"&gt;100%",AND(M87&lt;100%,M87&gt;=70%),"&gt;70%",AND(M87&lt;70%,M87&gt;=40%),"&gt;40%",AND(M87&lt;40%,M87&gt;=0%),"&gt;0%"),""))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Row],[ASER_]]="","",IFERROR(_xlfn.IFS(M88&gt;=100%,"&gt;100%",AND(M88&lt;100%,M88&gt;=70%),"&gt;70%",AND(M88&lt;70%,M88&gt;=40%),"&gt;40%",AND(M88&lt;40%,M88&gt;=0%),"&gt;0%"),""))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Row],[ASER_]]="","",IFERROR(_xlfn.IFS(M89&gt;=100%,"&gt;100%",AND(M89&lt;100%,M89&gt;=70%),"&gt;70%",AND(M89&lt;70%,M89&gt;=40%),"&gt;40%",AND(M89&lt;40%,M89&gt;=0%),"&gt;0%"),""))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I91"/>
  <sheetViews>
    <sheetView zoomScale="70" zoomScaleNormal="70" workbookViewId="0">
      <selection activeCell="J25" sqref="J25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9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87" x14ac:dyDescent="0.25">
      <c r="L1" s="59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2" t="s">
        <v>403</v>
      </c>
      <c r="I2" s="77" t="s">
        <v>405</v>
      </c>
      <c r="J2" s="67" t="s">
        <v>533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s="74" t="str">
        <f>D1_AGOSTO_2025[[#This Row],[SUPER2]]</f>
        <v>LEONOR</v>
      </c>
      <c r="B3" s="73" t="s">
        <v>74</v>
      </c>
      <c r="C3" s="74"/>
      <c r="D3" s="74"/>
      <c r="E3" s="74" t="s">
        <v>7</v>
      </c>
      <c r="F3" s="73" t="s">
        <v>74</v>
      </c>
      <c r="G3" s="73"/>
      <c r="H3" s="73" t="s">
        <v>422</v>
      </c>
      <c r="I3" s="75">
        <v>44470</v>
      </c>
      <c r="J3" s="75" t="s">
        <v>534</v>
      </c>
      <c r="L3" s="59"/>
      <c r="M3" s="34">
        <v>2025</v>
      </c>
      <c r="N3" s="34" t="s">
        <v>146</v>
      </c>
      <c r="O3" s="34">
        <v>20</v>
      </c>
    </row>
    <row r="4" spans="1:87" x14ac:dyDescent="0.25">
      <c r="A4" s="74" t="str">
        <f>D1_AGOSTO_2025[[#This Row],[SUPER2]]</f>
        <v>MELINA</v>
      </c>
      <c r="B4" s="73" t="s">
        <v>75</v>
      </c>
      <c r="C4" s="74"/>
      <c r="D4" s="74"/>
      <c r="E4" s="74" t="s">
        <v>4</v>
      </c>
      <c r="F4" s="73" t="s">
        <v>75</v>
      </c>
      <c r="G4" s="73"/>
      <c r="H4" s="73" t="s">
        <v>455</v>
      </c>
      <c r="I4" s="75">
        <v>44714</v>
      </c>
      <c r="J4" s="75" t="s">
        <v>534</v>
      </c>
      <c r="L4" s="59"/>
    </row>
    <row r="5" spans="1:87" x14ac:dyDescent="0.25">
      <c r="A5" s="74" t="str">
        <f>D1_AGOSTO_2025[[#This Row],[SUPER2]]</f>
        <v>SANDY</v>
      </c>
      <c r="B5" s="73" t="s">
        <v>76</v>
      </c>
      <c r="C5" s="74"/>
      <c r="D5" s="74"/>
      <c r="E5" s="74" t="s">
        <v>3</v>
      </c>
      <c r="F5" s="73" t="s">
        <v>76</v>
      </c>
      <c r="G5" s="73"/>
      <c r="H5" s="73" t="s">
        <v>435</v>
      </c>
      <c r="I5" s="75">
        <v>44817</v>
      </c>
      <c r="J5" s="75" t="s">
        <v>534</v>
      </c>
      <c r="L5" s="59"/>
    </row>
    <row r="6" spans="1:87" x14ac:dyDescent="0.25">
      <c r="A6" s="74" t="str">
        <f>D1_AGOSTO_2025[[#This Row],[SUPER2]]</f>
        <v>LUIS</v>
      </c>
      <c r="B6" s="73" t="s">
        <v>77</v>
      </c>
      <c r="C6" s="74"/>
      <c r="D6" s="74"/>
      <c r="E6" s="74" t="s">
        <v>9</v>
      </c>
      <c r="F6" s="73" t="s">
        <v>77</v>
      </c>
      <c r="G6" s="73"/>
      <c r="H6" s="73" t="s">
        <v>420</v>
      </c>
      <c r="I6" s="75">
        <v>44838</v>
      </c>
      <c r="J6" s="75" t="s">
        <v>534</v>
      </c>
      <c r="L6" s="59"/>
    </row>
    <row r="7" spans="1:87" x14ac:dyDescent="0.25">
      <c r="A7" s="74" t="str">
        <f>D1_AGOSTO_2025[[#This Row],[SUPER2]]</f>
        <v>KENNETH</v>
      </c>
      <c r="B7" s="73" t="s">
        <v>78</v>
      </c>
      <c r="C7" s="74"/>
      <c r="D7" s="74"/>
      <c r="E7" s="74" t="s">
        <v>6</v>
      </c>
      <c r="F7" s="73" t="s">
        <v>78</v>
      </c>
      <c r="G7" s="73"/>
      <c r="H7" s="73" t="s">
        <v>424</v>
      </c>
      <c r="I7" s="75">
        <v>44943</v>
      </c>
      <c r="J7" s="75" t="s">
        <v>534</v>
      </c>
      <c r="L7" s="59"/>
    </row>
    <row r="8" spans="1:87" x14ac:dyDescent="0.25">
      <c r="A8" s="74" t="str">
        <f>D1_AGOSTO_2025[[#This Row],[SUPER2]]</f>
        <v>JORDAN</v>
      </c>
      <c r="B8" s="73" t="s">
        <v>79</v>
      </c>
      <c r="C8" s="74"/>
      <c r="D8" s="74"/>
      <c r="E8" s="74" t="s">
        <v>5</v>
      </c>
      <c r="F8" s="73" t="s">
        <v>79</v>
      </c>
      <c r="G8" s="73"/>
      <c r="H8" s="73" t="s">
        <v>480</v>
      </c>
      <c r="I8" s="75">
        <v>45145</v>
      </c>
      <c r="J8" s="75" t="s">
        <v>534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8" t="s">
        <v>567</v>
      </c>
      <c r="T8" s="78" t="s">
        <v>537</v>
      </c>
      <c r="U8" s="78" t="s">
        <v>559</v>
      </c>
      <c r="V8" s="78" t="s">
        <v>563</v>
      </c>
      <c r="W8" s="78" t="s">
        <v>538</v>
      </c>
      <c r="X8" s="78" t="s">
        <v>539</v>
      </c>
      <c r="Y8" s="78" t="s">
        <v>540</v>
      </c>
      <c r="Z8" s="78" t="s">
        <v>541</v>
      </c>
      <c r="AA8" s="78" t="s">
        <v>542</v>
      </c>
      <c r="AB8" s="78" t="s">
        <v>560</v>
      </c>
      <c r="AC8" s="78" t="s">
        <v>564</v>
      </c>
      <c r="AD8" s="78" t="s">
        <v>543</v>
      </c>
      <c r="AE8" s="78" t="s">
        <v>544</v>
      </c>
      <c r="AF8" s="78" t="s">
        <v>545</v>
      </c>
      <c r="AG8" s="78" t="s">
        <v>546</v>
      </c>
      <c r="AH8" s="78" t="s">
        <v>547</v>
      </c>
      <c r="AI8" s="78" t="s">
        <v>561</v>
      </c>
      <c r="AJ8" s="78" t="s">
        <v>565</v>
      </c>
      <c r="AK8" s="78" t="s">
        <v>548</v>
      </c>
      <c r="AL8" s="78" t="s">
        <v>549</v>
      </c>
      <c r="AM8" s="78" t="s">
        <v>550</v>
      </c>
      <c r="AN8" s="78" t="s">
        <v>551</v>
      </c>
      <c r="AO8" s="78" t="s">
        <v>552</v>
      </c>
      <c r="AP8" s="78" t="s">
        <v>562</v>
      </c>
      <c r="AQ8" s="78" t="s">
        <v>566</v>
      </c>
      <c r="AR8" s="78" t="s">
        <v>553</v>
      </c>
      <c r="AS8" s="78" t="s">
        <v>554</v>
      </c>
      <c r="AT8" s="78" t="s">
        <v>555</v>
      </c>
      <c r="AU8" s="78" t="s">
        <v>556</v>
      </c>
      <c r="AV8" s="78" t="s">
        <v>557</v>
      </c>
      <c r="AW8" s="78" t="s">
        <v>558</v>
      </c>
      <c r="AX8" s="72" t="s">
        <v>536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567</v>
      </c>
      <c r="BE8" s="41" t="s">
        <v>537</v>
      </c>
      <c r="BF8" s="41" t="s">
        <v>559</v>
      </c>
      <c r="BG8" s="41" t="s">
        <v>563</v>
      </c>
      <c r="BH8" s="41" t="s">
        <v>538</v>
      </c>
      <c r="BI8" s="41" t="s">
        <v>539</v>
      </c>
      <c r="BJ8" s="41" t="s">
        <v>540</v>
      </c>
      <c r="BK8" s="41" t="s">
        <v>541</v>
      </c>
      <c r="BL8" s="41" t="s">
        <v>542</v>
      </c>
      <c r="BM8" s="41" t="s">
        <v>560</v>
      </c>
      <c r="BN8" s="41" t="s">
        <v>564</v>
      </c>
      <c r="BO8" s="41" t="s">
        <v>543</v>
      </c>
      <c r="BP8" s="41" t="s">
        <v>544</v>
      </c>
      <c r="BQ8" s="41" t="s">
        <v>545</v>
      </c>
      <c r="BR8" s="41" t="s">
        <v>546</v>
      </c>
      <c r="BS8" s="41" t="s">
        <v>547</v>
      </c>
      <c r="BT8" s="41" t="s">
        <v>561</v>
      </c>
      <c r="BU8" s="41" t="s">
        <v>565</v>
      </c>
      <c r="BV8" s="41" t="s">
        <v>548</v>
      </c>
      <c r="BW8" s="41" t="s">
        <v>549</v>
      </c>
      <c r="BX8" s="41" t="s">
        <v>550</v>
      </c>
      <c r="BY8" s="41" t="s">
        <v>551</v>
      </c>
      <c r="BZ8" s="41" t="s">
        <v>552</v>
      </c>
      <c r="CA8" s="41" t="s">
        <v>562</v>
      </c>
      <c r="CB8" s="41" t="s">
        <v>566</v>
      </c>
      <c r="CC8" s="41" t="s">
        <v>553</v>
      </c>
      <c r="CD8" s="41" t="s">
        <v>554</v>
      </c>
      <c r="CE8" s="41" t="s">
        <v>555</v>
      </c>
      <c r="CF8" s="41" t="s">
        <v>556</v>
      </c>
      <c r="CG8" s="41" t="s">
        <v>557</v>
      </c>
      <c r="CH8" s="41" t="s">
        <v>558</v>
      </c>
      <c r="CI8" s="19" t="s">
        <v>134</v>
      </c>
    </row>
    <row r="9" spans="1:87" x14ac:dyDescent="0.25">
      <c r="A9" s="74" t="str">
        <f>D1_AGOSTO_2025[[#This Row],[SUPER2]]</f>
        <v>MELINA</v>
      </c>
      <c r="B9" s="73" t="s">
        <v>80</v>
      </c>
      <c r="C9" s="74"/>
      <c r="D9" s="74"/>
      <c r="E9" s="74" t="s">
        <v>4</v>
      </c>
      <c r="F9" s="73" t="s">
        <v>80</v>
      </c>
      <c r="G9" s="73"/>
      <c r="H9" s="73" t="s">
        <v>460</v>
      </c>
      <c r="I9" s="75">
        <v>45281</v>
      </c>
      <c r="J9" s="75" t="s">
        <v>534</v>
      </c>
      <c r="L9" s="59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Row],[ASER_]]="","",IFERROR(_xlfn.IFS(M11&gt;=100%,"&gt;100%",AND(M11&lt;100%,M11&gt;=70%),"&gt;70%",AND(M11&lt;70%,M11&gt;=40%),"&gt;40%",AND(M11&lt;40%,M11&gt;=0%),"&gt;0%"),""))</f>
        <v>&gt;70%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2">
        <f>MAX(DITE_AGOSTO_2025[[#This Row],[1]:[31]])</f>
        <v>109432.26000000001</v>
      </c>
      <c r="BB9" s="18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2" t="s">
        <v>153</v>
      </c>
    </row>
    <row r="10" spans="1:87" x14ac:dyDescent="0.25">
      <c r="A10" s="74" t="str">
        <f>D1_AGOSTO_2025[[#This Row],[SUPER2]]</f>
        <v>BRYAN</v>
      </c>
      <c r="B10" s="73" t="s">
        <v>81</v>
      </c>
      <c r="C10" s="74"/>
      <c r="D10" s="74"/>
      <c r="E10" s="74" t="s">
        <v>8</v>
      </c>
      <c r="F10" s="73" t="s">
        <v>81</v>
      </c>
      <c r="G10" s="73"/>
      <c r="H10" s="73" t="s">
        <v>452</v>
      </c>
      <c r="I10" s="75">
        <v>45511</v>
      </c>
      <c r="J10" s="75" t="s">
        <v>534</v>
      </c>
      <c r="L10" s="59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Row],[ASER_]]="","",IFERROR(_xlfn.IFS(M12&gt;=100%,"&gt;100%",AND(M12&lt;100%,M12&gt;=70%),"&gt;70%",AND(M12&lt;70%,M12&gt;=40%),"&gt;40%",AND(M12&lt;40%,M12&gt;=0%),"&gt;0%"),""))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2">
        <f>MAX(DITE_AGOSTO_2025[[#This Row],[1]:[31]])</f>
        <v>532733.6</v>
      </c>
      <c r="BB10" s="18">
        <f>DITE_AGOSTO_2025[[#This Row],[RECUPERO SUPERVISOR]]/DITE_AGOSTO_2025[[#This Row],[META SUPER]]</f>
        <v>0.77938583529618299</v>
      </c>
      <c r="BC10" t="s">
        <v>3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2" t="s">
        <v>155</v>
      </c>
    </row>
    <row r="11" spans="1:87" x14ac:dyDescent="0.25">
      <c r="A11" s="2" t="str">
        <f>D1_AGOSTO_2025[[#This Row],[SUPER2]]</f>
        <v>SANDY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3</v>
      </c>
      <c r="F11" t="s">
        <v>23</v>
      </c>
      <c r="G11">
        <v>65117</v>
      </c>
      <c r="H11" t="s">
        <v>472</v>
      </c>
      <c r="I11" s="59">
        <v>44111</v>
      </c>
      <c r="J11" t="s">
        <v>535</v>
      </c>
      <c r="L11" s="59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Row],[ASER_]]="","",IFERROR(_xlfn.IFS(M13&gt;=100%,"&gt;100%",AND(M13&lt;100%,M13&gt;=70%),"&gt;70%",AND(M13&lt;70%,M13&gt;=40%),"&gt;40%",AND(M13&lt;40%,M13&gt;=0%),"&gt;0%"),""))</f>
        <v>&gt;100%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2">
        <f>MAX(DITE_AGOSTO_2025[[#This Row],[1]:[31]])</f>
        <v>208377.07</v>
      </c>
      <c r="BB11" s="18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2" t="s">
        <v>150</v>
      </c>
    </row>
    <row r="12" spans="1:87" x14ac:dyDescent="0.25">
      <c r="A12" s="2" t="str">
        <f>D1_AGOSTO_2025[[#This Row],[SUPER2]]</f>
        <v>SANDY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3</v>
      </c>
      <c r="F12" t="s">
        <v>24</v>
      </c>
      <c r="G12">
        <v>65700</v>
      </c>
      <c r="H12" t="s">
        <v>461</v>
      </c>
      <c r="I12" s="59">
        <v>45334</v>
      </c>
      <c r="J12" t="s">
        <v>535</v>
      </c>
      <c r="L12" s="59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Row],[ASER_]]="","",IFERROR(_xlfn.IFS(M14&gt;=100%,"&gt;100%",AND(M14&lt;100%,M14&gt;=70%),"&gt;70%",AND(M14&lt;70%,M14&gt;=40%),"&gt;40%",AND(M14&lt;40%,M14&gt;=0%),"&gt;0%"),""))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2">
        <f>MAX(DITE_AGOSTO_2025[[#This Row],[1]:[31]])</f>
        <v>246696.56</v>
      </c>
      <c r="BB12" s="18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2" t="s">
        <v>150</v>
      </c>
    </row>
    <row r="13" spans="1:87" x14ac:dyDescent="0.25">
      <c r="A13" s="2" t="str">
        <f>D1_AGOSTO_2025[[#This Row],[SUPER2]]</f>
        <v>SANDY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3</v>
      </c>
      <c r="F13" t="s">
        <v>22</v>
      </c>
      <c r="G13">
        <v>57702</v>
      </c>
      <c r="H13" t="s">
        <v>469</v>
      </c>
      <c r="I13" s="59">
        <v>45299</v>
      </c>
      <c r="J13" t="s">
        <v>535</v>
      </c>
      <c r="L13" s="59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Row],[ASER_]]="","",IFERROR(_xlfn.IFS(M15&gt;=100%,"&gt;100%",AND(M15&lt;100%,M15&gt;=70%),"&gt;70%",AND(M15&lt;70%,M15&gt;=40%),"&gt;40%",AND(M15&lt;40%,M15&gt;=0%),"&gt;0%"),""))</f>
        <v>&gt;0%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2">
        <f>MAX(DITE_AGOSTO_2025[[#This Row],[1]:[31]])</f>
        <v>308948.83999999997</v>
      </c>
      <c r="BB13" s="18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2" t="s">
        <v>156</v>
      </c>
    </row>
    <row r="14" spans="1:87" x14ac:dyDescent="0.25">
      <c r="A14" s="2" t="str">
        <f>D1_AGOSTO_2025[[#This Row],[SUPER2]]</f>
        <v>SANDY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3</v>
      </c>
      <c r="F14" t="s">
        <v>26</v>
      </c>
      <c r="G14">
        <v>38224</v>
      </c>
      <c r="H14" t="s">
        <v>418</v>
      </c>
      <c r="I14" s="59">
        <v>44259</v>
      </c>
      <c r="J14" t="s">
        <v>535</v>
      </c>
      <c r="L14" s="59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Row],[ASER_]]="","",IFERROR(_xlfn.IFS(M16&gt;=100%,"&gt;100%",AND(M16&lt;100%,M16&gt;=70%),"&gt;70%",AND(M16&lt;70%,M16&gt;=40%),"&gt;40%",AND(M16&lt;40%,M16&gt;=0%),"&gt;0%"),""))</f>
        <v>&gt;40%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2">
        <f>MAX(DITE_AGOSTO_2025[[#This Row],[1]:[31]])</f>
        <v>75445</v>
      </c>
      <c r="BB14" s="18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2" t="s">
        <v>152</v>
      </c>
    </row>
    <row r="15" spans="1:87" x14ac:dyDescent="0.25">
      <c r="A15" s="2" t="str">
        <f>D1_AGOSTO_2025[[#This Row],[SUPER2]]</f>
        <v>SANDY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3</v>
      </c>
      <c r="F15" t="s">
        <v>25</v>
      </c>
      <c r="G15">
        <v>47509</v>
      </c>
      <c r="H15" t="s">
        <v>473</v>
      </c>
      <c r="I15" s="59">
        <v>44820</v>
      </c>
      <c r="J15" t="s">
        <v>535</v>
      </c>
      <c r="L15" s="59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Row],[ASER_]]="","",IFERROR(_xlfn.IFS(M17&gt;=100%,"&gt;100%",AND(M17&lt;100%,M17&gt;=70%),"&gt;70%",AND(M17&lt;70%,M17&gt;=40%),"&gt;40%",AND(M17&lt;40%,M17&gt;=0%),"&gt;0%"),""))</f>
        <v>&gt;40%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2">
        <f>MAX(DITE_AGOSTO_2025[[#This Row],[1]:[31]])</f>
        <v>82855.570000000007</v>
      </c>
      <c r="BB15" s="18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2" t="s">
        <v>153</v>
      </c>
    </row>
    <row r="16" spans="1:87" x14ac:dyDescent="0.25">
      <c r="A16" s="2" t="str">
        <f>D1_AGOSTO_2025[[#This Row],[SUPER2]]</f>
        <v>SANDY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3</v>
      </c>
      <c r="F16" t="s">
        <v>29</v>
      </c>
      <c r="G16">
        <v>38098</v>
      </c>
      <c r="H16" t="s">
        <v>443</v>
      </c>
      <c r="I16" s="59">
        <v>44687</v>
      </c>
      <c r="J16" t="s">
        <v>535</v>
      </c>
      <c r="L16" s="59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Row],[ASER_]]="","",IFERROR(_xlfn.IFS(M18&gt;=100%,"&gt;100%",AND(M18&lt;100%,M18&gt;=70%),"&gt;70%",AND(M18&lt;70%,M18&gt;=40%),"&gt;40%",AND(M18&lt;40%,M18&gt;=0%),"&gt;0%"),""))</f>
        <v>&gt;0%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2">
        <f>MAX(DITE_AGOSTO_2025[[#This Row],[1]:[31]])</f>
        <v>552575.6</v>
      </c>
      <c r="BB16" s="18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2" t="s">
        <v>155</v>
      </c>
    </row>
    <row r="17" spans="1:50" x14ac:dyDescent="0.25">
      <c r="A17" s="2" t="str">
        <f>D1_AGOSTO_2025[[#This Row],[SUPER2]]</f>
        <v>SANDY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3</v>
      </c>
      <c r="F17" t="s">
        <v>27</v>
      </c>
      <c r="G17">
        <v>45818.1</v>
      </c>
      <c r="H17" t="s">
        <v>439</v>
      </c>
      <c r="I17" s="59">
        <v>45675</v>
      </c>
      <c r="J17" t="s">
        <v>535</v>
      </c>
      <c r="L17" s="59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Row],[ASER_]]="","",IFERROR(_xlfn.IFS(M19&gt;=100%,"&gt;100%",AND(M19&lt;100%,M19&gt;=70%),"&gt;70%",AND(M19&lt;70%,M19&gt;=40%),"&gt;40%",AND(M19&lt;40%,M19&gt;=0%),"&gt;0%"),""))</f>
        <v>&gt;0%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SANDY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3</v>
      </c>
      <c r="F18" t="s">
        <v>28</v>
      </c>
      <c r="G18">
        <v>23870</v>
      </c>
      <c r="H18" t="s">
        <v>505</v>
      </c>
      <c r="I18" s="59">
        <v>45845</v>
      </c>
      <c r="J18" t="s">
        <v>535</v>
      </c>
      <c r="L18" s="59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Row],[ASER_]]="","",IFERROR(_xlfn.IFS(M20&gt;=100%,"&gt;100%",AND(M20&lt;100%,M20&gt;=70%),"&gt;70%",AND(M20&lt;70%,M20&gt;=40%),"&gt;40%",AND(M20&lt;40%,M20&gt;=0%),"&gt;0%"),""))</f>
        <v>&gt;40%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SANDY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3</v>
      </c>
      <c r="F19" t="s">
        <v>30</v>
      </c>
      <c r="G19">
        <v>6645</v>
      </c>
      <c r="H19" t="s">
        <v>475</v>
      </c>
      <c r="I19" s="59">
        <v>45399</v>
      </c>
      <c r="J19" t="s">
        <v>535</v>
      </c>
      <c r="L19" s="59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Row],[ASER_]]="","",IFERROR(_xlfn.IFS(M21&gt;=100%,"&gt;100%",AND(M21&lt;100%,M21&gt;=70%),"&gt;70%",AND(M21&lt;70%,M21&gt;=40%),"&gt;40%",AND(M21&lt;40%,M21&gt;=0%),"&gt;0%"),""))</f>
        <v>&gt;40%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SANDY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3</v>
      </c>
      <c r="F20" t="s">
        <v>102</v>
      </c>
      <c r="G20">
        <v>14450</v>
      </c>
      <c r="H20" t="s">
        <v>508</v>
      </c>
      <c r="I20" s="59">
        <v>45875</v>
      </c>
      <c r="J20" t="s">
        <v>535</v>
      </c>
      <c r="L20" s="59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Row],[ASER_]]="","",IFERROR(_xlfn.IFS(M22&gt;=100%,"&gt;100%",AND(M22&lt;100%,M22&gt;=70%),"&gt;70%",AND(M22&lt;70%,M22&gt;=40%),"&gt;40%",AND(M22&lt;40%,M22&gt;=0%),"&gt;0%"),""))</f>
        <v>&gt;70%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457</v>
      </c>
      <c r="I21" s="59">
        <v>45348</v>
      </c>
      <c r="J21" t="s">
        <v>535</v>
      </c>
      <c r="L21" s="59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Row],[ASER_]]="","",IFERROR(_xlfn.IFS(M23&gt;=100%,"&gt;100%",AND(M23&lt;100%,M23&gt;=70%),"&gt;70%",AND(M23&lt;70%,M23&gt;=40%),"&gt;40%",AND(M23&lt;40%,M23&gt;=0%),"&gt;0%"),""))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470</v>
      </c>
      <c r="I22" s="59">
        <v>45590</v>
      </c>
      <c r="J22" t="s">
        <v>535</v>
      </c>
      <c r="L22" s="59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Row],[ASER_]]="","",IFERROR(_xlfn.IFS(M24&gt;=100%,"&gt;100%",AND(M24&lt;100%,M24&gt;=70%),"&gt;70%",AND(M24&lt;70%,M24&gt;=40%),"&gt;40%",AND(M24&lt;40%,M24&gt;=0%),"&gt;0%"),""))</f>
        <v>&gt;0%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450</v>
      </c>
      <c r="I23" s="59">
        <v>45323</v>
      </c>
      <c r="J23" t="s">
        <v>535</v>
      </c>
      <c r="L23" s="59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Row],[ASER_]]="","",IFERROR(_xlfn.IFS(M25&gt;=100%,"&gt;100%",AND(M25&lt;100%,M25&gt;=70%),"&gt;70%",AND(M25&lt;70%,M25&gt;=40%),"&gt;40%",AND(M25&lt;40%,M25&gt;=0%),"&gt;0%"),""))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413</v>
      </c>
      <c r="I24" s="59">
        <v>45334</v>
      </c>
      <c r="J24" t="s">
        <v>535</v>
      </c>
      <c r="L24" s="59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Row],[ASER_]]="","",IFERROR(_xlfn.IFS(M26&gt;=100%,"&gt;100%",AND(M26&lt;100%,M26&gt;=70%),"&gt;70%",AND(M26&lt;70%,M26&gt;=40%),"&gt;40%",AND(M26&lt;40%,M26&gt;=0%),"&gt;0%"),""))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468</v>
      </c>
      <c r="I25" s="59">
        <v>43035</v>
      </c>
      <c r="J25" t="s">
        <v>535</v>
      </c>
      <c r="L25" s="59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Row],[ASER_]]="","",IFERROR(_xlfn.IFS(M27&gt;=100%,"&gt;100%",AND(M27&lt;100%,M27&gt;=70%),"&gt;70%",AND(M27&lt;70%,M27&gt;=40%),"&gt;40%",AND(M27&lt;40%,M27&gt;=0%),"&gt;0%"),""))</f>
        <v>&gt;0%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438</v>
      </c>
      <c r="I26" s="59">
        <v>44909</v>
      </c>
      <c r="J26" t="s">
        <v>535</v>
      </c>
      <c r="L26" s="59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Row],[ASER_]]="","",IFERROR(_xlfn.IFS(M28&gt;=100%,"&gt;100%",AND(M28&lt;100%,M28&gt;=70%),"&gt;70%",AND(M28&lt;70%,M28&gt;=40%),"&gt;40%",AND(M28&lt;40%,M28&gt;=0%),"&gt;0%"),""))</f>
        <v>&gt;70%</v>
      </c>
      <c r="O26" t="s">
        <v>3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482</v>
      </c>
      <c r="I27" s="59">
        <v>45700</v>
      </c>
      <c r="J27" t="s">
        <v>535</v>
      </c>
      <c r="L27" s="59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Row],[ASER_]]="","",IFERROR(_xlfn.IFS(M29&gt;=100%,"&gt;100%",AND(M29&lt;100%,M29&gt;=70%),"&gt;70%",AND(M29&lt;70%,M29&gt;=40%),"&gt;40%",AND(M29&lt;40%,M29&gt;=0%),"&gt;0%"),""))</f>
        <v>&gt;70%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465</v>
      </c>
      <c r="I28" s="59">
        <v>45021</v>
      </c>
      <c r="J28" t="s">
        <v>535</v>
      </c>
      <c r="L28" s="59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Row],[ASER_]]="","",IFERROR(_xlfn.IFS(M30&gt;=100%,"&gt;100%",AND(M30&lt;100%,M30&gt;=70%),"&gt;70%",AND(M30&lt;70%,M30&gt;=40%),"&gt;40%",AND(M30&lt;40%,M30&gt;=0%),"&gt;0%"),""))</f>
        <v>&gt;40%</v>
      </c>
      <c r="O28" t="s">
        <v>3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474</v>
      </c>
      <c r="I29" s="59">
        <v>45316</v>
      </c>
      <c r="J29" t="s">
        <v>535</v>
      </c>
      <c r="L29" s="59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Row],[ASER_]]="","",IFERROR(_xlfn.IFS(M31&gt;=100%,"&gt;100%",AND(M31&lt;100%,M31&gt;=70%),"&gt;70%",AND(M31&lt;70%,M31&gt;=40%),"&gt;40%",AND(M31&lt;40%,M31&gt;=0%),"&gt;0%"),""))</f>
        <v>&gt;40%</v>
      </c>
      <c r="O29" t="s">
        <v>3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509</v>
      </c>
      <c r="I30" s="59">
        <v>44644</v>
      </c>
      <c r="J30" t="s">
        <v>535</v>
      </c>
      <c r="L30" s="59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Row],[ASER_]]="","",IFERROR(_xlfn.IFS(M32&gt;=100%,"&gt;100%",AND(M32&lt;100%,M32&gt;=70%),"&gt;70%",AND(M32&lt;70%,M32&gt;=40%),"&gt;40%",AND(M32&lt;40%,M32&gt;=0%),"&gt;0%"),""))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476</v>
      </c>
      <c r="I31" s="59">
        <v>44706</v>
      </c>
      <c r="J31" t="s">
        <v>535</v>
      </c>
      <c r="L31" s="59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Row],[ASER_]]="","",IFERROR(_xlfn.IFS(M33&gt;=100%,"&gt;100%",AND(M33&lt;100%,M33&gt;=70%),"&gt;70%",AND(M33&lt;70%,M33&gt;=40%),"&gt;40%",AND(M33&lt;40%,M33&gt;=0%),"&gt;0%"),""))</f>
        <v>&gt;0%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412</v>
      </c>
      <c r="I32" s="59">
        <v>44888</v>
      </c>
      <c r="J32" t="s">
        <v>535</v>
      </c>
      <c r="L32" s="59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Row],[ASER_]]="","",IFERROR(_xlfn.IFS(M34&gt;=100%,"&gt;100%",AND(M34&lt;100%,M34&gt;=70%),"&gt;70%",AND(M34&lt;70%,M34&gt;=40%),"&gt;40%",AND(M34&lt;40%,M34&gt;=0%),"&gt;0%"),""))</f>
        <v>&gt;40%</v>
      </c>
      <c r="O32" t="s">
        <v>3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456</v>
      </c>
      <c r="I33" s="59">
        <v>45371</v>
      </c>
      <c r="J33" t="s">
        <v>535</v>
      </c>
      <c r="L33" s="59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Row],[ASER_]]="","",IFERROR(_xlfn.IFS(M35&gt;=100%,"&gt;100%",AND(M35&lt;100%,M35&gt;=70%),"&gt;70%",AND(M35&lt;70%,M35&gt;=40%),"&gt;40%",AND(M35&lt;40%,M35&gt;=0%),"&gt;0%"),""))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415</v>
      </c>
      <c r="I34" s="59">
        <v>45334</v>
      </c>
      <c r="J34" t="s">
        <v>535</v>
      </c>
      <c r="L34" s="59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Row],[ASER_]]="","",IFERROR(_xlfn.IFS(M36&gt;=100%,"&gt;100%",AND(M36&lt;100%,M36&gt;=70%),"&gt;70%",AND(M36&lt;70%,M36&gt;=40%),"&gt;40%",AND(M36&lt;40%,M36&gt;=0%),"&gt;0%"),""))</f>
        <v>&gt;0%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409</v>
      </c>
      <c r="I35" s="59">
        <v>44811</v>
      </c>
      <c r="J35" t="s">
        <v>535</v>
      </c>
      <c r="L35" s="59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Row],[ASER_]]="","",IFERROR(_xlfn.IFS(M37&gt;=100%,"&gt;100%",AND(M37&lt;100%,M37&gt;=70%),"&gt;70%",AND(M37&lt;70%,M37&gt;=40%),"&gt;40%",AND(M37&lt;40%,M37&gt;=0%),"&gt;0%"),""))</f>
        <v>&gt;100%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416</v>
      </c>
      <c r="I36" s="59">
        <v>44870</v>
      </c>
      <c r="J36" t="s">
        <v>535</v>
      </c>
      <c r="L36" s="59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Row],[ASER_]]="","",IFERROR(_xlfn.IFS(M38&gt;=100%,"&gt;100%",AND(M38&lt;100%,M38&gt;=70%),"&gt;70%",AND(M38&lt;70%,M38&gt;=40%),"&gt;40%",AND(M38&lt;40%,M38&gt;=0%),"&gt;0%"),""))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437</v>
      </c>
      <c r="I37" s="59">
        <v>44735</v>
      </c>
      <c r="J37" t="s">
        <v>535</v>
      </c>
      <c r="L37" s="59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Row],[ASER_]]="","",IFERROR(_xlfn.IFS(M39&gt;=100%,"&gt;100%",AND(M39&lt;100%,M39&gt;=70%),"&gt;70%",AND(M39&lt;70%,M39&gt;=40%),"&gt;40%",AND(M39&lt;40%,M39&gt;=0%),"&gt;0%"),""))</f>
        <v>&gt;40%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510</v>
      </c>
      <c r="I38" s="59">
        <v>45882</v>
      </c>
      <c r="J38" t="s">
        <v>535</v>
      </c>
      <c r="L38" s="59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Row],[ASER_]]="","",IFERROR(_xlfn.IFS(M40&gt;=100%,"&gt;100%",AND(M40&lt;100%,M40&gt;=70%),"&gt;70%",AND(M40&lt;70%,M40&gt;=40%),"&gt;40%",AND(M40&lt;40%,M40&gt;=0%),"&gt;0%"),""))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459</v>
      </c>
      <c r="I39" s="59">
        <v>45133</v>
      </c>
      <c r="J39" t="s">
        <v>535</v>
      </c>
      <c r="L39" s="59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Row],[ASER_]]="","",IFERROR(_xlfn.IFS(M41&gt;=100%,"&gt;100%",AND(M41&lt;100%,M41&gt;=70%),"&gt;70%",AND(M41&lt;70%,M41&gt;=40%),"&gt;40%",AND(M41&lt;40%,M41&gt;=0%),"&gt;0%"),""))</f>
        <v>&gt;70%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406</v>
      </c>
      <c r="I40" s="59">
        <v>44461</v>
      </c>
      <c r="J40" t="s">
        <v>535</v>
      </c>
      <c r="L40" s="59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Row],[ASER_]]="","",IFERROR(_xlfn.IFS(M42&gt;=100%,"&gt;100%",AND(M42&lt;100%,M42&gt;=70%),"&gt;70%",AND(M42&lt;70%,M42&gt;=40%),"&gt;40%",AND(M42&lt;40%,M42&gt;=0%),"&gt;0%"),""))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410</v>
      </c>
      <c r="I41" s="59">
        <v>45457</v>
      </c>
      <c r="J41" t="s">
        <v>535</v>
      </c>
      <c r="L41" s="59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Row],[ASER_]]="","",IFERROR(_xlfn.IFS(M43&gt;=100%,"&gt;100%",AND(M43&lt;100%,M43&gt;=70%),"&gt;70%",AND(M43&lt;70%,M43&gt;=40%),"&gt;40%",AND(M43&lt;40%,M43&gt;=0%),"&gt;0%"),""))</f>
        <v>&gt;100%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445</v>
      </c>
      <c r="I42" s="59">
        <v>44971</v>
      </c>
      <c r="J42" t="s">
        <v>535</v>
      </c>
      <c r="L42" s="59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Row],[ASER_]]="","",IFERROR(_xlfn.IFS(M44&gt;=100%,"&gt;100%",AND(M44&lt;100%,M44&gt;=70%),"&gt;70%",AND(M44&lt;70%,M44&gt;=40%),"&gt;40%",AND(M44&lt;40%,M44&gt;=0%),"&gt;0%"),""))</f>
        <v>&gt;70%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408</v>
      </c>
      <c r="I43" s="59">
        <v>44811</v>
      </c>
      <c r="J43" t="s">
        <v>535</v>
      </c>
      <c r="L43" s="59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Row],[ASER_]]="","",IFERROR(_xlfn.IFS(M45&gt;=100%,"&gt;100%",AND(M45&lt;100%,M45&gt;=70%),"&gt;70%",AND(M45&lt;70%,M45&gt;=40%),"&gt;40%",AND(M45&lt;40%,M45&gt;=0%),"&gt;0%"),""))</f>
        <v>&gt;40%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467</v>
      </c>
      <c r="I44" s="59">
        <v>45364</v>
      </c>
      <c r="J44" t="s">
        <v>535</v>
      </c>
      <c r="L44" s="59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Row],[ASER_]]="","",IFERROR(_xlfn.IFS(M46&gt;=100%,"&gt;100%",AND(M46&lt;100%,M46&gt;=70%),"&gt;70%",AND(M46&lt;70%,M46&gt;=40%),"&gt;40%",AND(M46&lt;40%,M46&gt;=0%),"&gt;0%"),""))</f>
        <v>&gt;0%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441</v>
      </c>
      <c r="I45" s="59">
        <v>45423</v>
      </c>
      <c r="J45" t="s">
        <v>535</v>
      </c>
      <c r="L45" s="59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Row],[ASER_]]="","",IFERROR(_xlfn.IFS(M47&gt;=100%,"&gt;100%",AND(M47&lt;100%,M47&gt;=70%),"&gt;70%",AND(M47&lt;70%,M47&gt;=40%),"&gt;40%",AND(M47&lt;40%,M47&gt;=0%),"&gt;0%"),""))</f>
        <v>&gt;0%</v>
      </c>
      <c r="O45" t="s">
        <v>3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477</v>
      </c>
      <c r="I46" s="59">
        <v>45084</v>
      </c>
      <c r="J46" t="s">
        <v>535</v>
      </c>
      <c r="L46" s="59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Row],[ASER_]]="","",IFERROR(_xlfn.IFS(M48&gt;=100%,"&gt;100%",AND(M48&lt;100%,M48&gt;=70%),"&gt;70%",AND(M48&lt;70%,M48&gt;=40%),"&gt;40%",AND(M48&lt;40%,M48&gt;=0%),"&gt;0%"),""))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447</v>
      </c>
      <c r="I47" s="59">
        <v>45145</v>
      </c>
      <c r="J47" t="s">
        <v>535</v>
      </c>
      <c r="L47" s="59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Row],[ASER_]]="","",IFERROR(_xlfn.IFS(M49&gt;=100%,"&gt;100%",AND(M49&lt;100%,M49&gt;=70%),"&gt;70%",AND(M49&lt;70%,M49&gt;=40%),"&gt;40%",AND(M49&lt;40%,M49&gt;=0%),"&gt;0%"),""))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464</v>
      </c>
      <c r="I48" s="59">
        <v>45671</v>
      </c>
      <c r="J48" t="s">
        <v>535</v>
      </c>
      <c r="L48" s="59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Row],[ASER_]]="","",IFERROR(_xlfn.IFS(M50&gt;=100%,"&gt;100%",AND(M50&lt;100%,M50&gt;=70%),"&gt;70%",AND(M50&lt;70%,M50&gt;=40%),"&gt;40%",AND(M50&lt;40%,M50&gt;=0%),"&gt;0%"),""))</f>
        <v>&gt;100%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430</v>
      </c>
      <c r="I49" s="59">
        <v>45334</v>
      </c>
      <c r="J49" t="s">
        <v>535</v>
      </c>
      <c r="L49" s="59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Row],[ASER_]]="","",IFERROR(_xlfn.IFS(M51&gt;=100%,"&gt;100%",AND(M51&lt;100%,M51&gt;=70%),"&gt;70%",AND(M51&lt;70%,M51&gt;=40%),"&gt;40%",AND(M51&lt;40%,M51&gt;=0%),"&gt;0%"),""))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434</v>
      </c>
      <c r="I50" s="59">
        <v>45175</v>
      </c>
      <c r="J50" t="s">
        <v>535</v>
      </c>
      <c r="L50" s="59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Row],[ASER_]]="","",IFERROR(_xlfn.IFS(M52&gt;=100%,"&gt;100%",AND(M52&lt;100%,M52&gt;=70%),"&gt;70%",AND(M52&lt;70%,M52&gt;=40%),"&gt;40%",AND(M52&lt;40%,M52&gt;=0%),"&gt;0%"),""))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427</v>
      </c>
      <c r="I51" s="59">
        <v>43132</v>
      </c>
      <c r="J51" t="s">
        <v>535</v>
      </c>
      <c r="L51" s="59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Row],[ASER_]]="","",IFERROR(_xlfn.IFS(M53&gt;=100%,"&gt;100%",AND(M53&lt;100%,M53&gt;=70%),"&gt;70%",AND(M53&lt;70%,M53&gt;=40%),"&gt;40%",AND(M53&lt;40%,M53&gt;=0%),"&gt;0%"),""))</f>
        <v>&gt;40%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428</v>
      </c>
      <c r="I52" s="59">
        <v>44748</v>
      </c>
      <c r="J52" t="s">
        <v>535</v>
      </c>
      <c r="L52" s="59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Row],[ASER_]]="","",IFERROR(_xlfn.IFS(M54&gt;=100%,"&gt;100%",AND(M54&lt;100%,M54&gt;=70%),"&gt;70%",AND(M54&lt;70%,M54&gt;=40%),"&gt;40%",AND(M54&lt;40%,M54&gt;=0%),"&gt;0%"),""))</f>
        <v>&gt;70%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417</v>
      </c>
      <c r="I53" s="59">
        <v>45530</v>
      </c>
      <c r="J53" t="s">
        <v>535</v>
      </c>
      <c r="L53" s="59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Row],[ASER_]]="","",IFERROR(_xlfn.IFS(M55&gt;=100%,"&gt;100%",AND(M55&lt;100%,M55&gt;=70%),"&gt;70%",AND(M55&lt;70%,M55&gt;=40%),"&gt;40%",AND(M55&lt;40%,M55&gt;=0%),"&gt;0%"),""))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451</v>
      </c>
      <c r="I54" s="59">
        <v>45429</v>
      </c>
      <c r="J54" t="s">
        <v>535</v>
      </c>
      <c r="L54" s="59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Row],[ASER_]]="","",IFERROR(_xlfn.IFS(M56&gt;=100%,"&gt;100%",AND(M56&lt;100%,M56&gt;=70%),"&gt;70%",AND(M56&lt;70%,M56&gt;=40%),"&gt;40%",AND(M56&lt;40%,M56&gt;=0%),"&gt;0%"),""))</f>
        <v>&gt;40%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496</v>
      </c>
      <c r="I55" s="59">
        <v>45805</v>
      </c>
      <c r="J55" t="s">
        <v>535</v>
      </c>
      <c r="L55" s="59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Row],[ASER_]]="","",IFERROR(_xlfn.IFS(M57&gt;=100%,"&gt;100%",AND(M57&lt;100%,M57&gt;=70%),"&gt;70%",AND(M57&lt;70%,M57&gt;=40%),"&gt;40%",AND(M57&lt;40%,M57&gt;=0%),"&gt;0%"),""))</f>
        <v>&gt;70%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466</v>
      </c>
      <c r="I56" s="59">
        <v>44869</v>
      </c>
      <c r="J56" t="s">
        <v>535</v>
      </c>
      <c r="L56" s="59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Row],[ASER_]]="","",IFERROR(_xlfn.IFS(M58&gt;=100%,"&gt;100%",AND(M58&lt;100%,M58&gt;=70%),"&gt;70%",AND(M58&lt;70%,M58&gt;=40%),"&gt;40%",AND(M58&lt;40%,M58&gt;=0%),"&gt;0%"),""))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479</v>
      </c>
      <c r="I57" s="59">
        <v>44951</v>
      </c>
      <c r="J57" t="s">
        <v>535</v>
      </c>
      <c r="L57" s="59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Row],[ASER_]]="","",IFERROR(_xlfn.IFS(M59&gt;=100%,"&gt;100%",AND(M59&lt;100%,M59&gt;=70%),"&gt;70%",AND(M59&lt;70%,M59&gt;=40%),"&gt;40%",AND(M59&lt;40%,M59&gt;=0%),"&gt;0%"),""))</f>
        <v>&gt;100%</v>
      </c>
      <c r="O57" t="s">
        <v>3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433</v>
      </c>
      <c r="I58" s="59">
        <v>44941</v>
      </c>
      <c r="J58" t="s">
        <v>535</v>
      </c>
      <c r="L58" s="59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Row],[ASER_]]="","",IFERROR(_xlfn.IFS(M60&gt;=100%,"&gt;100%",AND(M60&lt;100%,M60&gt;=70%),"&gt;70%",AND(M60&lt;70%,M60&gt;=40%),"&gt;40%",AND(M60&lt;40%,M60&gt;=0%),"&gt;0%"),""))</f>
        <v>&gt;0%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511</v>
      </c>
      <c r="I59" s="59">
        <v>45896</v>
      </c>
      <c r="J59" t="s">
        <v>535</v>
      </c>
      <c r="L59" s="59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Row],[ASER_]]="","",IFERROR(_xlfn.IFS(M61&gt;=100%,"&gt;100%",AND(M61&lt;100%,M61&gt;=70%),"&gt;70%",AND(M61&lt;70%,M61&gt;=40%),"&gt;40%",AND(M61&lt;40%,M61&gt;=0%),"&gt;0%"),""))</f>
        <v>&gt;40%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426</v>
      </c>
      <c r="I60" s="59">
        <v>44673</v>
      </c>
      <c r="J60" t="s">
        <v>535</v>
      </c>
      <c r="L60" s="59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Row],[ASER_]]="","",IFERROR(_xlfn.IFS(M62&gt;=100%,"&gt;100%",AND(M62&lt;100%,M62&gt;=70%),"&gt;70%",AND(M62&lt;70%,M62&gt;=40%),"&gt;40%",AND(M62&lt;40%,M62&gt;=0%),"&gt;0%"),""))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458</v>
      </c>
      <c r="I61" s="59">
        <v>45133</v>
      </c>
      <c r="J61" t="s">
        <v>535</v>
      </c>
      <c r="L61" s="59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Row],[ASER_]]="","",IFERROR(_xlfn.IFS(M63&gt;=100%,"&gt;100%",AND(M63&lt;100%,M63&gt;=70%),"&gt;70%",AND(M63&lt;70%,M63&gt;=40%),"&gt;40%",AND(M63&lt;40%,M63&gt;=0%),"&gt;0%"),""))</f>
        <v>&gt;40%</v>
      </c>
      <c r="O61" t="s">
        <v>3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490</v>
      </c>
      <c r="I62" s="59">
        <v>44657</v>
      </c>
      <c r="J62" t="s">
        <v>535</v>
      </c>
      <c r="L62" s="59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Row],[ASER_]]="","",IFERROR(_xlfn.IFS(M64&gt;=100%,"&gt;100%",AND(M64&lt;100%,M64&gt;=70%),"&gt;70%",AND(M64&lt;70%,M64&gt;=40%),"&gt;40%",AND(M64&lt;40%,M64&gt;=0%),"&gt;0%"),""))</f>
        <v>&gt;40%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436</v>
      </c>
      <c r="I63" s="59">
        <v>44301</v>
      </c>
      <c r="J63" t="s">
        <v>535</v>
      </c>
      <c r="L63" s="59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Row],[ASER_]]="","",IFERROR(_xlfn.IFS(M65&gt;=100%,"&gt;100%",AND(M65&lt;100%,M65&gt;=70%),"&gt;70%",AND(M65&lt;70%,M65&gt;=40%),"&gt;40%",AND(M65&lt;40%,M65&gt;=0%),"&gt;0%"),""))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485</v>
      </c>
      <c r="I64" s="59">
        <v>45727</v>
      </c>
      <c r="J64" t="s">
        <v>535</v>
      </c>
      <c r="L64" s="59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Row],[ASER_]]="","",IFERROR(_xlfn.IFS(M66&gt;=100%,"&gt;100%",AND(M66&lt;100%,M66&gt;=70%),"&gt;70%",AND(M66&lt;70%,M66&gt;=40%),"&gt;40%",AND(M66&lt;40%,M66&gt;=0%),"&gt;0%"),""))</f>
        <v>&gt;0%</v>
      </c>
      <c r="O64" t="s">
        <v>3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446</v>
      </c>
      <c r="I65" s="59">
        <v>45451</v>
      </c>
      <c r="J65" t="s">
        <v>535</v>
      </c>
      <c r="L65" s="59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Row],[ASER_]]="","",IFERROR(_xlfn.IFS(M67&gt;=100%,"&gt;100%",AND(M67&lt;100%,M67&gt;=70%),"&gt;70%",AND(M67&lt;70%,M67&gt;=40%),"&gt;40%",AND(M67&lt;40%,M67&gt;=0%),"&gt;0%"),""))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454</v>
      </c>
      <c r="I66" s="59">
        <v>45142</v>
      </c>
      <c r="J66" t="s">
        <v>535</v>
      </c>
      <c r="L66" s="59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Row],[ASER_]]="","",IFERROR(_xlfn.IFS(M68&gt;=100%,"&gt;100%",AND(M68&lt;100%,M68&gt;=70%),"&gt;70%",AND(M68&lt;70%,M68&gt;=40%),"&gt;40%",AND(M68&lt;40%,M68&gt;=0%),"&gt;0%"),""))</f>
        <v>&gt;40%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481</v>
      </c>
      <c r="I67" s="59">
        <v>44993</v>
      </c>
      <c r="J67" t="s">
        <v>535</v>
      </c>
      <c r="L67" s="59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Row],[ASER_]]="","",IFERROR(_xlfn.IFS(M69&gt;=100%,"&gt;100%",AND(M69&lt;100%,M69&gt;=70%),"&gt;70%",AND(M69&lt;70%,M69&gt;=40%),"&gt;40%",AND(M69&lt;40%,M69&gt;=0%),"&gt;0%"),""))</f>
        <v>&gt;0%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419</v>
      </c>
      <c r="I68" s="59">
        <v>44748</v>
      </c>
      <c r="J68" t="s">
        <v>535</v>
      </c>
      <c r="L68" s="59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Row],[ASER_]]="","",IFERROR(_xlfn.IFS(M70&gt;=100%,"&gt;100%",AND(M70&lt;100%,M70&gt;=70%),"&gt;70%",AND(M70&lt;70%,M70&gt;=40%),"&gt;40%",AND(M70&lt;40%,M70&gt;=0%),"&gt;0%"),""))</f>
        <v>&gt;0%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483</v>
      </c>
      <c r="I69" s="59">
        <v>44104</v>
      </c>
      <c r="J69" t="s">
        <v>535</v>
      </c>
      <c r="L69" s="59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Row],[ASER_]]="","",IFERROR(_xlfn.IFS(M71&gt;=100%,"&gt;100%",AND(M71&lt;100%,M71&gt;=70%),"&gt;70%",AND(M71&lt;70%,M71&gt;=40%),"&gt;40%",AND(M71&lt;40%,M71&gt;=0%),"&gt;0%"),""))</f>
        <v>&gt;70%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442</v>
      </c>
      <c r="I70" s="59">
        <v>45399</v>
      </c>
      <c r="J70" t="s">
        <v>535</v>
      </c>
      <c r="L70" s="59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Row],[ASER_]]="","",IFERROR(_xlfn.IFS(M72&gt;=100%,"&gt;100%",AND(M72&lt;100%,M72&gt;=70%),"&gt;70%",AND(M72&lt;70%,M72&gt;=40%),"&gt;40%",AND(M72&lt;40%,M72&gt;=0%),"&gt;0%"),""))</f>
        <v>&gt;40%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494</v>
      </c>
      <c r="I71" s="59">
        <v>45804</v>
      </c>
      <c r="J71" t="s">
        <v>535</v>
      </c>
      <c r="L71" s="59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Row],[ASER_]]="","",IFERROR(_xlfn.IFS(M73&gt;=100%,"&gt;100%",AND(M73&lt;100%,M73&gt;=70%),"&gt;70%",AND(M73&lt;70%,M73&gt;=40%),"&gt;40%",AND(M73&lt;40%,M73&gt;=0%),"&gt;0%"),""))</f>
        <v>&gt;40%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414</v>
      </c>
      <c r="I72" s="59">
        <v>45304</v>
      </c>
      <c r="J72" t="s">
        <v>535</v>
      </c>
      <c r="L72" s="59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Row],[ASER_]]="","",IFERROR(_xlfn.IFS(M74&gt;=100%,"&gt;100%",AND(M74&lt;100%,M74&gt;=70%),"&gt;70%",AND(M74&lt;70%,M74&gt;=40%),"&gt;40%",AND(M74&lt;40%,M74&gt;=0%),"&gt;0%"),""))</f>
        <v>&gt;0%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421</v>
      </c>
      <c r="I73" s="59">
        <v>45344</v>
      </c>
      <c r="J73" t="s">
        <v>535</v>
      </c>
      <c r="L73" s="59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Row],[ASER_]]="","",IFERROR(_xlfn.IFS(M75&gt;=100%,"&gt;100%",AND(M75&lt;100%,M75&gt;=70%),"&gt;70%",AND(M75&lt;70%,M75&gt;=40%),"&gt;40%",AND(M75&lt;40%,M75&gt;=0%),"&gt;0%"),""))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498</v>
      </c>
      <c r="I74" s="59">
        <v>45793</v>
      </c>
      <c r="J74" t="s">
        <v>535</v>
      </c>
      <c r="L74" s="59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Row],[ASER_]]="","",IFERROR(_xlfn.IFS(M76&gt;=100%,"&gt;100%",AND(M76&lt;100%,M76&gt;=70%),"&gt;70%",AND(M76&lt;70%,M76&gt;=40%),"&gt;40%",AND(M76&lt;40%,M76&gt;=0%),"&gt;0%"),""))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448</v>
      </c>
      <c r="I75" s="59">
        <v>44748</v>
      </c>
      <c r="J75" t="s">
        <v>535</v>
      </c>
      <c r="L75" s="59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Row],[ASER_]]="","",IFERROR(_xlfn.IFS(M77&gt;=100%,"&gt;100%",AND(M77&lt;100%,M77&gt;=70%),"&gt;70%",AND(M77&lt;70%,M77&gt;=40%),"&gt;40%",AND(M77&lt;40%,M77&gt;=0%),"&gt;0%"),""))</f>
        <v>&gt;0%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503</v>
      </c>
      <c r="I76" s="59">
        <v>38525</v>
      </c>
      <c r="J76" t="s">
        <v>535</v>
      </c>
      <c r="L76" s="59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Row],[ASER_]]="","",IFERROR(_xlfn.IFS(M78&gt;=100%,"&gt;100%",AND(M78&lt;100%,M78&gt;=70%),"&gt;70%",AND(M78&lt;70%,M78&gt;=40%),"&gt;40%",AND(M78&lt;40%,M78&gt;=0%),"&gt;0%"),""))</f>
        <v>&gt;100%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512</v>
      </c>
      <c r="I77" s="59">
        <v>45889</v>
      </c>
      <c r="J77" t="s">
        <v>535</v>
      </c>
      <c r="L77" s="59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Row],[ASER_]]="","",IFERROR(_xlfn.IFS(M79&gt;=100%,"&gt;100%",AND(M79&lt;100%,M79&gt;=70%),"&gt;70%",AND(M79&lt;70%,M79&gt;=40%),"&gt;40%",AND(M79&lt;40%,M79&gt;=0%),"&gt;0%"),""))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513</v>
      </c>
      <c r="I78" s="59">
        <v>45399</v>
      </c>
      <c r="J78" t="s">
        <v>535</v>
      </c>
      <c r="L78" s="59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Row],[ASER_]]="","",IFERROR(_xlfn.IFS(M80&gt;=100%,"&gt;100%",AND(M80&lt;100%,M80&gt;=70%),"&gt;70%",AND(M80&lt;70%,M80&gt;=40%),"&gt;40%",AND(M80&lt;40%,M80&gt;=0%),"&gt;0%"),""))</f>
        <v>&gt;0%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514</v>
      </c>
      <c r="I79" s="59">
        <v>45896</v>
      </c>
      <c r="J79" t="s">
        <v>535</v>
      </c>
      <c r="L79" s="59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Row],[ASER_]]="","",IFERROR(_xlfn.IFS(M81&gt;=100%,"&gt;100%",AND(M81&lt;100%,M81&gt;=70%),"&gt;70%",AND(M81&lt;70%,M81&gt;=40%),"&gt;40%",AND(M81&lt;40%,M81&gt;=0%),"&gt;0%"),""))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506</v>
      </c>
      <c r="I80" s="59">
        <v>45853</v>
      </c>
      <c r="J80" t="s">
        <v>535</v>
      </c>
      <c r="L80" s="59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Row],[ASER_]]="","",IFERROR(_xlfn.IFS(M82&gt;=100%,"&gt;100%",AND(M82&lt;100%,M82&gt;=70%),"&gt;70%",AND(M82&lt;70%,M82&gt;=40%),"&gt;40%",AND(M82&lt;40%,M82&gt;=0%),"&gt;0%"),""))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429</v>
      </c>
      <c r="I81" s="59">
        <v>45523</v>
      </c>
      <c r="J81" t="s">
        <v>535</v>
      </c>
      <c r="L81" s="59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Row],[ASER_]]="","",IFERROR(_xlfn.IFS(M83&gt;=100%,"&gt;100%",AND(M83&lt;100%,M83&gt;=70%),"&gt;70%",AND(M83&lt;70%,M83&gt;=40%),"&gt;40%",AND(M83&lt;40%,M83&gt;=0%),"&gt;0%"),""))</f>
        <v>&gt;0%</v>
      </c>
      <c r="O81" t="s">
        <v>3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463</v>
      </c>
      <c r="I82" s="59">
        <v>42814</v>
      </c>
      <c r="J82" t="s">
        <v>535</v>
      </c>
      <c r="L82" s="59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Row],[ASER_]]="","",IFERROR(_xlfn.IFS(M84&gt;=100%,"&gt;100%",AND(M84&lt;100%,M84&gt;=70%),"&gt;70%",AND(M84&lt;70%,M84&gt;=40%),"&gt;40%",AND(M84&lt;40%,M84&gt;=0%),"&gt;0%"),""))</f>
        <v>&gt;100%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440</v>
      </c>
      <c r="I83" s="59">
        <v>45674</v>
      </c>
      <c r="J83" t="s">
        <v>535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Row],[ASER_]]="","",IFERROR(_xlfn.IFS(M85&gt;=100%,"&gt;100%",AND(M85&lt;100%,M85&gt;=70%),"&gt;70%",AND(M85&lt;70%,M85&gt;=40%),"&gt;40%",AND(M85&lt;40%,M85&gt;=0%),"&gt;0%"),""))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507</v>
      </c>
      <c r="I84" s="59">
        <v>45862</v>
      </c>
      <c r="J84" t="s">
        <v>535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Row],[ASER_]]="","",IFERROR(_xlfn.IFS(M86&gt;=100%,"&gt;100%",AND(M86&lt;100%,M86&gt;=70%),"&gt;70%",AND(M86&lt;70%,M86&gt;=40%),"&gt;40%",AND(M86&lt;40%,M86&gt;=0%),"&gt;0%"),""))</f>
        <v>&gt;40%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484</v>
      </c>
      <c r="I85" s="59">
        <v>45727</v>
      </c>
      <c r="J85" t="s">
        <v>535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Row],[ASER_]]="","",IFERROR(_xlfn.IFS(M87&gt;=100%,"&gt;100%",AND(M87&lt;100%,M87&gt;=70%),"&gt;70%",AND(M87&lt;70%,M87&gt;=40%),"&gt;40%",AND(M87&lt;40%,M87&gt;=0%),"&gt;0%"),""))</f>
        <v>&gt;70%</v>
      </c>
      <c r="O85" t="s">
        <v>3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502</v>
      </c>
      <c r="I86" s="59">
        <v>45818</v>
      </c>
      <c r="J86" t="s">
        <v>535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Row],[ASER_]]="","",IFERROR(_xlfn.IFS(M88&gt;=100%,"&gt;100%",AND(M88&lt;100%,M88&gt;=70%),"&gt;70%",AND(M88&lt;70%,M88&gt;=40%),"&gt;40%",AND(M88&lt;40%,M88&gt;=0%),"&gt;0%"),""))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501</v>
      </c>
      <c r="I87" s="59">
        <v>45819</v>
      </c>
      <c r="J87" t="s">
        <v>535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Row],[ASER_]]="","",IFERROR(_xlfn.IFS(M89&gt;=100%,"&gt;100%",AND(M89&lt;100%,M89&gt;=70%),"&gt;70%",AND(M89&lt;70%,M89&gt;=40%),"&gt;40%",AND(M89&lt;40%,M89&gt;=0%),"&gt;0%"),""))</f>
        <v>&gt;0%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515</v>
      </c>
      <c r="I88" s="59">
        <v>45875</v>
      </c>
      <c r="J88" t="s">
        <v>535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Row],[ASER_]]="","",IFERROR(_xlfn.IFS(M90&gt;=100%,"&gt;100%",AND(M90&lt;100%,M90&gt;=70%),"&gt;70%",AND(M90&lt;70%,M90&gt;=40%),"&gt;40%",AND(M90&lt;40%,M90&gt;=0%),"&gt;0%"),""))</f>
        <v>&gt;0%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491</v>
      </c>
      <c r="I89" s="59">
        <v>45772</v>
      </c>
      <c r="J89" t="s">
        <v>535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Row],[ASER_]]="","",IFERROR(_xlfn.IFS(M91&gt;=100%,"&gt;100%",AND(M91&lt;100%,M91&gt;=70%),"&gt;70%",AND(M91&lt;70%,M91&gt;=40%),"&gt;40%",AND(M91&lt;40%,M91&gt;=0%),"&gt;0%"),""))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516</v>
      </c>
      <c r="I90" s="59">
        <v>45895</v>
      </c>
      <c r="J90" t="s">
        <v>535</v>
      </c>
    </row>
    <row r="91" spans="1:50" x14ac:dyDescent="0.25">
      <c r="A91" s="2" t="str">
        <f>D1_AGOSTO_2025[[#This Row],[SUPER2]]</f>
        <v>BRYAN</v>
      </c>
      <c r="B91" s="79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500</v>
      </c>
      <c r="I91" s="59">
        <v>45800</v>
      </c>
      <c r="J91" t="s">
        <v>535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2" t="s">
        <v>178</v>
      </c>
      <c r="D2" s="32" t="s">
        <v>1</v>
      </c>
      <c r="E2" s="32" t="s">
        <v>203</v>
      </c>
      <c r="F2" s="38" t="s">
        <v>0</v>
      </c>
      <c r="G2" s="38" t="s">
        <v>95</v>
      </c>
      <c r="H2" s="61" t="s">
        <v>403</v>
      </c>
      <c r="I2" s="61" t="s">
        <v>405</v>
      </c>
      <c r="J2" s="33" t="s">
        <v>166</v>
      </c>
      <c r="K2" s="33" t="s">
        <v>136</v>
      </c>
      <c r="L2" s="33" t="s">
        <v>207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512</v>
      </c>
      <c r="I3" s="59">
        <v>45889</v>
      </c>
      <c r="J3" s="34">
        <v>2025</v>
      </c>
      <c r="K3" s="34" t="s">
        <v>147</v>
      </c>
      <c r="L3" s="34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494</v>
      </c>
      <c r="I4" s="59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448</v>
      </c>
      <c r="I5" s="59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439</v>
      </c>
      <c r="I6" s="59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508</v>
      </c>
      <c r="I7" s="59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498</v>
      </c>
      <c r="I8" s="59">
        <v>45793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135</v>
      </c>
      <c r="R8" s="19" t="s">
        <v>137</v>
      </c>
      <c r="S8" s="19" t="s">
        <v>138</v>
      </c>
      <c r="T8" s="41" t="s">
        <v>94</v>
      </c>
      <c r="U8" s="41" t="s">
        <v>181</v>
      </c>
      <c r="V8" s="41" t="s">
        <v>182</v>
      </c>
      <c r="W8" s="41" t="s">
        <v>183</v>
      </c>
      <c r="X8" s="41" t="s">
        <v>184</v>
      </c>
      <c r="Y8" s="41" t="s">
        <v>185</v>
      </c>
      <c r="Z8" s="41" t="s">
        <v>186</v>
      </c>
      <c r="AA8" s="41" t="s">
        <v>187</v>
      </c>
      <c r="AB8" s="41" t="s">
        <v>188</v>
      </c>
      <c r="AC8" s="41" t="s">
        <v>189</v>
      </c>
      <c r="AD8" s="41" t="s">
        <v>190</v>
      </c>
      <c r="AE8" s="41" t="s">
        <v>191</v>
      </c>
      <c r="AF8" s="41" t="s">
        <v>192</v>
      </c>
      <c r="AG8" s="41" t="s">
        <v>193</v>
      </c>
      <c r="AH8" s="41" t="s">
        <v>194</v>
      </c>
      <c r="AI8" s="41" t="s">
        <v>195</v>
      </c>
      <c r="AJ8" s="41" t="s">
        <v>196</v>
      </c>
      <c r="AK8" s="41" t="s">
        <v>197</v>
      </c>
      <c r="AL8" s="41" t="s">
        <v>198</v>
      </c>
      <c r="AM8" s="41" t="s">
        <v>199</v>
      </c>
      <c r="AN8" s="41" t="s">
        <v>200</v>
      </c>
      <c r="AO8" s="41" t="s">
        <v>201</v>
      </c>
      <c r="AP8" s="41" t="s">
        <v>202</v>
      </c>
      <c r="AQ8" s="19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491</v>
      </c>
      <c r="I9" s="59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2">
        <v>212215.35</v>
      </c>
      <c r="S9" s="18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2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515</v>
      </c>
      <c r="I10" s="59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2">
        <v>108153</v>
      </c>
      <c r="S10" s="18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2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485</v>
      </c>
      <c r="I11" s="59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2">
        <v>102179</v>
      </c>
      <c r="S11" s="18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2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419</v>
      </c>
      <c r="I12" s="59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2">
        <v>186881</v>
      </c>
      <c r="S12" s="18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2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417</v>
      </c>
      <c r="I13" s="59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2">
        <v>127275.5</v>
      </c>
      <c r="S13" s="18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2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466</v>
      </c>
      <c r="I14" s="59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2">
        <v>111281</v>
      </c>
      <c r="S14" s="18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2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483</v>
      </c>
      <c r="I15" s="59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2">
        <v>103487.5</v>
      </c>
      <c r="S15" s="18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2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502</v>
      </c>
      <c r="I16" s="59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2">
        <v>237130</v>
      </c>
      <c r="S16" s="18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2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481</v>
      </c>
      <c r="I17" s="59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479</v>
      </c>
      <c r="I18" s="59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451</v>
      </c>
      <c r="I19" s="59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442</v>
      </c>
      <c r="I20" s="59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463</v>
      </c>
      <c r="I21" s="59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441</v>
      </c>
      <c r="I22" s="59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484</v>
      </c>
      <c r="I23" s="59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509</v>
      </c>
      <c r="I24" s="59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517</v>
      </c>
      <c r="I25" s="59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422</v>
      </c>
      <c r="I26" s="59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416</v>
      </c>
      <c r="I27" s="59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510</v>
      </c>
      <c r="I28" s="59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414</v>
      </c>
      <c r="I29" s="59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410</v>
      </c>
      <c r="I30" s="59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496</v>
      </c>
      <c r="I31" s="59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465</v>
      </c>
      <c r="I32" s="59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437</v>
      </c>
      <c r="I33" s="59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415</v>
      </c>
      <c r="I34" s="59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446</v>
      </c>
      <c r="I35" s="59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467</v>
      </c>
      <c r="I36" s="59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477</v>
      </c>
      <c r="I37" s="59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445</v>
      </c>
      <c r="I38" s="59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418</v>
      </c>
      <c r="I39" s="59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480</v>
      </c>
      <c r="I40" s="59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464</v>
      </c>
      <c r="I41" s="59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505</v>
      </c>
      <c r="I42" s="59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511</v>
      </c>
      <c r="I43" s="59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455</v>
      </c>
      <c r="I44" s="59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424</v>
      </c>
      <c r="I45" s="59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469</v>
      </c>
      <c r="I46" s="59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430</v>
      </c>
      <c r="I47" s="59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412</v>
      </c>
      <c r="I48" s="59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443</v>
      </c>
      <c r="I49" s="59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433</v>
      </c>
      <c r="I50" s="59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450</v>
      </c>
      <c r="I51" s="59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406</v>
      </c>
      <c r="I52" s="59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490</v>
      </c>
      <c r="I53" s="59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456</v>
      </c>
      <c r="I54" s="59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454</v>
      </c>
      <c r="I55" s="59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468</v>
      </c>
      <c r="I56" s="59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458</v>
      </c>
      <c r="I57" s="59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481</v>
      </c>
      <c r="I58" s="59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426</v>
      </c>
      <c r="I59" s="59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436</v>
      </c>
      <c r="I60" s="59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452</v>
      </c>
      <c r="I61" s="59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438</v>
      </c>
      <c r="I62" s="59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476</v>
      </c>
      <c r="I63" s="59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413</v>
      </c>
      <c r="I64" s="59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457</v>
      </c>
      <c r="I65" s="59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435</v>
      </c>
      <c r="I66" s="59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518</v>
      </c>
      <c r="I67" s="59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513</v>
      </c>
      <c r="I68" s="59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421</v>
      </c>
      <c r="I69" s="59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473</v>
      </c>
      <c r="I70" s="59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461</v>
      </c>
      <c r="I71" s="59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429</v>
      </c>
      <c r="I72" s="59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420</v>
      </c>
      <c r="I73" s="59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440</v>
      </c>
      <c r="I74" s="59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434</v>
      </c>
      <c r="I75" s="59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426</v>
      </c>
      <c r="I76" s="59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501</v>
      </c>
      <c r="I77" s="59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460</v>
      </c>
      <c r="I78" s="59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427</v>
      </c>
      <c r="I79" s="59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516</v>
      </c>
      <c r="I80" s="59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I159"/>
  <sheetViews>
    <sheetView zoomScale="70" zoomScaleNormal="70" workbookViewId="0">
      <selection activeCell="F15" sqref="F15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9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87" x14ac:dyDescent="0.25">
      <c r="L1" s="59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76" t="s">
        <v>405</v>
      </c>
      <c r="J2" s="66" t="s">
        <v>533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s="74" t="s">
        <v>6</v>
      </c>
      <c r="B3" s="73" t="s">
        <v>17</v>
      </c>
      <c r="C3" s="74"/>
      <c r="D3" s="74"/>
      <c r="E3" s="74" t="s">
        <v>6</v>
      </c>
      <c r="F3" s="73" t="s">
        <v>17</v>
      </c>
      <c r="G3" s="73"/>
      <c r="H3" s="73" t="s">
        <v>412</v>
      </c>
      <c r="I3" s="75">
        <v>44886</v>
      </c>
      <c r="J3" s="75" t="s">
        <v>534</v>
      </c>
      <c r="K3" s="59"/>
      <c r="L3" s="59"/>
      <c r="M3" s="34">
        <v>2025</v>
      </c>
      <c r="N3" s="34" t="s">
        <v>148</v>
      </c>
      <c r="O3" s="34">
        <v>22</v>
      </c>
    </row>
    <row r="4" spans="1:87" x14ac:dyDescent="0.25">
      <c r="A4" s="74" t="s">
        <v>9</v>
      </c>
      <c r="B4" s="73" t="s">
        <v>37</v>
      </c>
      <c r="C4" s="74"/>
      <c r="D4" s="74"/>
      <c r="E4" s="74" t="s">
        <v>9</v>
      </c>
      <c r="F4" s="73" t="s">
        <v>37</v>
      </c>
      <c r="G4" s="73"/>
      <c r="H4" s="73" t="s">
        <v>427</v>
      </c>
      <c r="I4" s="75">
        <v>45112</v>
      </c>
      <c r="J4" s="75" t="s">
        <v>534</v>
      </c>
      <c r="K4" s="59"/>
      <c r="L4" s="59"/>
    </row>
    <row r="5" spans="1:87" x14ac:dyDescent="0.25">
      <c r="A5" s="74" t="s">
        <v>8</v>
      </c>
      <c r="B5" s="73" t="s">
        <v>59</v>
      </c>
      <c r="C5" s="74"/>
      <c r="D5" s="74"/>
      <c r="E5" s="74" t="s">
        <v>8</v>
      </c>
      <c r="F5" s="73" t="s">
        <v>59</v>
      </c>
      <c r="G5" s="73"/>
      <c r="H5" s="73" t="s">
        <v>457</v>
      </c>
      <c r="I5" s="75">
        <v>45344</v>
      </c>
      <c r="J5" s="75" t="s">
        <v>534</v>
      </c>
      <c r="K5" s="59"/>
      <c r="L5" s="59"/>
    </row>
    <row r="6" spans="1:87" x14ac:dyDescent="0.25">
      <c r="A6" s="74" t="s">
        <v>3</v>
      </c>
      <c r="B6" s="73" t="s">
        <v>32</v>
      </c>
      <c r="C6" s="74"/>
      <c r="D6" s="74"/>
      <c r="E6" s="74" t="s">
        <v>3</v>
      </c>
      <c r="F6" s="73" t="s">
        <v>32</v>
      </c>
      <c r="G6" s="73"/>
      <c r="H6" s="73" t="s">
        <v>417</v>
      </c>
      <c r="I6" s="75">
        <v>45526</v>
      </c>
      <c r="J6" s="75" t="s">
        <v>534</v>
      </c>
      <c r="K6" s="59"/>
      <c r="L6" s="59"/>
    </row>
    <row r="7" spans="1:87" x14ac:dyDescent="0.25">
      <c r="A7" s="74" t="s">
        <v>2</v>
      </c>
      <c r="B7" s="73" t="s">
        <v>66</v>
      </c>
      <c r="C7" s="74"/>
      <c r="D7" s="74"/>
      <c r="E7" s="74" t="s">
        <v>2</v>
      </c>
      <c r="F7" s="73" t="s">
        <v>66</v>
      </c>
      <c r="G7" s="73"/>
      <c r="H7" s="73" t="s">
        <v>410</v>
      </c>
      <c r="I7" s="75">
        <v>45457</v>
      </c>
      <c r="J7" s="75" t="s">
        <v>534</v>
      </c>
      <c r="K7" s="59"/>
      <c r="L7" s="59"/>
    </row>
    <row r="8" spans="1:87" x14ac:dyDescent="0.25">
      <c r="A8" s="74" t="s">
        <v>4</v>
      </c>
      <c r="B8" s="73" t="s">
        <v>110</v>
      </c>
      <c r="C8" s="74"/>
      <c r="D8" s="74"/>
      <c r="E8" s="74" t="s">
        <v>4</v>
      </c>
      <c r="F8" s="73" t="s">
        <v>110</v>
      </c>
      <c r="G8" s="73"/>
      <c r="H8" s="73" t="s">
        <v>481</v>
      </c>
      <c r="I8" s="75">
        <v>44993</v>
      </c>
      <c r="J8" s="75" t="s">
        <v>534</v>
      </c>
      <c r="K8" s="59"/>
      <c r="L8" s="59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567</v>
      </c>
      <c r="T8" s="14" t="s">
        <v>537</v>
      </c>
      <c r="U8" s="14" t="s">
        <v>559</v>
      </c>
      <c r="V8" s="14" t="s">
        <v>563</v>
      </c>
      <c r="W8" s="14" t="s">
        <v>538</v>
      </c>
      <c r="X8" s="14" t="s">
        <v>539</v>
      </c>
      <c r="Y8" s="14" t="s">
        <v>540</v>
      </c>
      <c r="Z8" s="14" t="s">
        <v>541</v>
      </c>
      <c r="AA8" s="14" t="s">
        <v>542</v>
      </c>
      <c r="AB8" s="14" t="s">
        <v>560</v>
      </c>
      <c r="AC8" s="14" t="s">
        <v>564</v>
      </c>
      <c r="AD8" s="14" t="s">
        <v>543</v>
      </c>
      <c r="AE8" s="14" t="s">
        <v>544</v>
      </c>
      <c r="AF8" s="14" t="s">
        <v>545</v>
      </c>
      <c r="AG8" s="14" t="s">
        <v>546</v>
      </c>
      <c r="AH8" s="14" t="s">
        <v>547</v>
      </c>
      <c r="AI8" s="14" t="s">
        <v>561</v>
      </c>
      <c r="AJ8" s="14" t="s">
        <v>565</v>
      </c>
      <c r="AK8" s="14" t="s">
        <v>548</v>
      </c>
      <c r="AL8" s="14" t="s">
        <v>549</v>
      </c>
      <c r="AM8" s="14" t="s">
        <v>550</v>
      </c>
      <c r="AN8" s="14" t="s">
        <v>551</v>
      </c>
      <c r="AO8" s="14" t="s">
        <v>552</v>
      </c>
      <c r="AP8" s="14" t="s">
        <v>562</v>
      </c>
      <c r="AQ8" s="14" t="s">
        <v>566</v>
      </c>
      <c r="AR8" s="14" t="s">
        <v>553</v>
      </c>
      <c r="AS8" s="14" t="s">
        <v>554</v>
      </c>
      <c r="AT8" s="14" t="s">
        <v>555</v>
      </c>
      <c r="AU8" s="14" t="s">
        <v>556</v>
      </c>
      <c r="AV8" s="14" t="s">
        <v>557</v>
      </c>
      <c r="AW8" s="14" t="s">
        <v>558</v>
      </c>
      <c r="AX8" s="15" t="s">
        <v>536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567</v>
      </c>
      <c r="BE8" s="41" t="s">
        <v>537</v>
      </c>
      <c r="BF8" s="41" t="s">
        <v>559</v>
      </c>
      <c r="BG8" s="41" t="s">
        <v>563</v>
      </c>
      <c r="BH8" s="41" t="s">
        <v>538</v>
      </c>
      <c r="BI8" s="41" t="s">
        <v>539</v>
      </c>
      <c r="BJ8" s="41" t="s">
        <v>540</v>
      </c>
      <c r="BK8" s="41" t="s">
        <v>541</v>
      </c>
      <c r="BL8" s="41" t="s">
        <v>542</v>
      </c>
      <c r="BM8" s="41" t="s">
        <v>560</v>
      </c>
      <c r="BN8" s="41" t="s">
        <v>564</v>
      </c>
      <c r="BO8" s="41" t="s">
        <v>543</v>
      </c>
      <c r="BP8" s="41" t="s">
        <v>544</v>
      </c>
      <c r="BQ8" s="41" t="s">
        <v>545</v>
      </c>
      <c r="BR8" s="41" t="s">
        <v>546</v>
      </c>
      <c r="BS8" s="41" t="s">
        <v>547</v>
      </c>
      <c r="BT8" s="41" t="s">
        <v>561</v>
      </c>
      <c r="BU8" s="41" t="s">
        <v>565</v>
      </c>
      <c r="BV8" s="41" t="s">
        <v>548</v>
      </c>
      <c r="BW8" s="41" t="s">
        <v>549</v>
      </c>
      <c r="BX8" s="41" t="s">
        <v>550</v>
      </c>
      <c r="BY8" s="41" t="s">
        <v>551</v>
      </c>
      <c r="BZ8" s="41" t="s">
        <v>552</v>
      </c>
      <c r="CA8" s="41" t="s">
        <v>562</v>
      </c>
      <c r="CB8" s="41" t="s">
        <v>566</v>
      </c>
      <c r="CC8" s="41" t="s">
        <v>553</v>
      </c>
      <c r="CD8" s="41" t="s">
        <v>554</v>
      </c>
      <c r="CE8" s="41" t="s">
        <v>555</v>
      </c>
      <c r="CF8" s="41" t="s">
        <v>556</v>
      </c>
      <c r="CG8" s="41" t="s">
        <v>557</v>
      </c>
      <c r="CH8" s="41" t="s">
        <v>558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472</v>
      </c>
      <c r="I9" s="59">
        <v>44111</v>
      </c>
      <c r="J9" s="59" t="s">
        <v>535</v>
      </c>
      <c r="K9" s="59"/>
      <c r="L9" s="59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Row],[ASER_]]="","",IFERROR(_xlfn.IFS(M11&gt;=100%,"&gt;100%",AND(M11&lt;100%,M11&gt;=70%),"&gt;70%",AND(M11&lt;70%,M11&gt;=40%),"&gt;40%",AND(M11&lt;40%,M11&gt;=0%),"&gt;0%"),""))</f>
        <v>&gt;40%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2">
        <f>MAX(DITE_OCTUBRE_2025[[#This Row],[1]:[31]])</f>
        <v>617356.96</v>
      </c>
      <c r="BB9" s="18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2" t="str">
        <f>VLOOKUP($M$3&amp;$N$3&amp;DITE_OCTUBRE_2025[[#This Row],[SUPER]],TablaMeta[],7,0)</f>
        <v>BBVA - NUEVO</v>
      </c>
    </row>
    <row r="10" spans="1:87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494</v>
      </c>
      <c r="I10" s="59">
        <v>45804</v>
      </c>
      <c r="J10" s="59" t="s">
        <v>535</v>
      </c>
      <c r="K10" s="59"/>
      <c r="L10" s="59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Row],[ASER_]]="","",IFERROR(_xlfn.IFS(M12&gt;=100%,"&gt;100%",AND(M12&lt;100%,M12&gt;=70%),"&gt;70%",AND(M12&lt;70%,M12&gt;=40%),"&gt;40%",AND(M12&lt;40%,M12&gt;=0%),"&gt;0%"),""))</f>
        <v>&gt;0%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2">
        <f>MAX(DITE_OCTUBRE_2025[[#This Row],[1]:[31]])</f>
        <v>228768</v>
      </c>
      <c r="BB10" s="18">
        <f>IFERROR(DITE_OCTUBRE_2025[[#This Row],[RECUPERO SUPERVISOR]]/DITE_OCTUBRE_2025[[#This Row],[META SUPER]],"")</f>
        <v>0.90337509921535952</v>
      </c>
      <c r="BC10" t="s">
        <v>2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2" t="str">
        <f>VLOOKUP($M$3&amp;$N$3&amp;DITE_OCTUBRE_2025[[#This Row],[SUPER]],TablaMeta[],7,0)</f>
        <v>S2</v>
      </c>
    </row>
    <row r="11" spans="1:87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448</v>
      </c>
      <c r="I11" s="59">
        <v>44748</v>
      </c>
      <c r="J11" s="59" t="s">
        <v>535</v>
      </c>
      <c r="K11" s="59"/>
      <c r="L11" s="59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Row],[ASER_]]="","",IFERROR(_xlfn.IFS(M13&gt;=100%,"&gt;100%",AND(M13&lt;100%,M13&gt;=70%),"&gt;70%",AND(M13&lt;70%,M13&gt;=40%),"&gt;40%",AND(M13&lt;40%,M13&gt;=0%),"&gt;0%"),""))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2">
        <f>MAX(DITE_OCTUBRE_2025[[#This Row],[1]:[31]])</f>
        <v>200576.3</v>
      </c>
      <c r="BB11" s="18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2" t="str">
        <f>VLOOKUP($M$3&amp;$N$3&amp;DITE_OCTUBRE_2025[[#This Row],[SUPER]],TablaMeta[],7,0)</f>
        <v>S2</v>
      </c>
    </row>
    <row r="12" spans="1:87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498</v>
      </c>
      <c r="I12" s="59">
        <v>45793</v>
      </c>
      <c r="J12" s="59" t="s">
        <v>535</v>
      </c>
      <c r="K12" s="59"/>
      <c r="L12" s="59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Row],[ASER_]]="","",IFERROR(_xlfn.IFS(M14&gt;=100%,"&gt;100%",AND(M14&lt;100%,M14&gt;=70%),"&gt;70%",AND(M14&lt;70%,M14&gt;=40%),"&gt;40%",AND(M14&lt;40%,M14&gt;=0%),"&gt;0%"),""))</f>
        <v>&gt;70%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2">
        <f>MAX(DITE_OCTUBRE_2025[[#This Row],[1]:[31]])</f>
        <v>342721.12</v>
      </c>
      <c r="BB12" s="18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2" t="str">
        <f>VLOOKUP($M$3&amp;$N$3&amp;DITE_OCTUBRE_2025[[#This Row],[SUPER]],TablaMeta[],7,0)</f>
        <v>S1</v>
      </c>
    </row>
    <row r="13" spans="1:87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508</v>
      </c>
      <c r="I13" s="59">
        <v>45875</v>
      </c>
      <c r="J13" s="59" t="s">
        <v>535</v>
      </c>
      <c r="K13" s="59"/>
      <c r="L13" s="59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Row],[ASER_]]="","",IFERROR(_xlfn.IFS(M15&gt;=100%,"&gt;100%",AND(M15&lt;100%,M15&gt;=70%),"&gt;70%",AND(M15&lt;70%,M15&gt;=40%),"&gt;40%",AND(M15&lt;40%,M15&gt;=0%),"&gt;0%"),""))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2">
        <f>MAX(DITE_OCTUBRE_2025[[#This Row],[1]:[31]])</f>
        <v>226204.5</v>
      </c>
      <c r="BB13" s="18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2" t="str">
        <f>VLOOKUP($M$3&amp;$N$3&amp;DITE_OCTUBRE_2025[[#This Row],[SUPER]],TablaMeta[],7,0)</f>
        <v>S1</v>
      </c>
    </row>
    <row r="14" spans="1:87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512</v>
      </c>
      <c r="I14" s="59">
        <v>45889</v>
      </c>
      <c r="J14" s="59" t="s">
        <v>535</v>
      </c>
      <c r="K14" s="59"/>
      <c r="L14" s="59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Row],[ASER_]]="","",IFERROR(_xlfn.IFS(M16&gt;=100%,"&gt;100%",AND(M16&lt;100%,M16&gt;=70%),"&gt;70%",AND(M16&lt;70%,M16&gt;=40%),"&gt;40%",AND(M16&lt;40%,M16&gt;=0%),"&gt;0%"),""))</f>
        <v>&gt;100%</v>
      </c>
      <c r="O14" t="s">
        <v>2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2">
        <f>MAX(DITE_OCTUBRE_2025[[#This Row],[1]:[31]])</f>
        <v>256224</v>
      </c>
      <c r="BB14" s="18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2" t="str">
        <f>VLOOKUP($M$3&amp;$N$3&amp;DITE_OCTUBRE_2025[[#This Row],[SUPER]],TablaMeta[],7,0)</f>
        <v>IBK - NUEVO</v>
      </c>
    </row>
    <row r="15" spans="1:87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466</v>
      </c>
      <c r="I15" s="59">
        <v>44869</v>
      </c>
      <c r="J15" s="59" t="s">
        <v>535</v>
      </c>
      <c r="K15" s="59"/>
      <c r="L15" s="59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Row],[ASER_]]="","",IFERROR(_xlfn.IFS(M17&gt;=100%,"&gt;100%",AND(M17&lt;100%,M17&gt;=70%),"&gt;70%",AND(M17&lt;70%,M17&gt;=40%),"&gt;40%",AND(M17&lt;40%,M17&gt;=0%),"&gt;0%"),""))</f>
        <v>&gt;70%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2">
        <f>MAX(DITE_OCTUBRE_2025[[#This Row],[1]:[31]])</f>
        <v>186482.05</v>
      </c>
      <c r="BB15" s="18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2" t="str">
        <f>VLOOKUP($M$3&amp;$N$3&amp;DITE_OCTUBRE_2025[[#This Row],[SUPER]],TablaMeta[],7,0)</f>
        <v>S3 - 4</v>
      </c>
    </row>
    <row r="16" spans="1:87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419</v>
      </c>
      <c r="I16" s="59">
        <v>44748</v>
      </c>
      <c r="J16" s="59" t="s">
        <v>535</v>
      </c>
      <c r="K16" s="59"/>
      <c r="L16" s="59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Row],[ASER_]]="","",IFERROR(_xlfn.IFS(M18&gt;=100%,"&gt;100%",AND(M18&lt;100%,M18&gt;=70%),"&gt;70%",AND(M18&lt;70%,M18&gt;=40%),"&gt;40%",AND(M18&lt;40%,M18&gt;=0%),"&gt;0%"),""))</f>
        <v>&gt;40%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2">
        <f>MAX(DITE_OCTUBRE_2025[[#This Row],[1]:[31]])</f>
        <v>238244.12</v>
      </c>
      <c r="BB16" s="18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2" t="str">
        <f>VLOOKUP($M$3&amp;$N$3&amp;DITE_OCTUBRE_2025[[#This Row],[SUPER]],TablaMeta[],7,0)</f>
        <v>S3 - 4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484</v>
      </c>
      <c r="I17" s="59">
        <v>45727</v>
      </c>
      <c r="J17" s="59" t="s">
        <v>535</v>
      </c>
      <c r="K17" s="59"/>
      <c r="L17" s="59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Row],[ASER_]]="","",IFERROR(_xlfn.IFS(M19&gt;=100%,"&gt;100%",AND(M19&lt;100%,M19&gt;=70%),"&gt;70%",AND(M19&lt;70%,M19&gt;=40%),"&gt;40%",AND(M19&lt;40%,M19&gt;=0%),"&gt;0%"),""))</f>
        <v>&gt;100%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515</v>
      </c>
      <c r="I18" s="59">
        <v>45875</v>
      </c>
      <c r="J18" s="59" t="s">
        <v>535</v>
      </c>
      <c r="K18" s="59"/>
      <c r="L18" s="59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Row],[ASER_]]="","",IFERROR(_xlfn.IFS(M20&gt;=100%,"&gt;100%",AND(M20&lt;100%,M20&gt;=70%),"&gt;70%",AND(M20&lt;70%,M20&gt;=40%),"&gt;40%",AND(M20&lt;40%,M20&gt;=0%),"&gt;0%"),""))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451</v>
      </c>
      <c r="I19" s="59">
        <v>45429</v>
      </c>
      <c r="J19" s="59" t="s">
        <v>535</v>
      </c>
      <c r="K19" s="59"/>
      <c r="L19" s="59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Row],[ASER_]]="","",IFERROR(_xlfn.IFS(M21&gt;=100%,"&gt;100%",AND(M21&lt;100%,M21&gt;=70%),"&gt;70%",AND(M21&lt;70%,M21&gt;=40%),"&gt;40%",AND(M21&lt;40%,M21&gt;=0%),"&gt;0%"),""))</f>
        <v>&gt;0%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509</v>
      </c>
      <c r="I20" s="59">
        <v>44644</v>
      </c>
      <c r="J20" s="59" t="s">
        <v>535</v>
      </c>
      <c r="K20" s="59"/>
      <c r="L20" s="59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Row],[ASER_]]="","",IFERROR(_xlfn.IFS(M22&gt;=100%,"&gt;100%",AND(M22&lt;100%,M22&gt;=70%),"&gt;70%",AND(M22&lt;70%,M22&gt;=40%),"&gt;40%",AND(M22&lt;40%,M22&gt;=0%),"&gt;0%"),""))</f>
        <v>&gt;100%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428</v>
      </c>
      <c r="I21" s="59">
        <v>44748</v>
      </c>
      <c r="J21" s="59" t="s">
        <v>535</v>
      </c>
      <c r="K21" s="59"/>
      <c r="L21" s="59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Row],[ASER_]]="","",IFERROR(_xlfn.IFS(M23&gt;=100%,"&gt;100%",AND(M23&lt;100%,M23&gt;=70%),"&gt;70%",AND(M23&lt;70%,M23&gt;=40%),"&gt;40%",AND(M23&lt;40%,M23&gt;=0%),"&gt;0%"),""))</f>
        <v>&gt;100%</v>
      </c>
      <c r="O21" t="s">
        <v>2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502</v>
      </c>
      <c r="I22" s="59">
        <v>45818</v>
      </c>
      <c r="J22" s="59" t="s">
        <v>535</v>
      </c>
      <c r="K22" s="59"/>
      <c r="L22" s="59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Row],[ASER_]]="","",IFERROR(_xlfn.IFS(M24&gt;=100%,"&gt;100%",AND(M24&lt;100%,M24&gt;=70%),"&gt;70%",AND(M24&lt;70%,M24&gt;=40%),"&gt;40%",AND(M24&lt;40%,M24&gt;=0%),"&gt;0%"),""))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441</v>
      </c>
      <c r="I23" s="59">
        <v>45423</v>
      </c>
      <c r="J23" s="59" t="s">
        <v>535</v>
      </c>
      <c r="K23" s="59"/>
      <c r="L23" s="59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Row],[ASER_]]="","",IFERROR(_xlfn.IFS(M25&gt;=100%,"&gt;100%",AND(M25&lt;100%,M25&gt;=70%),"&gt;70%",AND(M25&lt;70%,M25&gt;=40%),"&gt;40%",AND(M25&lt;40%,M25&gt;=0%),"&gt;0%"),""))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422</v>
      </c>
      <c r="I24" s="59">
        <v>44470</v>
      </c>
      <c r="J24" s="59" t="s">
        <v>535</v>
      </c>
      <c r="K24" s="59"/>
      <c r="L24" s="59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Row],[ASER_]]="","",IFERROR(_xlfn.IFS(M26&gt;=100%,"&gt;100%",AND(M26&lt;100%,M26&gt;=70%),"&gt;70%",AND(M26&lt;70%,M26&gt;=40%),"&gt;40%",AND(M26&lt;40%,M26&gt;=0%),"&gt;0%"),""))</f>
        <v>&gt;0%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513</v>
      </c>
      <c r="I25" s="59">
        <v>45399</v>
      </c>
      <c r="J25" s="59" t="s">
        <v>535</v>
      </c>
      <c r="K25" s="59"/>
      <c r="L25" s="59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Row],[ASER_]]="","",IFERROR(_xlfn.IFS(M27&gt;=100%,"&gt;100%",AND(M27&lt;100%,M27&gt;=70%),"&gt;70%",AND(M27&lt;70%,M27&gt;=40%),"&gt;40%",AND(M27&lt;40%,M27&gt;=0%),"&gt;0%"),""))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517</v>
      </c>
      <c r="I26" s="59">
        <v>45917</v>
      </c>
      <c r="J26" s="59" t="s">
        <v>535</v>
      </c>
      <c r="K26" s="59"/>
      <c r="L26" s="59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Row],[ASER_]]="","",IFERROR(_xlfn.IFS(M28&gt;=100%,"&gt;100%",AND(M28&lt;100%,M28&gt;=70%),"&gt;70%",AND(M28&lt;70%,M28&gt;=40%),"&gt;40%",AND(M28&lt;40%,M28&gt;=0%),"&gt;0%"),""))</f>
        <v>&gt;100%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463</v>
      </c>
      <c r="I27" s="59">
        <v>42814</v>
      </c>
      <c r="J27" s="59" t="s">
        <v>535</v>
      </c>
      <c r="K27" s="59"/>
      <c r="L27" s="59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Row],[ASER_]]="","",IFERROR(_xlfn.IFS(M29&gt;=100%,"&gt;100%",AND(M29&lt;100%,M29&gt;=70%),"&gt;70%",AND(M29&lt;70%,M29&gt;=40%),"&gt;40%",AND(M29&lt;40%,M29&gt;=0%),"&gt;0%"),""))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483</v>
      </c>
      <c r="I28" s="59">
        <v>44104</v>
      </c>
      <c r="J28" s="59" t="s">
        <v>535</v>
      </c>
      <c r="K28" s="59"/>
      <c r="L28" s="59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Row],[ASER_]]="","",IFERROR(_xlfn.IFS(M30&gt;=100%,"&gt;100%",AND(M30&lt;100%,M30&gt;=70%),"&gt;70%",AND(M30&lt;70%,M30&gt;=40%),"&gt;40%",AND(M30&lt;40%,M30&gt;=0%),"&gt;0%"),""))</f>
        <v>&gt;0%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2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2</v>
      </c>
      <c r="F29" t="s">
        <v>65</v>
      </c>
      <c r="G29">
        <v>44734</v>
      </c>
      <c r="H29" t="s">
        <v>465</v>
      </c>
      <c r="I29" s="59">
        <v>45021</v>
      </c>
      <c r="J29" s="59" t="s">
        <v>535</v>
      </c>
      <c r="K29" s="59"/>
      <c r="L29" s="59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Row],[ASER_]]="","",IFERROR(_xlfn.IFS(M31&gt;=100%,"&gt;100%",AND(M31&lt;100%,M31&gt;=70%),"&gt;70%",AND(M31&lt;70%,M31&gt;=40%),"&gt;40%",AND(M31&lt;40%,M31&gt;=0%),"&gt;0%"),""))</f>
        <v>&gt;70%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2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2</v>
      </c>
      <c r="F30" t="s">
        <v>91</v>
      </c>
      <c r="G30">
        <v>31860</v>
      </c>
      <c r="H30" t="s">
        <v>510</v>
      </c>
      <c r="I30" s="59">
        <v>45882</v>
      </c>
      <c r="J30" s="59" t="s">
        <v>535</v>
      </c>
      <c r="K30" s="59"/>
      <c r="L30" s="59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Row],[ASER_]]="","",IFERROR(_xlfn.IFS(M32&gt;=100%,"&gt;100%",AND(M32&lt;100%,M32&gt;=70%),"&gt;70%",AND(M32&lt;70%,M32&gt;=40%),"&gt;40%",AND(M32&lt;40%,M32&gt;=0%),"&gt;0%"),""))</f>
        <v>&gt;70%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2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2</v>
      </c>
      <c r="F31" t="s">
        <v>16</v>
      </c>
      <c r="G31">
        <v>30613</v>
      </c>
      <c r="H31" t="s">
        <v>415</v>
      </c>
      <c r="I31" s="59">
        <v>45334</v>
      </c>
      <c r="J31" s="59" t="s">
        <v>535</v>
      </c>
      <c r="K31" s="59"/>
      <c r="L31" s="59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Row],[ASER_]]="","",IFERROR(_xlfn.IFS(M33&gt;=100%,"&gt;100%",AND(M33&lt;100%,M33&gt;=70%),"&gt;70%",AND(M33&lt;70%,M33&gt;=40%),"&gt;40%",AND(M33&lt;40%,M33&gt;=0%),"&gt;0%"),""))</f>
        <v>&gt;70%</v>
      </c>
      <c r="O31" t="s">
        <v>2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2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2</v>
      </c>
      <c r="F32" t="s">
        <v>15</v>
      </c>
      <c r="G32">
        <v>30834</v>
      </c>
      <c r="H32" t="s">
        <v>437</v>
      </c>
      <c r="I32" s="59">
        <v>44735</v>
      </c>
      <c r="J32" s="59" t="s">
        <v>535</v>
      </c>
      <c r="K32" s="59"/>
      <c r="L32" s="59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Row],[ASER_]]="","",IFERROR(_xlfn.IFS(M34&gt;=100%,"&gt;100%",AND(M34&lt;100%,M34&gt;=70%),"&gt;70%",AND(M34&lt;70%,M34&gt;=40%),"&gt;40%",AND(M34&lt;40%,M34&gt;=0%),"&gt;0%"),""))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2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2</v>
      </c>
      <c r="F33" t="s">
        <v>38</v>
      </c>
      <c r="G33">
        <v>30627</v>
      </c>
      <c r="H33" t="s">
        <v>496</v>
      </c>
      <c r="I33" s="59">
        <v>45805</v>
      </c>
      <c r="J33" s="59" t="s">
        <v>535</v>
      </c>
      <c r="K33" s="59"/>
      <c r="L33" s="59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Row],[ASER_]]="","",IFERROR(_xlfn.IFS(M35&gt;=100%,"&gt;100%",AND(M35&lt;100%,M35&gt;=70%),"&gt;70%",AND(M35&lt;70%,M35&gt;=40%),"&gt;40%",AND(M35&lt;40%,M35&gt;=0%),"&gt;0%"),""))</f>
        <v>&gt;100%</v>
      </c>
      <c r="O33" t="s">
        <v>2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2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2</v>
      </c>
      <c r="F34" t="s">
        <v>12</v>
      </c>
      <c r="G34">
        <v>27763</v>
      </c>
      <c r="H34" t="s">
        <v>416</v>
      </c>
      <c r="I34" s="59">
        <v>44870</v>
      </c>
      <c r="J34" s="59" t="s">
        <v>535</v>
      </c>
      <c r="K34" s="59"/>
      <c r="L34" s="59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Row],[ASER_]]="","",IFERROR(_xlfn.IFS(M36&gt;=100%,"&gt;100%",AND(M36&lt;100%,M36&gt;=70%),"&gt;70%",AND(M36&lt;70%,M36&gt;=40%),"&gt;40%",AND(M36&lt;40%,M36&gt;=0%),"&gt;0%"),""))</f>
        <v>&gt;100%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2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2</v>
      </c>
      <c r="F35" t="s">
        <v>73</v>
      </c>
      <c r="G35">
        <v>14095</v>
      </c>
      <c r="H35" t="s">
        <v>447</v>
      </c>
      <c r="I35" s="59">
        <v>45145</v>
      </c>
      <c r="J35" s="59" t="s">
        <v>535</v>
      </c>
      <c r="K35" s="59"/>
      <c r="L35" s="59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Row],[ASER_]]="","",IFERROR(_xlfn.IFS(M37&gt;=100%,"&gt;100%",AND(M37&lt;100%,M37&gt;=70%),"&gt;70%",AND(M37&lt;70%,M37&gt;=40%),"&gt;40%",AND(M37&lt;40%,M37&gt;=0%),"&gt;0%"),""))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2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2</v>
      </c>
      <c r="F36" t="s">
        <v>41</v>
      </c>
      <c r="G36">
        <v>10734</v>
      </c>
      <c r="H36" t="s">
        <v>414</v>
      </c>
      <c r="I36" s="59">
        <v>45304</v>
      </c>
      <c r="J36" s="59" t="s">
        <v>535</v>
      </c>
      <c r="K36" s="59"/>
      <c r="L36" s="59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Row],[ASER_]]="","",IFERROR(_xlfn.IFS(M38&gt;=100%,"&gt;100%",AND(M38&lt;100%,M38&gt;=70%),"&gt;70%",AND(M38&lt;70%,M38&gt;=40%),"&gt;40%",AND(M38&lt;40%,M38&gt;=0%),"&gt;0%"),""))</f>
        <v>&gt;40%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477</v>
      </c>
      <c r="I37" s="59">
        <v>45084</v>
      </c>
      <c r="J37" s="59" t="s">
        <v>535</v>
      </c>
      <c r="K37" s="59"/>
      <c r="L37" s="59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Row],[ASER_]]="","",IFERROR(_xlfn.IFS(M39&gt;=100%,"&gt;100%",AND(M39&lt;100%,M39&gt;=70%),"&gt;70%",AND(M39&lt;70%,M39&gt;=40%),"&gt;40%",AND(M39&lt;40%,M39&gt;=0%),"&gt;0%"),""))</f>
        <v>&gt;40%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467</v>
      </c>
      <c r="I38" s="59">
        <v>45364</v>
      </c>
      <c r="J38" s="59" t="s">
        <v>535</v>
      </c>
      <c r="K38" s="59"/>
      <c r="L38" s="59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Row],[ASER_]]="","",IFERROR(_xlfn.IFS(M40&gt;=100%,"&gt;100%",AND(M40&lt;100%,M40&gt;=70%),"&gt;70%",AND(M40&lt;70%,M40&gt;=40%),"&gt;40%",AND(M40&lt;40%,M40&gt;=0%),"&gt;0%"),""))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480</v>
      </c>
      <c r="I39" s="59">
        <v>44566</v>
      </c>
      <c r="J39" s="59" t="s">
        <v>535</v>
      </c>
      <c r="K39" s="59"/>
      <c r="L39" s="59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Row],[ASER_]]="","",IFERROR(_xlfn.IFS(M41&gt;=100%,"&gt;100%",AND(M41&lt;100%,M41&gt;=70%),"&gt;70%",AND(M41&lt;70%,M41&gt;=40%),"&gt;40%",AND(M41&lt;40%,M41&gt;=0%),"&gt;0%"),""))</f>
        <v>&gt;0%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464</v>
      </c>
      <c r="I40" s="59">
        <v>45671</v>
      </c>
      <c r="J40" s="59" t="s">
        <v>535</v>
      </c>
      <c r="K40" s="59"/>
      <c r="L40" s="59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Row],[ASER_]]="","",IFERROR(_xlfn.IFS(M42&gt;=100%,"&gt;100%",AND(M42&lt;100%,M42&gt;=70%),"&gt;70%",AND(M42&lt;70%,M42&gt;=40%),"&gt;40%",AND(M42&lt;40%,M42&gt;=0%),"&gt;0%"),""))</f>
        <v>&gt;0%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418</v>
      </c>
      <c r="I41" s="59">
        <v>44259</v>
      </c>
      <c r="J41" s="59" t="s">
        <v>535</v>
      </c>
      <c r="K41" s="59"/>
      <c r="L41" s="59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Row],[ASER_]]="","",IFERROR(_xlfn.IFS(M43&gt;=100%,"&gt;100%",AND(M43&lt;100%,M43&gt;=70%),"&gt;70%",AND(M43&lt;70%,M43&gt;=40%),"&gt;40%",AND(M43&lt;40%,M43&gt;=0%),"&gt;0%"),""))</f>
        <v>&gt;40%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446</v>
      </c>
      <c r="I42" s="59">
        <v>45451</v>
      </c>
      <c r="J42" s="59" t="s">
        <v>535</v>
      </c>
      <c r="K42" s="59"/>
      <c r="L42" s="59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Row],[ASER_]]="","",IFERROR(_xlfn.IFS(M44&gt;=100%,"&gt;100%",AND(M44&lt;100%,M44&gt;=70%),"&gt;70%",AND(M44&lt;70%,M44&gt;=40%),"&gt;40%",AND(M44&lt;40%,M44&gt;=0%),"&gt;0%"),""))</f>
        <v>&gt;70%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505</v>
      </c>
      <c r="I43" s="59">
        <v>45845</v>
      </c>
      <c r="J43" s="59" t="s">
        <v>535</v>
      </c>
      <c r="K43" s="59"/>
      <c r="L43" s="59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Row],[ASER_]]="","",IFERROR(_xlfn.IFS(M45&gt;=100%,"&gt;100%",AND(M45&lt;100%,M45&gt;=70%),"&gt;70%",AND(M45&lt;70%,M45&gt;=40%),"&gt;40%",AND(M45&lt;40%,M45&gt;=0%),"&gt;0%"),""))</f>
        <v>&gt;70%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445</v>
      </c>
      <c r="I44" s="59">
        <v>44971</v>
      </c>
      <c r="J44" s="59" t="s">
        <v>535</v>
      </c>
      <c r="K44" s="59"/>
      <c r="L44" s="59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Row],[ASER_]]="","",IFERROR(_xlfn.IFS(M46&gt;=100%,"&gt;100%",AND(M46&lt;100%,M46&gt;=70%),"&gt;70%",AND(M46&lt;70%,M46&gt;=40%),"&gt;40%",AND(M46&lt;40%,M46&gt;=0%),"&gt;0%"),""))</f>
        <v>&gt;100%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455</v>
      </c>
      <c r="I45" s="59">
        <v>44716</v>
      </c>
      <c r="J45" s="59" t="s">
        <v>535</v>
      </c>
      <c r="K45" s="59"/>
      <c r="L45" s="59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Row],[ASER_]]="","",IFERROR(_xlfn.IFS(M47&gt;=100%,"&gt;100%",AND(M47&lt;100%,M47&gt;=70%),"&gt;70%",AND(M47&lt;70%,M47&gt;=40%),"&gt;40%",AND(M47&lt;40%,M47&gt;=0%),"&gt;0%"),""))</f>
        <v>&gt;0%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469</v>
      </c>
      <c r="I46" s="59">
        <v>45299</v>
      </c>
      <c r="J46" s="59" t="s">
        <v>535</v>
      </c>
      <c r="K46" s="59"/>
      <c r="L46" s="59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Row],[ASER_]]="","",IFERROR(_xlfn.IFS(M48&gt;=100%,"&gt;100%",AND(M48&lt;100%,M48&gt;=70%),"&gt;70%",AND(M48&lt;70%,M48&gt;=40%),"&gt;40%",AND(M48&lt;40%,M48&gt;=0%),"&gt;0%"),""))</f>
        <v>&gt;40%</v>
      </c>
      <c r="O46" t="s">
        <v>2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424</v>
      </c>
      <c r="I47" s="59">
        <v>44945</v>
      </c>
      <c r="J47" s="59" t="s">
        <v>535</v>
      </c>
      <c r="K47" s="59"/>
      <c r="L47" s="59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Row],[ASER_]]="","",IFERROR(_xlfn.IFS(M49&gt;=100%,"&gt;100%",AND(M49&lt;100%,M49&gt;=70%),"&gt;70%",AND(M49&lt;70%,M49&gt;=40%),"&gt;40%",AND(M49&lt;40%,M49&gt;=0%),"&gt;0%"),""))</f>
        <v>&gt;40%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408</v>
      </c>
      <c r="I48" s="59">
        <v>44811</v>
      </c>
      <c r="J48" s="59" t="s">
        <v>535</v>
      </c>
      <c r="K48" s="59"/>
      <c r="L48" s="59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Row],[ASER_]]="","",IFERROR(_xlfn.IFS(M50&gt;=100%,"&gt;100%",AND(M50&lt;100%,M50&gt;=70%),"&gt;70%",AND(M50&lt;70%,M50&gt;=40%),"&gt;40%",AND(M50&lt;40%,M50&gt;=0%),"&gt;0%"),""))</f>
        <v>&gt;70%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511</v>
      </c>
      <c r="I49" s="59">
        <v>45896</v>
      </c>
      <c r="J49" s="59" t="s">
        <v>535</v>
      </c>
      <c r="K49" s="59"/>
      <c r="L49" s="59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Row],[ASER_]]="","",IFERROR(_xlfn.IFS(M51&gt;=100%,"&gt;100%",AND(M51&lt;100%,M51&gt;=70%),"&gt;70%",AND(M51&lt;70%,M51&gt;=40%),"&gt;40%",AND(M51&lt;40%,M51&gt;=0%),"&gt;0%"),""))</f>
        <v>&gt;0%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433</v>
      </c>
      <c r="I50" s="59">
        <v>44941</v>
      </c>
      <c r="J50" s="59" t="s">
        <v>535</v>
      </c>
      <c r="K50" s="59"/>
      <c r="L50" s="59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Row],[ASER_]]="","",IFERROR(_xlfn.IFS(M52&gt;=100%,"&gt;100%",AND(M52&lt;100%,M52&gt;=70%),"&gt;70%",AND(M52&lt;70%,M52&gt;=40%),"&gt;40%",AND(M52&lt;40%,M52&gt;=0%),"&gt;0%"),""))</f>
        <v>&gt;0%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443</v>
      </c>
      <c r="I51" s="59">
        <v>44687</v>
      </c>
      <c r="J51" s="59" t="s">
        <v>535</v>
      </c>
      <c r="K51" s="59"/>
      <c r="L51" s="59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Row],[ASER_]]="","",IFERROR(_xlfn.IFS(M53&gt;=100%,"&gt;100%",AND(M53&lt;100%,M53&gt;=70%),"&gt;70%",AND(M53&lt;70%,M53&gt;=40%),"&gt;40%",AND(M53&lt;40%,M53&gt;=0%),"&gt;0%"),""))</f>
        <v>&gt;70%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430</v>
      </c>
      <c r="I52" s="59">
        <v>45334</v>
      </c>
      <c r="J52" s="59" t="s">
        <v>535</v>
      </c>
      <c r="K52" s="59"/>
      <c r="L52" s="59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Row],[ASER_]]="","",IFERROR(_xlfn.IFS(M54&gt;=100%,"&gt;100%",AND(M54&lt;100%,M54&gt;=70%),"&gt;70%",AND(M54&lt;70%,M54&gt;=40%),"&gt;40%",AND(M54&lt;40%,M54&gt;=0%),"&gt;0%"),""))</f>
        <v>&gt;100%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406</v>
      </c>
      <c r="I53" s="59">
        <v>44461</v>
      </c>
      <c r="J53" s="59" t="s">
        <v>535</v>
      </c>
      <c r="K53" s="59"/>
      <c r="L53" s="59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Row],[ASER_]]="","",IFERROR(_xlfn.IFS(M55&gt;=100%,"&gt;100%",AND(M55&lt;100%,M55&gt;=70%),"&gt;70%",AND(M55&lt;70%,M55&gt;=40%),"&gt;40%",AND(M55&lt;40%,M55&gt;=0%),"&gt;0%"),""))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450</v>
      </c>
      <c r="I54" s="59">
        <v>45323</v>
      </c>
      <c r="J54" s="59" t="s">
        <v>535</v>
      </c>
      <c r="K54" s="59"/>
      <c r="L54" s="59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Row],[ASER_]]="","",IFERROR(_xlfn.IFS(M56&gt;=100%,"&gt;100%",AND(M56&lt;100%,M56&gt;=70%),"&gt;70%",AND(M56&lt;70%,M56&gt;=40%),"&gt;40%",AND(M56&lt;40%,M56&gt;=0%),"&gt;0%"),""))</f>
        <v>&gt;0%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436</v>
      </c>
      <c r="I55" s="59">
        <v>44301</v>
      </c>
      <c r="J55" s="59" t="s">
        <v>535</v>
      </c>
      <c r="K55" s="59"/>
      <c r="L55" s="59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Row],[ASER_]]="","",IFERROR(_xlfn.IFS(M57&gt;=100%,"&gt;100%",AND(M57&lt;100%,M57&gt;=70%),"&gt;70%",AND(M57&lt;70%,M57&gt;=40%),"&gt;40%",AND(M57&lt;40%,M57&gt;=0%),"&gt;0%"),""))</f>
        <v>&gt;0%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456</v>
      </c>
      <c r="I56" s="59">
        <v>45371</v>
      </c>
      <c r="J56" s="59" t="s">
        <v>535</v>
      </c>
      <c r="K56" s="59"/>
      <c r="L56" s="59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Row],[ASER_]]="","",IFERROR(_xlfn.IFS(M58&gt;=100%,"&gt;100%",AND(M58&lt;100%,M58&gt;=70%),"&gt;70%",AND(M58&lt;70%,M58&gt;=40%),"&gt;40%",AND(M58&lt;40%,M58&gt;=0%),"&gt;0%"),""))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468</v>
      </c>
      <c r="I57" s="59">
        <v>43035</v>
      </c>
      <c r="J57" s="59" t="s">
        <v>535</v>
      </c>
      <c r="K57" s="59"/>
      <c r="L57" s="59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Row],[ASER_]]="","",IFERROR(_xlfn.IFS(M59&gt;=100%,"&gt;100%",AND(M59&lt;100%,M59&gt;=70%),"&gt;70%",AND(M59&lt;70%,M59&gt;=40%),"&gt;40%",AND(M59&lt;40%,M59&gt;=0%),"&gt;0%"),""))</f>
        <v>&gt;70%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490</v>
      </c>
      <c r="I58" s="59">
        <v>44657</v>
      </c>
      <c r="J58" s="59" t="s">
        <v>535</v>
      </c>
      <c r="K58" s="59"/>
      <c r="L58" s="59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Row],[ASER_]]="","",IFERROR(_xlfn.IFS(M60&gt;=100%,"&gt;100%",AND(M60&lt;100%,M60&gt;=70%),"&gt;70%",AND(M60&lt;70%,M60&gt;=40%),"&gt;40%",AND(M60&lt;40%,M60&gt;=0%),"&gt;0%"),""))</f>
        <v>&gt;100%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458</v>
      </c>
      <c r="I59" s="59">
        <v>45133</v>
      </c>
      <c r="J59" s="59" t="s">
        <v>535</v>
      </c>
      <c r="K59" s="59"/>
      <c r="L59" s="59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Row],[ASER_]]="","",IFERROR(_xlfn.IFS(M61&gt;=100%,"&gt;100%",AND(M61&lt;100%,M61&gt;=70%),"&gt;70%",AND(M61&lt;70%,M61&gt;=40%),"&gt;40%",AND(M61&lt;40%,M61&gt;=0%),"&gt;0%"),""))</f>
        <v>&gt;40%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454</v>
      </c>
      <c r="I60" s="59">
        <v>45142</v>
      </c>
      <c r="J60" s="59" t="s">
        <v>535</v>
      </c>
      <c r="K60" s="59"/>
      <c r="L60" s="59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Row],[ASER_]]="","",IFERROR(_xlfn.IFS(M62&gt;=100%,"&gt;100%",AND(M62&lt;100%,M62&gt;=70%),"&gt;70%",AND(M62&lt;70%,M62&gt;=40%),"&gt;40%",AND(M62&lt;40%,M62&gt;=0%),"&gt;0%"),""))</f>
        <v>&gt;70%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438</v>
      </c>
      <c r="I61" s="59">
        <v>44909</v>
      </c>
      <c r="J61" s="59" t="s">
        <v>535</v>
      </c>
      <c r="K61" s="59"/>
      <c r="L61" s="59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Row],[ASER_]]="","",IFERROR(_xlfn.IFS(M63&gt;=100%,"&gt;100%",AND(M63&lt;100%,M63&gt;=70%),"&gt;70%",AND(M63&lt;70%,M63&gt;=40%),"&gt;40%",AND(M63&lt;40%,M63&gt;=0%),"&gt;0%"),""))</f>
        <v>&gt;100%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452</v>
      </c>
      <c r="I62" s="59">
        <v>45506</v>
      </c>
      <c r="J62" s="59" t="s">
        <v>535</v>
      </c>
      <c r="K62" s="59"/>
      <c r="L62" s="59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Row],[ASER_]]="","",IFERROR(_xlfn.IFS(M64&gt;=100%,"&gt;100%",AND(M64&lt;100%,M64&gt;=70%),"&gt;70%",AND(M64&lt;70%,M64&gt;=40%),"&gt;40%",AND(M64&lt;40%,M64&gt;=0%),"&gt;0%"),""))</f>
        <v>&gt;70%</v>
      </c>
      <c r="O62" t="s">
        <v>2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435</v>
      </c>
      <c r="I63" s="59">
        <v>44819</v>
      </c>
      <c r="J63" s="59" t="s">
        <v>535</v>
      </c>
      <c r="K63" s="59"/>
      <c r="L63" s="59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Row],[ASER_]]="","",IFERROR(_xlfn.IFS(M65&gt;=100%,"&gt;100%",AND(M65&lt;100%,M65&gt;=70%),"&gt;70%",AND(M65&lt;70%,M65&gt;=40%),"&gt;40%",AND(M65&lt;40%,M65&gt;=0%),"&gt;0%"),""))</f>
        <v>&gt;0%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476</v>
      </c>
      <c r="I64" s="59">
        <v>44706</v>
      </c>
      <c r="J64" s="59" t="s">
        <v>535</v>
      </c>
      <c r="K64" s="59"/>
      <c r="L64" s="59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Row],[ASER_]]="","",IFERROR(_xlfn.IFS(M66&gt;=100%,"&gt;100%",AND(M66&lt;100%,M66&gt;=70%),"&gt;70%",AND(M66&lt;70%,M66&gt;=40%),"&gt;40%",AND(M66&lt;40%,M66&gt;=0%),"&gt;0%"),""))</f>
        <v>&gt;0%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439</v>
      </c>
      <c r="I65" s="59">
        <v>45675</v>
      </c>
      <c r="J65" s="59" t="s">
        <v>535</v>
      </c>
      <c r="K65" s="59"/>
      <c r="L65" s="59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Row],[ASER_]]="","",IFERROR(_xlfn.IFS(M67&gt;=100%,"&gt;100%",AND(M67&lt;100%,M67&gt;=70%),"&gt;70%",AND(M67&lt;70%,M67&gt;=40%),"&gt;40%",AND(M67&lt;40%,M67&gt;=0%),"&gt;0%"),""))</f>
        <v>&gt;40%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442</v>
      </c>
      <c r="I66" s="59">
        <v>45399</v>
      </c>
      <c r="J66" s="59" t="s">
        <v>535</v>
      </c>
      <c r="K66" s="59"/>
      <c r="L66" s="59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Row],[ASER_]]="","",IFERROR(_xlfn.IFS(M68&gt;=100%,"&gt;100%",AND(M68&lt;100%,M68&gt;=70%),"&gt;70%",AND(M68&lt;70%,M68&gt;=40%),"&gt;40%",AND(M68&lt;40%,M68&gt;=0%),"&gt;0%"),""))</f>
        <v>&gt;70%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473</v>
      </c>
      <c r="I67" s="59">
        <v>44820</v>
      </c>
      <c r="J67" s="59" t="s">
        <v>535</v>
      </c>
      <c r="K67" s="59"/>
      <c r="L67" s="59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Row],[ASER_]]="","",IFERROR(_xlfn.IFS(M69&gt;=100%,"&gt;100%",AND(M69&lt;100%,M69&gt;=70%),"&gt;70%",AND(M69&lt;70%,M69&gt;=40%),"&gt;40%",AND(M69&lt;40%,M69&gt;=0%),"&gt;0%"),""))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470</v>
      </c>
      <c r="I68" s="59">
        <v>45590</v>
      </c>
      <c r="J68" s="59" t="s">
        <v>535</v>
      </c>
      <c r="K68" s="59"/>
      <c r="L68" s="59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Row],[ASER_]]="","",IFERROR(_xlfn.IFS(M70&gt;=100%,"&gt;100%",AND(M70&lt;100%,M70&gt;=70%),"&gt;70%",AND(M70&lt;70%,M70&gt;=40%),"&gt;40%",AND(M70&lt;40%,M70&gt;=0%),"&gt;0%"),""))</f>
        <v>&gt;70%</v>
      </c>
      <c r="O68" t="s">
        <v>2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460</v>
      </c>
      <c r="I69" s="59">
        <v>45285</v>
      </c>
      <c r="J69" s="59" t="s">
        <v>535</v>
      </c>
      <c r="K69" s="59"/>
      <c r="L69" s="59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Row],[ASER_]]="","",IFERROR(_xlfn.IFS(M71&gt;=100%,"&gt;100%",AND(M71&lt;100%,M71&gt;=70%),"&gt;70%",AND(M71&lt;70%,M71&gt;=40%),"&gt;40%",AND(M71&lt;40%,M71&gt;=0%),"&gt;0%"),""))</f>
        <v>&gt;70%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426</v>
      </c>
      <c r="I70" s="59">
        <v>44673</v>
      </c>
      <c r="J70" s="59" t="s">
        <v>535</v>
      </c>
      <c r="K70" s="59"/>
      <c r="L70" s="59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Row],[ASER_]]="","",IFERROR(_xlfn.IFS(M72&gt;=100%,"&gt;100%",AND(M72&lt;100%,M72&gt;=70%),"&gt;70%",AND(M72&lt;70%,M72&gt;=40%),"&gt;40%",AND(M72&lt;40%,M72&gt;=0%),"&gt;0%"),""))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434</v>
      </c>
      <c r="I71" s="59">
        <v>45175</v>
      </c>
      <c r="J71" s="59" t="s">
        <v>535</v>
      </c>
      <c r="K71" s="59"/>
      <c r="L71" s="59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Row],[ASER_]]="","",IFERROR(_xlfn.IFS(M73&gt;=100%,"&gt;100%",AND(M73&lt;100%,M73&gt;=70%),"&gt;70%",AND(M73&lt;70%,M73&gt;=40%),"&gt;40%",AND(M73&lt;40%,M73&gt;=0%),"&gt;0%"),""))</f>
        <v>&gt;40%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409</v>
      </c>
      <c r="I72" s="59">
        <v>44811</v>
      </c>
      <c r="J72" s="59" t="s">
        <v>535</v>
      </c>
      <c r="K72" s="59"/>
      <c r="L72" s="59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Row],[ASER_]]="","",IFERROR(_xlfn.IFS(M74&gt;=100%,"&gt;100%",AND(M74&lt;100%,M74&gt;=70%),"&gt;70%",AND(M74&lt;70%,M74&gt;=40%),"&gt;40%",AND(M74&lt;40%,M74&gt;=0%),"&gt;0%"),""))</f>
        <v>&gt;40%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461</v>
      </c>
      <c r="I73" s="59">
        <v>45334</v>
      </c>
      <c r="J73" s="59" t="s">
        <v>535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Row],[ASER_]]="","",IFERROR(_xlfn.IFS(M75&gt;=100%,"&gt;100%",AND(M75&lt;100%,M75&gt;=70%),"&gt;70%",AND(M75&lt;70%,M75&gt;=40%),"&gt;40%",AND(M75&lt;40%,M75&gt;=0%),"&gt;0%"),""))</f>
        <v>&gt;100%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440</v>
      </c>
      <c r="I74" s="59">
        <v>45674</v>
      </c>
      <c r="J74" s="59" t="s">
        <v>535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Row],[ASER_]]="","",IFERROR(_xlfn.IFS(M76&gt;=100%,"&gt;100%",AND(M76&lt;100%,M76&gt;=70%),"&gt;70%",AND(M76&lt;70%,M76&gt;=40%),"&gt;40%",AND(M76&lt;40%,M76&gt;=0%),"&gt;0%"),""))</f>
        <v>&gt;70%</v>
      </c>
      <c r="O74" t="s">
        <v>2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420</v>
      </c>
      <c r="I75" s="59">
        <v>44840</v>
      </c>
      <c r="J75" s="59" t="s">
        <v>535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Row],[ASER_]]="","",IFERROR(_xlfn.IFS(M77&gt;=100%,"&gt;100%",AND(M77&lt;100%,M77&gt;=70%),"&gt;70%",AND(M77&lt;70%,M77&gt;=40%),"&gt;40%",AND(M77&lt;40%,M77&gt;=0%),"&gt;0%"),""))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501</v>
      </c>
      <c r="I76" s="59">
        <v>45819</v>
      </c>
      <c r="J76" s="59" t="s">
        <v>535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Row],[ASER_]]="","",IFERROR(_xlfn.IFS(M78&gt;=100%,"&gt;100%",AND(M78&lt;100%,M78&gt;=70%),"&gt;70%",AND(M78&lt;70%,M78&gt;=40%),"&gt;40%",AND(M78&lt;40%,M78&gt;=0%),"&gt;0%"),""))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516</v>
      </c>
      <c r="I77" s="59">
        <v>45895</v>
      </c>
      <c r="J77" s="59" t="s">
        <v>535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Row],[ASER_]]="","",IFERROR(_xlfn.IFS(M79&gt;=100%,"&gt;100%",AND(M79&lt;100%,M79&gt;=70%),"&gt;70%",AND(M79&lt;70%,M79&gt;=40%),"&gt;40%",AND(M79&lt;40%,M79&gt;=0%),"&gt;0%"),""))</f>
        <v>&gt;70%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429</v>
      </c>
      <c r="I78" s="59">
        <v>45523</v>
      </c>
      <c r="J78" s="59" t="s">
        <v>535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Row],[ASER_]]="","",IFERROR(_xlfn.IFS(M80&gt;=100%,"&gt;100%",AND(M80&lt;100%,M80&gt;=70%),"&gt;70%",AND(M80&lt;70%,M80&gt;=40%),"&gt;40%",AND(M80&lt;40%,M80&gt;=0%),"&gt;0%"),""))</f>
        <v>&gt;0%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421</v>
      </c>
      <c r="I79" s="59">
        <v>45344</v>
      </c>
      <c r="J79" s="59" t="s">
        <v>535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Row],[ASER_]]="","",IFERROR(_xlfn.IFS(M81&gt;=100%,"&gt;100%",AND(M81&lt;100%,M81&gt;=70%),"&gt;70%",AND(M81&lt;70%,M81&gt;=40%),"&gt;40%",AND(M81&lt;40%,M81&gt;=0%),"&gt;0%"),""))</f>
        <v>&gt;0%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8"/>
    </row>
    <row r="142" spans="19:19" x14ac:dyDescent="0.25">
      <c r="S142" s="48"/>
    </row>
    <row r="143" spans="19:19" x14ac:dyDescent="0.25">
      <c r="S143" s="48"/>
    </row>
    <row r="144" spans="19:19" x14ac:dyDescent="0.25">
      <c r="S144" s="48"/>
    </row>
    <row r="145" spans="19:19" x14ac:dyDescent="0.25">
      <c r="S145" s="48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I68"/>
  <sheetViews>
    <sheetView topLeftCell="L5" zoomScale="70" zoomScaleNormal="70" workbookViewId="0">
      <selection activeCell="R21" sqref="R20:R21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9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87" x14ac:dyDescent="0.25">
      <c r="L1" s="59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76" t="s">
        <v>405</v>
      </c>
      <c r="J2" s="66" t="s">
        <v>533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s="73" t="s">
        <v>2</v>
      </c>
      <c r="B3" s="73" t="s">
        <v>25</v>
      </c>
      <c r="C3" s="74"/>
      <c r="D3" s="74"/>
      <c r="E3" s="73" t="s">
        <v>2</v>
      </c>
      <c r="F3" s="73" t="s">
        <v>25</v>
      </c>
      <c r="G3" s="73"/>
      <c r="H3" s="73" t="s">
        <v>473</v>
      </c>
      <c r="I3" s="75">
        <v>44818</v>
      </c>
      <c r="J3" s="75" t="s">
        <v>534</v>
      </c>
      <c r="L3" s="59"/>
      <c r="M3" s="34">
        <v>2025</v>
      </c>
      <c r="N3" s="34" t="s">
        <v>149</v>
      </c>
      <c r="O3" s="34">
        <v>21</v>
      </c>
    </row>
    <row r="4" spans="1:87" x14ac:dyDescent="0.25">
      <c r="A4" s="73" t="s">
        <v>2</v>
      </c>
      <c r="B4" s="73" t="s">
        <v>33</v>
      </c>
      <c r="C4" s="74"/>
      <c r="D4" s="74"/>
      <c r="E4" s="73" t="s">
        <v>2</v>
      </c>
      <c r="F4" s="73" t="s">
        <v>33</v>
      </c>
      <c r="G4" s="73"/>
      <c r="H4" s="73" t="s">
        <v>466</v>
      </c>
      <c r="I4" s="75">
        <v>44867</v>
      </c>
      <c r="J4" s="75" t="s">
        <v>534</v>
      </c>
      <c r="L4" s="59"/>
    </row>
    <row r="5" spans="1:87" x14ac:dyDescent="0.25">
      <c r="A5" s="73" t="s">
        <v>2</v>
      </c>
      <c r="B5" s="73" t="s">
        <v>12</v>
      </c>
      <c r="C5" s="74"/>
      <c r="D5" s="74"/>
      <c r="E5" s="73" t="s">
        <v>2</v>
      </c>
      <c r="F5" s="73" t="s">
        <v>12</v>
      </c>
      <c r="G5" s="73"/>
      <c r="H5" s="73" t="s">
        <v>416</v>
      </c>
      <c r="I5" s="75">
        <v>44868</v>
      </c>
      <c r="J5" s="75" t="s">
        <v>534</v>
      </c>
      <c r="L5" s="59"/>
    </row>
    <row r="6" spans="1:87" x14ac:dyDescent="0.25">
      <c r="A6" s="73" t="s">
        <v>2</v>
      </c>
      <c r="B6" s="73" t="s">
        <v>34</v>
      </c>
      <c r="C6" s="74"/>
      <c r="D6" s="74"/>
      <c r="E6" s="73" t="s">
        <v>2</v>
      </c>
      <c r="F6" s="73" t="s">
        <v>34</v>
      </c>
      <c r="G6" s="73"/>
      <c r="H6" s="73" t="s">
        <v>434</v>
      </c>
      <c r="I6" s="75">
        <v>45173</v>
      </c>
      <c r="J6" s="75" t="s">
        <v>534</v>
      </c>
      <c r="L6" s="59"/>
    </row>
    <row r="7" spans="1:87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443</v>
      </c>
      <c r="I7" s="59">
        <v>44687</v>
      </c>
      <c r="J7" t="s">
        <v>535</v>
      </c>
      <c r="L7" s="59"/>
      <c r="N7" s="1"/>
    </row>
    <row r="8" spans="1:87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464</v>
      </c>
      <c r="I8" s="59">
        <v>45671</v>
      </c>
      <c r="J8" t="s">
        <v>535</v>
      </c>
      <c r="L8" s="59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567</v>
      </c>
      <c r="T8" s="14" t="s">
        <v>537</v>
      </c>
      <c r="U8" s="14" t="s">
        <v>559</v>
      </c>
      <c r="V8" s="14" t="s">
        <v>563</v>
      </c>
      <c r="W8" s="14" t="s">
        <v>538</v>
      </c>
      <c r="X8" s="14" t="s">
        <v>539</v>
      </c>
      <c r="Y8" s="14" t="s">
        <v>540</v>
      </c>
      <c r="Z8" s="14" t="s">
        <v>541</v>
      </c>
      <c r="AA8" s="14" t="s">
        <v>542</v>
      </c>
      <c r="AB8" s="14" t="s">
        <v>560</v>
      </c>
      <c r="AC8" s="14" t="s">
        <v>564</v>
      </c>
      <c r="AD8" s="14" t="s">
        <v>543</v>
      </c>
      <c r="AE8" s="14" t="s">
        <v>544</v>
      </c>
      <c r="AF8" s="14" t="s">
        <v>545</v>
      </c>
      <c r="AG8" s="14" t="s">
        <v>546</v>
      </c>
      <c r="AH8" s="14" t="s">
        <v>547</v>
      </c>
      <c r="AI8" s="14" t="s">
        <v>561</v>
      </c>
      <c r="AJ8" s="14" t="s">
        <v>565</v>
      </c>
      <c r="AK8" s="14" t="s">
        <v>548</v>
      </c>
      <c r="AL8" s="14" t="s">
        <v>549</v>
      </c>
      <c r="AM8" s="14" t="s">
        <v>550</v>
      </c>
      <c r="AN8" s="14" t="s">
        <v>551</v>
      </c>
      <c r="AO8" s="14" t="s">
        <v>552</v>
      </c>
      <c r="AP8" s="14" t="s">
        <v>562</v>
      </c>
      <c r="AQ8" s="14" t="s">
        <v>566</v>
      </c>
      <c r="AR8" s="14" t="s">
        <v>553</v>
      </c>
      <c r="AS8" s="14" t="s">
        <v>554</v>
      </c>
      <c r="AT8" s="14" t="s">
        <v>555</v>
      </c>
      <c r="AU8" s="14" t="s">
        <v>556</v>
      </c>
      <c r="AV8" s="14" t="s">
        <v>557</v>
      </c>
      <c r="AW8" s="14" t="s">
        <v>558</v>
      </c>
      <c r="AX8" s="15" t="s">
        <v>536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567</v>
      </c>
      <c r="BE8" s="20" t="s">
        <v>537</v>
      </c>
      <c r="BF8" s="20" t="s">
        <v>559</v>
      </c>
      <c r="BG8" s="20" t="s">
        <v>563</v>
      </c>
      <c r="BH8" s="20" t="s">
        <v>538</v>
      </c>
      <c r="BI8" s="20" t="s">
        <v>539</v>
      </c>
      <c r="BJ8" s="20" t="s">
        <v>540</v>
      </c>
      <c r="BK8" s="20" t="s">
        <v>541</v>
      </c>
      <c r="BL8" s="20" t="s">
        <v>542</v>
      </c>
      <c r="BM8" s="20" t="s">
        <v>560</v>
      </c>
      <c r="BN8" s="20" t="s">
        <v>564</v>
      </c>
      <c r="BO8" s="20" t="s">
        <v>543</v>
      </c>
      <c r="BP8" s="20" t="s">
        <v>544</v>
      </c>
      <c r="BQ8" s="20" t="s">
        <v>545</v>
      </c>
      <c r="BR8" s="20" t="s">
        <v>546</v>
      </c>
      <c r="BS8" s="20" t="s">
        <v>547</v>
      </c>
      <c r="BT8" s="20" t="s">
        <v>561</v>
      </c>
      <c r="BU8" s="20" t="s">
        <v>565</v>
      </c>
      <c r="BV8" s="20" t="s">
        <v>548</v>
      </c>
      <c r="BW8" s="20" t="s">
        <v>549</v>
      </c>
      <c r="BX8" s="20" t="s">
        <v>550</v>
      </c>
      <c r="BY8" s="20" t="s">
        <v>551</v>
      </c>
      <c r="BZ8" s="20" t="s">
        <v>552</v>
      </c>
      <c r="CA8" s="20" t="s">
        <v>562</v>
      </c>
      <c r="CB8" s="20" t="s">
        <v>566</v>
      </c>
      <c r="CC8" s="20" t="s">
        <v>553</v>
      </c>
      <c r="CD8" s="20" t="s">
        <v>554</v>
      </c>
      <c r="CE8" s="20" t="s">
        <v>555</v>
      </c>
      <c r="CF8" s="20" t="s">
        <v>556</v>
      </c>
      <c r="CG8" s="20" t="s">
        <v>557</v>
      </c>
      <c r="CH8" s="20" t="s">
        <v>558</v>
      </c>
      <c r="CI8" s="19" t="s">
        <v>134</v>
      </c>
    </row>
    <row r="9" spans="1:87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480</v>
      </c>
      <c r="I9" s="59">
        <v>44566</v>
      </c>
      <c r="J9" t="s">
        <v>535</v>
      </c>
      <c r="L9" s="59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Row],[ASER_]]="","",IFERROR(_xlfn.IFS(M11&gt;=100%,"&gt;100%",AND(M11&lt;100%,M11&gt;=70%),"&gt;70%",AND(M11&lt;70%,M11&gt;=40%),"&gt;40%",AND(M11&lt;40%,M11&gt;=0%),"&gt;0%"),""))</f>
        <v>&gt;40%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</row>
    <row r="10" spans="1:87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420</v>
      </c>
      <c r="I10" s="59">
        <v>44840</v>
      </c>
      <c r="J10" t="s">
        <v>535</v>
      </c>
      <c r="L10" s="59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Row],[ASER_]]="","",IFERROR(_xlfn.IFS(M12&gt;=100%,"&gt;100%",AND(M12&lt;100%,M12&gt;=70%),"&gt;70%",AND(M12&lt;70%,M12&gt;=40%),"&gt;40%",AND(M12&lt;40%,M12&gt;=0%),"&gt;0%"),""))</f>
        <v>&gt;70%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</row>
    <row r="11" spans="1:87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502</v>
      </c>
      <c r="I11" s="59">
        <v>45818</v>
      </c>
      <c r="J11" t="s">
        <v>535</v>
      </c>
      <c r="L11" s="59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Row],[ASER_]]="","",IFERROR(_xlfn.IFS(M13&gt;=100%,"&gt;100%",AND(M13&lt;100%,M13&gt;=70%),"&gt;70%",AND(M13&lt;70%,M13&gt;=40%),"&gt;40%",AND(M13&lt;40%,M13&gt;=0%),"&gt;0%"),""))</f>
        <v>&gt;70%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</row>
    <row r="12" spans="1:87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501</v>
      </c>
      <c r="I12" s="59">
        <v>45819</v>
      </c>
      <c r="J12" t="s">
        <v>535</v>
      </c>
      <c r="L12" s="59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Row],[ASER_]]="","",IFERROR(_xlfn.IFS(M14&gt;=100%,"&gt;100%",AND(M14&lt;100%,M14&gt;=70%),"&gt;70%",AND(M14&lt;70%,M14&gt;=40%),"&gt;40%",AND(M14&lt;40%,M14&gt;=0%),"&gt;0%"),""))</f>
        <v>&gt;100%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</row>
    <row r="13" spans="1:87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516</v>
      </c>
      <c r="I13" s="59">
        <v>45895</v>
      </c>
      <c r="J13" t="s">
        <v>535</v>
      </c>
      <c r="L13" s="59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Row],[ASER_]]="","",IFERROR(_xlfn.IFS(M15&gt;=100%,"&gt;100%",AND(M15&lt;100%,M15&gt;=70%),"&gt;70%",AND(M15&lt;70%,M15&gt;=40%),"&gt;40%",AND(M15&lt;40%,M15&gt;=0%),"&gt;0%"),""))</f>
        <v>&gt;0%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</row>
    <row r="14" spans="1:87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433</v>
      </c>
      <c r="I14" s="59">
        <v>44941</v>
      </c>
      <c r="J14" t="s">
        <v>535</v>
      </c>
      <c r="L14" s="59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Row],[ASER_]]="","",IFERROR(_xlfn.IFS(M16&gt;=100%,"&gt;100%",AND(M16&lt;100%,M16&gt;=70%),"&gt;70%",AND(M16&lt;70%,M16&gt;=40%),"&gt;40%",AND(M16&lt;40%,M16&gt;=0%),"&gt;0%"),""))</f>
        <v>&gt;70%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</row>
    <row r="15" spans="1:87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437</v>
      </c>
      <c r="I15" s="59">
        <v>44735</v>
      </c>
      <c r="J15" t="s">
        <v>535</v>
      </c>
      <c r="L15" s="59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Row],[ASER_]]="","",IFERROR(_xlfn.IFS(M17&gt;=100%,"&gt;100%",AND(M17&lt;100%,M17&gt;=70%),"&gt;70%",AND(M17&lt;70%,M17&gt;=40%),"&gt;40%",AND(M17&lt;40%,M17&gt;=0%),"&gt;0%"),""))</f>
        <v>&gt;70%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87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463</v>
      </c>
      <c r="I16" s="59">
        <v>42814</v>
      </c>
      <c r="J16" t="s">
        <v>535</v>
      </c>
      <c r="L16" s="59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Row],[ASER_]]="","",IFERROR(_xlfn.IFS(M18&gt;=100%,"&gt;100%",AND(M18&lt;100%,M18&gt;=70%),"&gt;70%",AND(M18&lt;70%,M18&gt;=40%),"&gt;40%",AND(M18&lt;40%,M18&gt;=0%),"&gt;0%"),""))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467</v>
      </c>
      <c r="I17" s="59">
        <v>45364</v>
      </c>
      <c r="J17" t="s">
        <v>535</v>
      </c>
      <c r="L17" s="59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Row],[ASER_]]="","",IFERROR(_xlfn.IFS(M19&gt;=100%,"&gt;100%",AND(M19&lt;100%,M19&gt;=70%),"&gt;70%",AND(M19&lt;70%,M19&gt;=40%),"&gt;40%",AND(M19&lt;40%,M19&gt;=0%),"&gt;0%"),""))</f>
        <v>&gt;0%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496</v>
      </c>
      <c r="I18" s="59">
        <v>45805</v>
      </c>
      <c r="J18" t="s">
        <v>535</v>
      </c>
      <c r="L18" s="59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Row],[ASER_]]="","",IFERROR(_xlfn.IFS(M20&gt;=100%,"&gt;100%",AND(M20&lt;100%,M20&gt;=70%),"&gt;70%",AND(M20&lt;70%,M20&gt;=40%),"&gt;40%",AND(M20&lt;40%,M20&gt;=0%),"&gt;0%"),""))</f>
        <v>&gt;0%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442</v>
      </c>
      <c r="I19" s="59">
        <v>45399</v>
      </c>
      <c r="J19" t="s">
        <v>535</v>
      </c>
      <c r="L19" s="59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Row],[ASER_]]="","",IFERROR(_xlfn.IFS(M21&gt;=100%,"&gt;100%",AND(M21&lt;100%,M21&gt;=70%),"&gt;70%",AND(M21&lt;70%,M21&gt;=40%),"&gt;40%",AND(M21&lt;40%,M21&gt;=0%),"&gt;0%"),""))</f>
        <v>&gt;70%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436</v>
      </c>
      <c r="I20" s="59">
        <v>44301</v>
      </c>
      <c r="J20" t="s">
        <v>535</v>
      </c>
      <c r="L20" s="59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Row],[ASER_]]="","",IFERROR(_xlfn.IFS(M22&gt;=100%,"&gt;100%",AND(M22&lt;100%,M22&gt;=70%),"&gt;70%",AND(M22&lt;70%,M22&gt;=40%),"&gt;40%",AND(M22&lt;40%,M22&gt;=0%),"&gt;0%"),""))</f>
        <v>&gt;40%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447</v>
      </c>
      <c r="I21" s="59">
        <v>45145</v>
      </c>
      <c r="J21" t="s">
        <v>535</v>
      </c>
      <c r="L21" s="59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Row],[ASER_]]="","",IFERROR(_xlfn.IFS(M23&gt;=100%,"&gt;100%",AND(M23&lt;100%,M23&gt;=70%),"&gt;70%",AND(M23&lt;70%,M23&gt;=40%),"&gt;40%",AND(M23&lt;40%,M23&gt;=0%),"&gt;0%"),""))</f>
        <v>&gt;0%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448</v>
      </c>
      <c r="I22" s="59">
        <v>44748</v>
      </c>
      <c r="J22" t="s">
        <v>535</v>
      </c>
      <c r="L22" s="59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Row],[ASER_]]="","",IFERROR(_xlfn.IFS(M24&gt;=100%,"&gt;100%",AND(M24&lt;100%,M24&gt;=70%),"&gt;70%",AND(M24&lt;70%,M24&gt;=40%),"&gt;40%",AND(M24&lt;40%,M24&gt;=0%),"&gt;0%"),""))</f>
        <v>&gt;100%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439</v>
      </c>
      <c r="I23" s="59">
        <v>45675</v>
      </c>
      <c r="J23" t="s">
        <v>535</v>
      </c>
      <c r="L23" s="59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Row],[ASER_]]="","",IFERROR(_xlfn.IFS(M25&gt;=100%,"&gt;100%",AND(M25&lt;100%,M25&gt;=70%),"&gt;70%",AND(M25&lt;70%,M25&gt;=40%),"&gt;40%",AND(M25&lt;40%,M25&gt;=0%),"&gt;0%"),""))</f>
        <v>&gt;100%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453</v>
      </c>
      <c r="I24" s="59">
        <v>45082</v>
      </c>
      <c r="J24" t="s">
        <v>535</v>
      </c>
      <c r="L24" s="59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Row],[ASER_]]="","",IFERROR(_xlfn.IFS(M26&gt;=100%,"&gt;100%",AND(M26&lt;100%,M26&gt;=70%),"&gt;70%",AND(M26&lt;70%,M26&gt;=40%),"&gt;40%",AND(M26&lt;40%,M26&gt;=0%),"&gt;0%"),""))</f>
        <v>&gt;40%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477</v>
      </c>
      <c r="I25" s="59">
        <v>45084</v>
      </c>
      <c r="J25" t="s">
        <v>535</v>
      </c>
      <c r="L25" s="59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Row],[ASER_]]="","",IFERROR(_xlfn.IFS(M27&gt;=100%,"&gt;100%",AND(M27&lt;100%,M27&gt;=70%),"&gt;70%",AND(M27&lt;70%,M27&gt;=40%),"&gt;40%",AND(M27&lt;40%,M27&gt;=0%),"&gt;0%"),""))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422</v>
      </c>
      <c r="I26" s="59">
        <v>44470</v>
      </c>
      <c r="J26" t="s">
        <v>535</v>
      </c>
      <c r="L26" s="59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Row],[ASER_]]="","",IFERROR(_xlfn.IFS(M28&gt;=100%,"&gt;100%",AND(M28&lt;100%,M28&gt;=70%),"&gt;70%",AND(M28&lt;70%,M28&gt;=40%),"&gt;40%",AND(M28&lt;40%,M28&gt;=0%),"&gt;0%"),""))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454</v>
      </c>
      <c r="I27" s="59">
        <v>45142</v>
      </c>
      <c r="J27" t="s">
        <v>535</v>
      </c>
      <c r="L27" s="59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Row],[ASER_]]="","",IFERROR(_xlfn.IFS(M29&gt;=100%,"&gt;100%",AND(M29&lt;100%,M29&gt;=70%),"&gt;70%",AND(M29&lt;70%,M29&gt;=40%),"&gt;40%",AND(M29&lt;40%,M29&gt;=0%),"&gt;0%"),""))</f>
        <v>&gt;40%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440</v>
      </c>
      <c r="I28" s="59">
        <v>45674</v>
      </c>
      <c r="J28" t="s">
        <v>535</v>
      </c>
      <c r="L28" s="59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Row],[ASER_]]="","",IFERROR(_xlfn.IFS(M30&gt;=100%,"&gt;100%",AND(M30&lt;100%,M30&gt;=70%),"&gt;70%",AND(M30&lt;70%,M30&gt;=40%),"&gt;40%",AND(M30&lt;40%,M30&gt;=0%),"&gt;0%"),""))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513</v>
      </c>
      <c r="I29" s="59">
        <v>45399</v>
      </c>
      <c r="J29" t="s">
        <v>535</v>
      </c>
      <c r="L29" s="59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Row],[ASER_]]="","",IFERROR(_xlfn.IFS(M31&gt;=100%,"&gt;100%",AND(M31&lt;100%,M31&gt;=70%),"&gt;70%",AND(M31&lt;70%,M31&gt;=40%),"&gt;40%",AND(M31&lt;40%,M31&gt;=0%),"&gt;0%"),""))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517</v>
      </c>
      <c r="I30" s="59">
        <v>45917</v>
      </c>
      <c r="J30" t="s">
        <v>535</v>
      </c>
      <c r="L30" s="59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Row],[ASER_]]="","",IFERROR(_xlfn.IFS(M32&gt;=100%,"&gt;100%",AND(M32&lt;100%,M32&gt;=70%),"&gt;70%",AND(M32&lt;70%,M32&gt;=40%),"&gt;40%",AND(M32&lt;40%,M32&gt;=0%),"&gt;0%"),""))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484</v>
      </c>
      <c r="I31" s="59">
        <v>45727</v>
      </c>
      <c r="J31" t="s">
        <v>535</v>
      </c>
      <c r="L31" s="59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Row],[ASER_]]="","",IFERROR(_xlfn.IFS(M33&gt;=100%,"&gt;100%",AND(M33&lt;100%,M33&gt;=70%),"&gt;70%",AND(M33&lt;70%,M33&gt;=40%),"&gt;40%",AND(M33&lt;40%,M33&gt;=0%),"&gt;0%"),""))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458</v>
      </c>
      <c r="I32" s="59">
        <v>45133</v>
      </c>
      <c r="J32" t="s">
        <v>535</v>
      </c>
      <c r="L32" s="59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Row],[ASER_]]="","",IFERROR(_xlfn.IFS(M34&gt;=100%,"&gt;100%",AND(M34&lt;100%,M34&gt;=70%),"&gt;70%",AND(M34&lt;70%,M34&gt;=40%),"&gt;40%",AND(M34&lt;40%,M34&gt;=0%),"&gt;0%"),""))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461</v>
      </c>
      <c r="I33" s="59">
        <v>45334</v>
      </c>
      <c r="J33" t="s">
        <v>535</v>
      </c>
      <c r="L33" s="59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Row],[ASER_]]="","",IFERROR(_xlfn.IFS(M35&gt;=100%,"&gt;100%",AND(M35&lt;100%,M35&gt;=70%),"&gt;70%",AND(M35&lt;70%,M35&gt;=40%),"&gt;40%",AND(M35&lt;40%,M35&gt;=0%),"&gt;0%"),""))</f>
        <v>&gt;0%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438</v>
      </c>
      <c r="I34" s="59">
        <v>44909</v>
      </c>
      <c r="J34" t="s">
        <v>535</v>
      </c>
      <c r="L34" s="59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Row],[ASER_]]="","",IFERROR(_xlfn.IFS(M36&gt;=100%,"&gt;100%",AND(M36&lt;100%,M36&gt;=70%),"&gt;70%",AND(M36&lt;70%,M36&gt;=40%),"&gt;40%",AND(M36&lt;40%,M36&gt;=0%),"&gt;0%"),""))</f>
        <v>&gt;100%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424</v>
      </c>
      <c r="I35" s="59">
        <v>44945</v>
      </c>
      <c r="J35" t="s">
        <v>535</v>
      </c>
      <c r="L35" s="59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Row],[ASER_]]="","",IFERROR(_xlfn.IFS(M37&gt;=100%,"&gt;100%",AND(M37&lt;100%,M37&gt;=70%),"&gt;70%",AND(M37&lt;70%,M37&gt;=40%),"&gt;40%",AND(M37&lt;40%,M37&gt;=0%),"&gt;0%"),""))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429</v>
      </c>
      <c r="I36" s="59">
        <v>45523</v>
      </c>
      <c r="J36" t="s">
        <v>535</v>
      </c>
      <c r="L36" s="59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Row],[ASER_]]="","",IFERROR(_xlfn.IFS(M38&gt;=100%,"&gt;100%",AND(M38&lt;100%,M38&gt;=70%),"&gt;70%",AND(M38&lt;70%,M38&gt;=40%),"&gt;40%",AND(M38&lt;40%,M38&gt;=0%),"&gt;0%"),""))</f>
        <v>&gt;40%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428</v>
      </c>
      <c r="I37" s="59">
        <v>44748</v>
      </c>
      <c r="J37" t="s">
        <v>535</v>
      </c>
      <c r="L37" s="59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Row],[ASER_]]="","",IFERROR(_xlfn.IFS(M39&gt;=100%,"&gt;100%",AND(M39&lt;100%,M39&gt;=70%),"&gt;70%",AND(M39&lt;70%,M39&gt;=40%),"&gt;40%",AND(M39&lt;40%,M39&gt;=0%),"&gt;0%"),""))</f>
        <v>&gt;70%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456</v>
      </c>
      <c r="I38" s="59">
        <v>45371</v>
      </c>
      <c r="J38" t="s">
        <v>535</v>
      </c>
      <c r="L38" s="59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Row],[ASER_]]="","",IFERROR(_xlfn.IFS(M40&gt;=100%,"&gt;100%",AND(M40&lt;100%,M40&gt;=70%),"&gt;70%",AND(M40&lt;70%,M40&gt;=40%),"&gt;40%",AND(M40&lt;40%,M40&gt;=0%),"&gt;0%"),""))</f>
        <v>&gt;100%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418</v>
      </c>
      <c r="I39" s="59">
        <v>44259</v>
      </c>
      <c r="J39" t="s">
        <v>535</v>
      </c>
      <c r="L39" s="59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Row],[ASER_]]="","",IFERROR(_xlfn.IFS(M41&gt;=100%,"&gt;100%",AND(M41&lt;100%,M41&gt;=70%),"&gt;70%",AND(M41&lt;70%,M41&gt;=40%),"&gt;40%",AND(M41&lt;40%,M41&gt;=0%),"&gt;0%"),""))</f>
        <v>&gt;100%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452</v>
      </c>
      <c r="I40" s="59">
        <v>45506</v>
      </c>
      <c r="J40" t="s">
        <v>535</v>
      </c>
      <c r="L40" s="59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Row],[ASER_]]="","",IFERROR(_xlfn.IFS(M42&gt;=100%,"&gt;100%",AND(M42&lt;100%,M42&gt;=70%),"&gt;70%",AND(M42&lt;70%,M42&gt;=40%),"&gt;40%",AND(M42&lt;40%,M42&gt;=0%),"&gt;0%"),""))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408</v>
      </c>
      <c r="I41" s="59">
        <v>44811</v>
      </c>
      <c r="J41" t="s">
        <v>535</v>
      </c>
      <c r="L41" s="59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Row],[ASER_]]="","",IFERROR(_xlfn.IFS(M43&gt;=100%,"&gt;100%",AND(M43&lt;100%,M43&gt;=70%),"&gt;70%",AND(M43&lt;70%,M43&gt;=40%),"&gt;40%",AND(M43&lt;40%,M43&gt;=0%),"&gt;0%"),""))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426</v>
      </c>
      <c r="I42" s="59">
        <v>44673</v>
      </c>
      <c r="J42" t="s">
        <v>535</v>
      </c>
      <c r="L42" s="59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Row],[ASER_]]="","",IFERROR(_xlfn.IFS(M44&gt;=100%,"&gt;100%",AND(M44&lt;100%,M44&gt;=70%),"&gt;70%",AND(M44&lt;70%,M44&gt;=40%),"&gt;40%",AND(M44&lt;40%,M44&gt;=0%),"&gt;0%"),""))</f>
        <v>&gt;70%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465</v>
      </c>
      <c r="I43" s="59">
        <v>45021</v>
      </c>
      <c r="J43" t="s">
        <v>535</v>
      </c>
      <c r="L43" s="59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Row],[ASER_]]="","",IFERROR(_xlfn.IFS(M45&gt;=100%,"&gt;100%",AND(M45&lt;100%,M45&gt;=70%),"&gt;70%",AND(M45&lt;70%,M45&gt;=40%),"&gt;40%",AND(M45&lt;40%,M45&gt;=0%),"&gt;0%"),""))</f>
        <v>&gt;40%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414</v>
      </c>
      <c r="I44" s="59">
        <v>45304</v>
      </c>
      <c r="J44" t="s">
        <v>535</v>
      </c>
      <c r="L44" s="59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Row],[ASER_]]="","",IFERROR(_xlfn.IFS(M46&gt;=100%,"&gt;100%",AND(M46&lt;100%,M46&gt;=70%),"&gt;70%",AND(M46&lt;70%,M46&gt;=40%),"&gt;40%",AND(M46&lt;40%,M46&gt;=0%),"&gt;0%"),""))</f>
        <v>&gt;0%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470</v>
      </c>
      <c r="I45" s="59">
        <v>45590</v>
      </c>
      <c r="J45" t="s">
        <v>535</v>
      </c>
      <c r="L45" s="59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Row],[ASER_]]="","",IFERROR(_xlfn.IFS(M47&gt;=100%,"&gt;100%",AND(M47&lt;100%,M47&gt;=70%),"&gt;70%",AND(M47&lt;70%,M47&gt;=40%),"&gt;40%",AND(M47&lt;40%,M47&gt;=0%),"&gt;0%"),""))</f>
        <v>&gt;70%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476</v>
      </c>
      <c r="I46" s="59">
        <v>44706</v>
      </c>
      <c r="J46" t="s">
        <v>535</v>
      </c>
      <c r="L46" s="59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Row],[ASER_]]="","",IFERROR(_xlfn.IFS(M48&gt;=100%,"&gt;100%",AND(M48&lt;100%,M48&gt;=70%),"&gt;70%",AND(M48&lt;70%,M48&gt;=40%),"&gt;40%",AND(M48&lt;40%,M48&gt;=0%),"&gt;0%"),""))</f>
        <v>&gt;100%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450</v>
      </c>
      <c r="I47" s="59">
        <v>45323</v>
      </c>
      <c r="J47" t="s">
        <v>535</v>
      </c>
      <c r="L47" s="59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Row],[ASER_]]="","",IFERROR(_xlfn.IFS(M49&gt;=100%,"&gt;100%",AND(M49&lt;100%,M49&gt;=70%),"&gt;70%",AND(M49&lt;70%,M49&gt;=40%),"&gt;40%",AND(M49&lt;40%,M49&gt;=0%),"&gt;0%"),""))</f>
        <v>&gt;100%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457</v>
      </c>
      <c r="I48" s="59">
        <v>45348</v>
      </c>
      <c r="J48" t="s">
        <v>535</v>
      </c>
      <c r="L48" s="59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Row],[ASER_]]="","",IFERROR(_xlfn.IFS(M50&gt;=100%,"&gt;100%",AND(M50&lt;100%,M50&gt;=70%),"&gt;70%",AND(M50&lt;70%,M50&gt;=40%),"&gt;40%",AND(M50&lt;40%,M50&gt;=0%),"&gt;0%"),""))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455</v>
      </c>
      <c r="I49" s="59">
        <v>44716</v>
      </c>
      <c r="J49" t="s">
        <v>535</v>
      </c>
      <c r="L49" s="59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Row],[ASER_]]="","",IFERROR(_xlfn.IFS(M51&gt;=100%,"&gt;100%",AND(M51&lt;100%,M51&gt;=70%),"&gt;70%",AND(M51&lt;70%,M51&gt;=40%),"&gt;40%",AND(M51&lt;40%,M51&gt;=0%),"&gt;0%"),""))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460</v>
      </c>
      <c r="I50" s="59">
        <v>45285</v>
      </c>
      <c r="J50" t="s">
        <v>535</v>
      </c>
      <c r="L50" s="59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Row],[ASER_]]="","",IFERROR(_xlfn.IFS(M52&gt;=100%,"&gt;100%",AND(M52&lt;100%,M52&gt;=70%),"&gt;70%",AND(M52&lt;70%,M52&gt;=40%),"&gt;40%",AND(M52&lt;40%,M52&gt;=0%),"&gt;0%"),""))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490</v>
      </c>
      <c r="I51" s="59">
        <v>44657</v>
      </c>
      <c r="J51" t="s">
        <v>535</v>
      </c>
      <c r="L51" s="59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Row],[ASER_]]="","",IFERROR(_xlfn.IFS(M53&gt;=100%,"&gt;100%",AND(M53&lt;100%,M53&gt;=70%),"&gt;70%",AND(M53&lt;70%,M53&gt;=40%),"&gt;40%",AND(M53&lt;40%,M53&gt;=0%),"&gt;0%"),""))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468</v>
      </c>
      <c r="I52" s="59">
        <v>43035</v>
      </c>
      <c r="J52" t="s">
        <v>535</v>
      </c>
      <c r="L52" s="59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Row],[ASER_]]="","",IFERROR(_xlfn.IFS(M54&gt;=100%,"&gt;100%",AND(M54&lt;100%,M54&gt;=70%),"&gt;70%",AND(M54&lt;70%,M54&gt;=40%),"&gt;40%",AND(M54&lt;40%,M54&gt;=0%),"&gt;0%"),""))</f>
        <v>&gt;0%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509</v>
      </c>
      <c r="I53" s="59">
        <v>44644</v>
      </c>
      <c r="J53" t="s">
        <v>535</v>
      </c>
      <c r="L53" s="59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Row],[ASER_]]="","",IFERROR(_xlfn.IFS(M55&gt;=100%,"&gt;100%",AND(M55&lt;100%,M55&gt;=70%),"&gt;70%",AND(M55&lt;70%,M55&gt;=40%),"&gt;40%",AND(M55&lt;40%,M55&gt;=0%),"&gt;0%"),""))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451</v>
      </c>
      <c r="I54" s="59">
        <v>45429</v>
      </c>
      <c r="J54" t="s">
        <v>535</v>
      </c>
      <c r="L54" s="59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Row],[ASER_]]="","",IFERROR(_xlfn.IFS(M56&gt;=100%,"&gt;100%",AND(M56&lt;100%,M56&gt;=70%),"&gt;70%",AND(M56&lt;70%,M56&gt;=40%),"&gt;40%",AND(M56&lt;40%,M56&gt;=0%),"&gt;0%"),""))</f>
        <v>&gt;40%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427</v>
      </c>
      <c r="I55" s="59">
        <v>43132</v>
      </c>
      <c r="J55" t="s">
        <v>535</v>
      </c>
      <c r="L55" s="59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Row],[ASER_]]="","",IFERROR(_xlfn.IFS(M57&gt;=100%,"&gt;100%",AND(M57&lt;100%,M57&gt;=70%),"&gt;70%",AND(M57&lt;70%,M57&gt;=40%),"&gt;40%",AND(M57&lt;40%,M57&gt;=0%),"&gt;0%"),""))</f>
        <v>&gt;70%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430</v>
      </c>
      <c r="I56" s="59">
        <v>45334</v>
      </c>
      <c r="J56" t="s">
        <v>535</v>
      </c>
      <c r="L56" s="59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Row],[ASER_]]="","",IFERROR(_xlfn.IFS(M58&gt;=100%,"&gt;100%",AND(M58&lt;100%,M58&gt;=70%),"&gt;70%",AND(M58&lt;70%,M58&gt;=40%),"&gt;40%",AND(M58&lt;40%,M58&gt;=0%),"&gt;0%"),""))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472</v>
      </c>
      <c r="I57" s="59">
        <v>44111</v>
      </c>
      <c r="J57" t="s">
        <v>535</v>
      </c>
      <c r="L57" s="59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Row],[ASER_]]="","",IFERROR(_xlfn.IFS(M59&gt;=100%,"&gt;100%",AND(M59&lt;100%,M59&gt;=70%),"&gt;70%",AND(M59&lt;70%,M59&gt;=40%),"&gt;40%",AND(M59&lt;40%,M59&gt;=0%),"&gt;0%"),""))</f>
        <v>&gt;100%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406</v>
      </c>
      <c r="I58" s="59">
        <v>44461</v>
      </c>
      <c r="J58" t="s">
        <v>535</v>
      </c>
      <c r="L58" s="59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Row],[ASER_]]="","",IFERROR(_xlfn.IFS(M60&gt;=100%,"&gt;100%",AND(M60&lt;100%,M60&gt;=70%),"&gt;70%",AND(M60&lt;70%,M60&gt;=40%),"&gt;40%",AND(M60&lt;40%,M60&gt;=0%),"&gt;0%"),""))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417</v>
      </c>
      <c r="I59" s="59">
        <v>45530</v>
      </c>
      <c r="J59" t="s">
        <v>535</v>
      </c>
      <c r="L59" s="59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Row],[ASER_]]="","",IFERROR(_xlfn.IFS(M61&gt;=100%,"&gt;100%",AND(M61&lt;100%,M61&gt;=70%),"&gt;70%",AND(M61&lt;70%,M61&gt;=40%),"&gt;40%",AND(M61&lt;40%,M61&gt;=0%),"&gt;0%"),""))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409</v>
      </c>
      <c r="I60" s="59">
        <v>44811</v>
      </c>
      <c r="J60" t="s">
        <v>535</v>
      </c>
      <c r="L60" s="59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Row],[ASER_]]="","",IFERROR(_xlfn.IFS(M62&gt;=100%,"&gt;100%",AND(M62&lt;100%,M62&gt;=70%),"&gt;70%",AND(M62&lt;70%,M62&gt;=40%),"&gt;40%",AND(M62&lt;40%,M62&gt;=0%),"&gt;0%"),""))</f>
        <v>&gt;0%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469</v>
      </c>
      <c r="I61" s="59">
        <v>45299</v>
      </c>
      <c r="J61" t="s">
        <v>535</v>
      </c>
      <c r="L61" s="59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Row],[ASER_]]="","",IFERROR(_xlfn.IFS(M63&gt;=100%,"&gt;100%",AND(M63&lt;100%,M63&gt;=70%),"&gt;70%",AND(M63&lt;70%,M63&gt;=40%),"&gt;40%",AND(M63&lt;40%,M63&gt;=0%),"&gt;0%"),""))</f>
        <v>&gt;70%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415</v>
      </c>
      <c r="I62" s="59">
        <v>45334</v>
      </c>
      <c r="J62" t="s">
        <v>535</v>
      </c>
      <c r="L62" s="59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Row],[ASER_]]="","",IFERROR(_xlfn.IFS(M64&gt;=100%,"&gt;100%",AND(M64&lt;100%,M64&gt;=70%),"&gt;70%",AND(M64&lt;70%,M64&gt;=40%),"&gt;40%",AND(M64&lt;40%,M64&gt;=0%),"&gt;0%"),""))</f>
        <v>&gt;70%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412</v>
      </c>
      <c r="I63" s="59">
        <v>44888</v>
      </c>
      <c r="J63" t="s">
        <v>535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Row],[ASER_]]="","",IFERROR(_xlfn.IFS(M65&gt;=100%,"&gt;100%",AND(M65&lt;100%,M65&gt;=70%),"&gt;70%",AND(M65&lt;70%,M65&gt;=40%),"&gt;40%",AND(M65&lt;40%,M65&gt;=0%),"&gt;0%"),""))</f>
        <v>&gt;0%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494</v>
      </c>
      <c r="I64" s="59">
        <v>45804</v>
      </c>
      <c r="J64" t="s">
        <v>535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Row],[ASER_]]="","",IFERROR(_xlfn.IFS(M66&gt;=100%,"&gt;100%",AND(M66&lt;100%,M66&gt;=70%),"&gt;70%",AND(M66&lt;70%,M66&gt;=40%),"&gt;40%",AND(M66&lt;40%,M66&gt;=0%),"&gt;0%"),""))</f>
        <v>&gt;40%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435</v>
      </c>
      <c r="I65" s="59">
        <v>44819</v>
      </c>
      <c r="J65" t="s">
        <v>535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Row],[ASER_]]="","",IFERROR(_xlfn.IFS(M67&gt;=100%,"&gt;100%",AND(M67&lt;100%,M67&gt;=70%),"&gt;70%",AND(M67&lt;70%,M67&gt;=40%),"&gt;40%",AND(M67&lt;40%,M67&gt;=0%),"&gt;0%"),""))</f>
        <v>&gt;70%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512</v>
      </c>
      <c r="I66" s="59">
        <v>45889</v>
      </c>
      <c r="J66" t="s">
        <v>535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Row],[ASER_]]="","",IFERROR(_xlfn.IFS(M68&gt;=100%,"&gt;100%",AND(M68&lt;100%,M68&gt;=70%),"&gt;70%",AND(M68&lt;70%,M68&gt;=40%),"&gt;40%",AND(M68&lt;40%,M68&gt;=0%),"&gt;0%"),""))</f>
        <v>&gt;0%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Row],[ASER_]]="","",IFERROR(_xlfn.IFS(M69&gt;=100%,"&gt;100%",AND(M69&lt;100%,M69&gt;=70%),"&gt;70%",AND(M69&lt;70%,M69&gt;=40%),"&gt;40%",AND(M69&lt;40%,M69&gt;=0%),"&gt;0%"),""))</f>
        <v>&gt;0%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Row],[ASER_]]="","",IFERROR(_xlfn.IFS(M70&gt;=100%,"&gt;100%",AND(M70&lt;100%,M70&gt;=70%),"&gt;70%",AND(M70&lt;70%,M70&gt;=40%),"&gt;40%",AND(M70&lt;40%,M70&gt;=0%),"&gt;0%"),""))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I62"/>
  <sheetViews>
    <sheetView topLeftCell="G1" zoomScale="70" zoomScaleNormal="70" workbookViewId="0">
      <selection activeCell="R59" sqref="R59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5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</cols>
  <sheetData>
    <row r="1" spans="1:87" x14ac:dyDescent="0.25">
      <c r="A1" s="35"/>
      <c r="B1" s="35"/>
      <c r="C1" s="36"/>
      <c r="D1" s="36"/>
      <c r="E1" s="36"/>
      <c r="H1"/>
      <c r="L1" s="59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533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s="35" t="s">
        <v>6</v>
      </c>
      <c r="B3" s="35" t="s">
        <v>19</v>
      </c>
      <c r="C3" s="37">
        <f>VLOOKUP(D1_DICIEMBRE_2025[[#This Row],[SUPER]],DATA_DICIEMBRE_2025[[SUPERVISOR]:[META]],3,0)</f>
        <v>29000</v>
      </c>
      <c r="D3" s="36">
        <f>D1_DICIEMBRE_2025[[#This Row],[RECUPERO]]/D1_DICIEMBRE_2025[[#This Row],[META]]</f>
        <v>3.3010344827586207</v>
      </c>
      <c r="E3" s="36" t="s">
        <v>6</v>
      </c>
      <c r="F3" t="s">
        <v>19</v>
      </c>
      <c r="G3" s="3">
        <v>95730</v>
      </c>
      <c r="H3" t="s">
        <v>426</v>
      </c>
      <c r="I3" s="59">
        <v>44673</v>
      </c>
      <c r="J3" s="59" t="s">
        <v>535</v>
      </c>
      <c r="K3" s="59"/>
      <c r="L3" s="59"/>
      <c r="M3" s="34">
        <v>2025</v>
      </c>
      <c r="N3" s="34" t="s">
        <v>176</v>
      </c>
      <c r="O3" s="34">
        <v>20</v>
      </c>
    </row>
    <row r="4" spans="1:87" x14ac:dyDescent="0.25">
      <c r="A4" s="35" t="s">
        <v>6</v>
      </c>
      <c r="B4" s="35" t="s">
        <v>26</v>
      </c>
      <c r="C4" s="37">
        <f>VLOOKUP(D1_DICIEMBRE_2025[[#This Row],[SUPER]],DATA_DICIEMBRE_2025[[SUPERVISOR]:[META]],3,0)</f>
        <v>29000</v>
      </c>
      <c r="D4" s="36">
        <f>D1_DICIEMBRE_2025[[#This Row],[RECUPERO]]/D1_DICIEMBRE_2025[[#This Row],[META]]</f>
        <v>2.3176896551724138</v>
      </c>
      <c r="E4" s="36" t="s">
        <v>6</v>
      </c>
      <c r="F4" t="s">
        <v>26</v>
      </c>
      <c r="G4" s="3">
        <v>67213</v>
      </c>
      <c r="H4" t="s">
        <v>418</v>
      </c>
      <c r="I4" s="59">
        <v>44259</v>
      </c>
      <c r="J4" s="59" t="s">
        <v>535</v>
      </c>
      <c r="K4" s="59"/>
      <c r="L4" s="59"/>
      <c r="N4" s="5"/>
    </row>
    <row r="5" spans="1:87" x14ac:dyDescent="0.25">
      <c r="A5" s="35" t="s">
        <v>6</v>
      </c>
      <c r="B5" s="35" t="s">
        <v>11</v>
      </c>
      <c r="C5" s="37">
        <f>VLOOKUP(D1_DICIEMBRE_2025[[#This Row],[SUPER]],DATA_DICIEMBRE_2025[[SUPERVISOR]:[META]],3,0)</f>
        <v>29000</v>
      </c>
      <c r="D5" s="36">
        <f>D1_DICIEMBRE_2025[[#This Row],[RECUPERO]]/D1_DICIEMBRE_2025[[#This Row],[META]]</f>
        <v>1.6536551724137931</v>
      </c>
      <c r="E5" s="36" t="s">
        <v>6</v>
      </c>
      <c r="F5" t="s">
        <v>11</v>
      </c>
      <c r="G5" s="3">
        <v>47956</v>
      </c>
      <c r="H5" t="s">
        <v>456</v>
      </c>
      <c r="I5" s="59">
        <v>45371</v>
      </c>
      <c r="J5" s="59" t="s">
        <v>535</v>
      </c>
      <c r="K5" s="59"/>
      <c r="L5" s="59"/>
      <c r="N5" s="5"/>
      <c r="BB5" s="46"/>
    </row>
    <row r="6" spans="1:87" x14ac:dyDescent="0.25">
      <c r="A6" s="35" t="s">
        <v>6</v>
      </c>
      <c r="B6" s="35" t="s">
        <v>50</v>
      </c>
      <c r="C6" s="37">
        <f>VLOOKUP(D1_DICIEMBRE_2025[[#This Row],[SUPER]],DATA_DICIEMBRE_2025[[SUPERVISOR]:[META]],3,0)</f>
        <v>29000</v>
      </c>
      <c r="D6" s="36">
        <f>D1_DICIEMBRE_2025[[#This Row],[RECUPERO]]/D1_DICIEMBRE_2025[[#This Row],[META]]</f>
        <v>1.577</v>
      </c>
      <c r="E6" s="36" t="s">
        <v>6</v>
      </c>
      <c r="F6" t="s">
        <v>50</v>
      </c>
      <c r="G6" s="3">
        <v>45733</v>
      </c>
      <c r="H6" t="s">
        <v>429</v>
      </c>
      <c r="I6" s="59">
        <v>45523</v>
      </c>
      <c r="J6" s="59" t="s">
        <v>535</v>
      </c>
      <c r="K6" s="59"/>
      <c r="L6" s="59"/>
      <c r="N6" s="5"/>
    </row>
    <row r="7" spans="1:87" x14ac:dyDescent="0.25">
      <c r="A7" s="35" t="s">
        <v>6</v>
      </c>
      <c r="B7" s="35" t="s">
        <v>34</v>
      </c>
      <c r="C7" s="37">
        <f>VLOOKUP(D1_DICIEMBRE_2025[[#This Row],[SUPER]],DATA_DICIEMBRE_2025[[SUPERVISOR]:[META]],3,0)</f>
        <v>29000</v>
      </c>
      <c r="D7" s="36">
        <f>D1_DICIEMBRE_2025[[#This Row],[RECUPERO]]/D1_DICIEMBRE_2025[[#This Row],[META]]</f>
        <v>1.5746724137931034</v>
      </c>
      <c r="E7" s="36" t="s">
        <v>6</v>
      </c>
      <c r="F7" t="s">
        <v>34</v>
      </c>
      <c r="G7" s="3">
        <v>45665.5</v>
      </c>
      <c r="H7" t="s">
        <v>434</v>
      </c>
      <c r="I7" s="59">
        <v>45175</v>
      </c>
      <c r="J7" s="59" t="s">
        <v>535</v>
      </c>
      <c r="K7" s="59"/>
      <c r="L7" s="59"/>
      <c r="M7" s="1"/>
      <c r="N7" s="5"/>
    </row>
    <row r="8" spans="1:87" x14ac:dyDescent="0.25">
      <c r="A8" s="35" t="s">
        <v>6</v>
      </c>
      <c r="B8" s="35" t="s">
        <v>80</v>
      </c>
      <c r="C8" s="37">
        <f>VLOOKUP(D1_DICIEMBRE_2025[[#This Row],[SUPER]],DATA_DICIEMBRE_2025[[SUPERVISOR]:[META]],3,0)</f>
        <v>29000</v>
      </c>
      <c r="D8" s="36">
        <f>D1_DICIEMBRE_2025[[#This Row],[RECUPERO]]/D1_DICIEMBRE_2025[[#This Row],[META]]</f>
        <v>1.5548620689655173</v>
      </c>
      <c r="E8" s="36" t="s">
        <v>6</v>
      </c>
      <c r="F8" t="s">
        <v>80</v>
      </c>
      <c r="G8" s="3">
        <v>45091</v>
      </c>
      <c r="H8" t="s">
        <v>460</v>
      </c>
      <c r="I8" s="59">
        <v>45285</v>
      </c>
      <c r="J8" s="59" t="s">
        <v>535</v>
      </c>
      <c r="K8" s="59"/>
      <c r="L8" s="59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567</v>
      </c>
      <c r="T8" s="14" t="s">
        <v>537</v>
      </c>
      <c r="U8" s="14" t="s">
        <v>559</v>
      </c>
      <c r="V8" s="14" t="s">
        <v>563</v>
      </c>
      <c r="W8" s="14" t="s">
        <v>538</v>
      </c>
      <c r="X8" s="14" t="s">
        <v>539</v>
      </c>
      <c r="Y8" s="14" t="s">
        <v>540</v>
      </c>
      <c r="Z8" s="14" t="s">
        <v>541</v>
      </c>
      <c r="AA8" s="14" t="s">
        <v>542</v>
      </c>
      <c r="AB8" s="14" t="s">
        <v>560</v>
      </c>
      <c r="AC8" s="14" t="s">
        <v>564</v>
      </c>
      <c r="AD8" s="14" t="s">
        <v>543</v>
      </c>
      <c r="AE8" s="14" t="s">
        <v>544</v>
      </c>
      <c r="AF8" s="14" t="s">
        <v>545</v>
      </c>
      <c r="AG8" s="14" t="s">
        <v>546</v>
      </c>
      <c r="AH8" s="14" t="s">
        <v>547</v>
      </c>
      <c r="AI8" s="14" t="s">
        <v>561</v>
      </c>
      <c r="AJ8" s="14" t="s">
        <v>565</v>
      </c>
      <c r="AK8" s="14" t="s">
        <v>548</v>
      </c>
      <c r="AL8" s="14" t="s">
        <v>549</v>
      </c>
      <c r="AM8" s="14" t="s">
        <v>550</v>
      </c>
      <c r="AN8" s="14" t="s">
        <v>551</v>
      </c>
      <c r="AO8" s="14" t="s">
        <v>552</v>
      </c>
      <c r="AP8" s="14" t="s">
        <v>562</v>
      </c>
      <c r="AQ8" s="14" t="s">
        <v>566</v>
      </c>
      <c r="AR8" s="14" t="s">
        <v>553</v>
      </c>
      <c r="AS8" s="14" t="s">
        <v>554</v>
      </c>
      <c r="AT8" s="14" t="s">
        <v>555</v>
      </c>
      <c r="AU8" s="14" t="s">
        <v>556</v>
      </c>
      <c r="AV8" s="14" t="s">
        <v>557</v>
      </c>
      <c r="AW8" s="14" t="s">
        <v>558</v>
      </c>
      <c r="AX8" s="15" t="s">
        <v>536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567</v>
      </c>
      <c r="BE8" s="20" t="s">
        <v>537</v>
      </c>
      <c r="BF8" s="20" t="s">
        <v>559</v>
      </c>
      <c r="BG8" s="20" t="s">
        <v>563</v>
      </c>
      <c r="BH8" s="20" t="s">
        <v>538</v>
      </c>
      <c r="BI8" s="20" t="s">
        <v>539</v>
      </c>
      <c r="BJ8" s="20" t="s">
        <v>540</v>
      </c>
      <c r="BK8" s="20" t="s">
        <v>541</v>
      </c>
      <c r="BL8" s="20" t="s">
        <v>542</v>
      </c>
      <c r="BM8" s="20" t="s">
        <v>560</v>
      </c>
      <c r="BN8" s="20" t="s">
        <v>564</v>
      </c>
      <c r="BO8" s="20" t="s">
        <v>543</v>
      </c>
      <c r="BP8" s="20" t="s">
        <v>544</v>
      </c>
      <c r="BQ8" s="20" t="s">
        <v>545</v>
      </c>
      <c r="BR8" s="20" t="s">
        <v>546</v>
      </c>
      <c r="BS8" s="20" t="s">
        <v>547</v>
      </c>
      <c r="BT8" s="20" t="s">
        <v>561</v>
      </c>
      <c r="BU8" s="20" t="s">
        <v>565</v>
      </c>
      <c r="BV8" s="20" t="s">
        <v>548</v>
      </c>
      <c r="BW8" s="20" t="s">
        <v>549</v>
      </c>
      <c r="BX8" s="20" t="s">
        <v>550</v>
      </c>
      <c r="BY8" s="20" t="s">
        <v>551</v>
      </c>
      <c r="BZ8" s="20" t="s">
        <v>552</v>
      </c>
      <c r="CA8" s="20" t="s">
        <v>562</v>
      </c>
      <c r="CB8" s="20" t="s">
        <v>566</v>
      </c>
      <c r="CC8" s="20" t="s">
        <v>553</v>
      </c>
      <c r="CD8" s="20" t="s">
        <v>554</v>
      </c>
      <c r="CE8" s="20" t="s">
        <v>555</v>
      </c>
      <c r="CF8" s="20" t="s">
        <v>556</v>
      </c>
      <c r="CG8" s="20" t="s">
        <v>557</v>
      </c>
      <c r="CH8" s="20" t="s">
        <v>558</v>
      </c>
      <c r="CI8" s="19" t="s">
        <v>134</v>
      </c>
    </row>
    <row r="9" spans="1:87" x14ac:dyDescent="0.25">
      <c r="A9" s="35" t="s">
        <v>6</v>
      </c>
      <c r="B9" s="35" t="s">
        <v>37</v>
      </c>
      <c r="C9" s="37">
        <f>VLOOKUP(D1_DICIEMBRE_2025[[#This Row],[SUPER]],DATA_DICIEMBRE_2025[[SUPERVISOR]:[META]],3,0)</f>
        <v>29000</v>
      </c>
      <c r="D9" s="36">
        <f>D1_DICIEMBRE_2025[[#This Row],[RECUPERO]]/D1_DICIEMBRE_2025[[#This Row],[META]]</f>
        <v>1.4053448275862068</v>
      </c>
      <c r="E9" s="36" t="s">
        <v>6</v>
      </c>
      <c r="F9" t="s">
        <v>37</v>
      </c>
      <c r="G9" s="3">
        <v>40755</v>
      </c>
      <c r="H9" t="s">
        <v>427</v>
      </c>
      <c r="I9" s="59">
        <v>43132</v>
      </c>
      <c r="J9" s="59" t="s">
        <v>535</v>
      </c>
      <c r="K9" s="59"/>
      <c r="L9" s="59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Row],[ASER_]]="","",IFERROR(_xlfn.IFS(M11&gt;=100%,"&gt;100%",AND(M11&lt;100%,M11&gt;=70%),"&gt;70%",AND(M11&lt;70%,M11&gt;=40%),"&gt;40%",AND(M11&lt;40%,M11&gt;=0%),"&gt;0%"),""))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2">
        <v>319493</v>
      </c>
      <c r="BA9" s="12">
        <f>MAX(DITE_DICIEMBRE_2025[[#This Row],[1]:[31]])</f>
        <v>510279.6</v>
      </c>
      <c r="BB9" s="18">
        <f>DITE_DICIEMBRE_2025[[#This Row],[RECUPERO SUPERVISOR]]/AZ9</f>
        <v>1.597154241250982</v>
      </c>
      <c r="BC9" s="12" t="s">
        <v>2</v>
      </c>
      <c r="BD9" s="47">
        <v>8753</v>
      </c>
      <c r="BE9" s="47">
        <v>17265</v>
      </c>
      <c r="BF9" s="47">
        <v>26511.82</v>
      </c>
      <c r="BG9" s="47">
        <v>37002.82</v>
      </c>
      <c r="BH9" s="47">
        <v>54737.1</v>
      </c>
      <c r="BI9" s="47">
        <v>54737.1</v>
      </c>
      <c r="BJ9" s="47">
        <v>54737.1</v>
      </c>
      <c r="BK9" s="47">
        <v>54987.1</v>
      </c>
      <c r="BL9" s="47">
        <v>54987.1</v>
      </c>
      <c r="BM9" s="47">
        <v>59147.1</v>
      </c>
      <c r="BN9" s="47">
        <v>75251.100000000006</v>
      </c>
      <c r="BO9" s="47">
        <v>106731.1</v>
      </c>
      <c r="BP9" s="47">
        <v>124331.1</v>
      </c>
      <c r="BQ9" s="47">
        <v>124331.1</v>
      </c>
      <c r="BR9" s="47">
        <v>176198.1</v>
      </c>
      <c r="BS9" s="47">
        <v>214616.6</v>
      </c>
      <c r="BT9" s="47">
        <v>234466.6</v>
      </c>
      <c r="BU9" s="47">
        <v>270376.59999999998</v>
      </c>
      <c r="BV9" s="47">
        <v>303897.59999999998</v>
      </c>
      <c r="BW9" s="47">
        <v>304247.59999999998</v>
      </c>
      <c r="BX9" s="47">
        <v>304247.59999999998</v>
      </c>
      <c r="BY9" s="47">
        <v>363519.6</v>
      </c>
      <c r="BZ9" s="47">
        <v>400276.6</v>
      </c>
      <c r="CA9" s="47">
        <v>424788.6</v>
      </c>
      <c r="CB9" s="47">
        <v>424788.6</v>
      </c>
      <c r="CC9" s="47">
        <v>431163.6</v>
      </c>
      <c r="CD9" s="47">
        <v>431663.6</v>
      </c>
      <c r="CE9" s="47">
        <v>431663.6</v>
      </c>
      <c r="CF9" s="47">
        <v>451448.6</v>
      </c>
      <c r="CG9" s="47">
        <v>473504.6</v>
      </c>
      <c r="CH9" s="47">
        <v>510279.6</v>
      </c>
      <c r="CI9" s="11" t="s">
        <v>205</v>
      </c>
    </row>
    <row r="10" spans="1:87" x14ac:dyDescent="0.25">
      <c r="A10" s="35" t="s">
        <v>6</v>
      </c>
      <c r="B10" s="35" t="s">
        <v>35</v>
      </c>
      <c r="C10" s="37">
        <f>VLOOKUP(D1_DICIEMBRE_2025[[#This Row],[SUPER]],DATA_DICIEMBRE_2025[[SUPERVISOR]:[META]],3,0)</f>
        <v>29000</v>
      </c>
      <c r="D10" s="36">
        <f>D1_DICIEMBRE_2025[[#This Row],[RECUPERO]]/D1_DICIEMBRE_2025[[#This Row],[META]]</f>
        <v>1.306948275862069</v>
      </c>
      <c r="E10" s="36" t="s">
        <v>6</v>
      </c>
      <c r="F10" t="s">
        <v>35</v>
      </c>
      <c r="G10" s="3">
        <v>37901.5</v>
      </c>
      <c r="H10" t="s">
        <v>428</v>
      </c>
      <c r="I10" s="59">
        <v>44748</v>
      </c>
      <c r="J10" s="59" t="s">
        <v>535</v>
      </c>
      <c r="K10" s="59"/>
      <c r="L10" s="59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Row],[ASER_]]="","",IFERROR(_xlfn.IFS(M12&gt;=100%,"&gt;100%",AND(M12&lt;100%,M12&gt;=70%),"&gt;70%",AND(M12&lt;70%,M12&gt;=40%),"&gt;40%",AND(M12&lt;40%,M12&gt;=0%),"&gt;0%"),""))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2">
        <v>262676</v>
      </c>
      <c r="BA10" s="12">
        <f>MAX(DITE_DICIEMBRE_2025[[#This Row],[1]:[31]])</f>
        <v>469752</v>
      </c>
      <c r="BB10" s="18">
        <f>DITE_DICIEMBRE_2025[[#This Row],[RECUPERO SUPERVISOR]]/AZ10</f>
        <v>1.7883323942804064</v>
      </c>
      <c r="BC10" s="12" t="s">
        <v>6</v>
      </c>
      <c r="BD10" s="47">
        <v>11237.5</v>
      </c>
      <c r="BE10" s="47">
        <v>15037.5</v>
      </c>
      <c r="BF10" s="47">
        <v>23537.5</v>
      </c>
      <c r="BG10" s="47">
        <v>36212.5</v>
      </c>
      <c r="BH10" s="47">
        <v>54626</v>
      </c>
      <c r="BI10" s="47">
        <v>54626</v>
      </c>
      <c r="BJ10" s="47">
        <v>55056</v>
      </c>
      <c r="BK10" s="47">
        <v>55056</v>
      </c>
      <c r="BL10" s="47">
        <v>55056</v>
      </c>
      <c r="BM10" s="47">
        <v>62291</v>
      </c>
      <c r="BN10" s="47">
        <v>84338</v>
      </c>
      <c r="BO10" s="47">
        <v>108768</v>
      </c>
      <c r="BP10" s="47">
        <v>108768</v>
      </c>
      <c r="BQ10" s="47">
        <v>108768</v>
      </c>
      <c r="BR10" s="47">
        <v>168932.5</v>
      </c>
      <c r="BS10" s="47">
        <v>191104.5</v>
      </c>
      <c r="BT10" s="47">
        <v>225869.5</v>
      </c>
      <c r="BU10" s="47">
        <v>242951.5</v>
      </c>
      <c r="BV10" s="47">
        <v>271002</v>
      </c>
      <c r="BW10" s="47">
        <v>271402</v>
      </c>
      <c r="BX10" s="47">
        <v>271402</v>
      </c>
      <c r="BY10" s="47">
        <v>298837</v>
      </c>
      <c r="BZ10" s="47">
        <v>322434</v>
      </c>
      <c r="CA10" s="47">
        <v>322734</v>
      </c>
      <c r="CB10" s="47">
        <v>326325</v>
      </c>
      <c r="CC10" s="47">
        <v>361045</v>
      </c>
      <c r="CD10" s="47">
        <v>361045</v>
      </c>
      <c r="CE10" s="47">
        <v>361302</v>
      </c>
      <c r="CF10" s="47">
        <v>403422</v>
      </c>
      <c r="CG10" s="47">
        <v>424032</v>
      </c>
      <c r="CH10" s="47">
        <v>469752</v>
      </c>
      <c r="CI10" s="12" t="s">
        <v>204</v>
      </c>
    </row>
    <row r="11" spans="1:87" x14ac:dyDescent="0.25">
      <c r="A11" s="35" t="s">
        <v>6</v>
      </c>
      <c r="B11" s="35" t="s">
        <v>81</v>
      </c>
      <c r="C11" s="37">
        <f>VLOOKUP(D1_DICIEMBRE_2025[[#This Row],[SUPER]],DATA_DICIEMBRE_2025[[SUPERVISOR]:[META]],3,0)</f>
        <v>29000</v>
      </c>
      <c r="D11" s="36">
        <f>D1_DICIEMBRE_2025[[#This Row],[RECUPERO]]/D1_DICIEMBRE_2025[[#This Row],[META]]</f>
        <v>1.2545517241379309</v>
      </c>
      <c r="E11" s="36" t="s">
        <v>6</v>
      </c>
      <c r="F11" t="s">
        <v>81</v>
      </c>
      <c r="G11" s="3">
        <v>36382</v>
      </c>
      <c r="H11" t="s">
        <v>452</v>
      </c>
      <c r="I11" s="59">
        <v>45506</v>
      </c>
      <c r="J11" s="59" t="s">
        <v>535</v>
      </c>
      <c r="K11" s="59"/>
      <c r="L11" s="59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Row],[ASER_]]="","",IFERROR(_xlfn.IFS(M13&gt;=100%,"&gt;100%",AND(M13&lt;100%,M13&gt;=70%),"&gt;70%",AND(M13&lt;70%,M13&gt;=40%),"&gt;40%",AND(M13&lt;40%,M13&gt;=0%),"&gt;0%"),""))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2">
        <v>269196</v>
      </c>
      <c r="BA11" s="12">
        <f>MAX(DITE_DICIEMBRE_2025[[#This Row],[1]:[31]])</f>
        <v>426427.91000000003</v>
      </c>
      <c r="BB11" s="18">
        <f>DITE_DICIEMBRE_2025[[#This Row],[RECUPERO SUPERVISOR]]/AZ11</f>
        <v>1.5840796668598347</v>
      </c>
      <c r="BC11" s="12" t="s">
        <v>7</v>
      </c>
      <c r="BD11" s="47">
        <v>4685</v>
      </c>
      <c r="BE11" s="47">
        <v>13163</v>
      </c>
      <c r="BF11" s="47">
        <v>14975</v>
      </c>
      <c r="BG11" s="47">
        <v>24689</v>
      </c>
      <c r="BH11" s="47">
        <v>37412</v>
      </c>
      <c r="BI11" s="47">
        <v>39412</v>
      </c>
      <c r="BJ11" s="47">
        <v>39812</v>
      </c>
      <c r="BK11" s="47">
        <v>40012</v>
      </c>
      <c r="BL11" s="47">
        <v>40219</v>
      </c>
      <c r="BM11" s="47">
        <v>58969</v>
      </c>
      <c r="BN11" s="47">
        <v>78794</v>
      </c>
      <c r="BO11" s="47">
        <v>115244</v>
      </c>
      <c r="BP11" s="47">
        <v>123044</v>
      </c>
      <c r="BQ11" s="47">
        <v>123332</v>
      </c>
      <c r="BR11" s="47">
        <v>149414</v>
      </c>
      <c r="BS11" s="47">
        <v>157779</v>
      </c>
      <c r="BT11" s="47">
        <v>171889</v>
      </c>
      <c r="BU11" s="47">
        <v>191229</v>
      </c>
      <c r="BV11" s="47">
        <v>214729</v>
      </c>
      <c r="BW11" s="47">
        <v>218039</v>
      </c>
      <c r="BX11" s="47">
        <v>218039</v>
      </c>
      <c r="BY11" s="47">
        <v>256321</v>
      </c>
      <c r="BZ11" s="47">
        <v>283206</v>
      </c>
      <c r="CA11" s="47">
        <v>288756</v>
      </c>
      <c r="CB11" s="47">
        <v>288756</v>
      </c>
      <c r="CC11" s="47">
        <v>315725</v>
      </c>
      <c r="CD11" s="47">
        <v>316280</v>
      </c>
      <c r="CE11" s="47">
        <v>317080</v>
      </c>
      <c r="CF11" s="47">
        <v>358875.91000000003</v>
      </c>
      <c r="CG11" s="47">
        <v>391293.91000000003</v>
      </c>
      <c r="CH11" s="47">
        <v>426427.91000000003</v>
      </c>
      <c r="CI11" s="11" t="s">
        <v>175</v>
      </c>
    </row>
    <row r="12" spans="1:87" x14ac:dyDescent="0.25">
      <c r="A12" s="35" t="s">
        <v>4</v>
      </c>
      <c r="B12" s="35" t="s">
        <v>75</v>
      </c>
      <c r="C12" s="37">
        <f>VLOOKUP(D1_DICIEMBRE_2025[[#This Row],[SUPER]],DATA_DICIEMBRE_2025[[SUPERVISOR]:[META]],3,0)</f>
        <v>55500</v>
      </c>
      <c r="D12" s="36">
        <f>D1_DICIEMBRE_2025[[#This Row],[RECUPERO]]/D1_DICIEMBRE_2025[[#This Row],[META]]</f>
        <v>2.4242702702702701</v>
      </c>
      <c r="E12" s="36" t="s">
        <v>4</v>
      </c>
      <c r="F12" t="s">
        <v>75</v>
      </c>
      <c r="G12" s="3">
        <v>134547</v>
      </c>
      <c r="H12" t="s">
        <v>455</v>
      </c>
      <c r="I12" s="59">
        <v>44716</v>
      </c>
      <c r="J12" s="59" t="s">
        <v>535</v>
      </c>
      <c r="K12" s="59"/>
      <c r="L12" s="59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Row],[ASER_]]="","",IFERROR(_xlfn.IFS(M14&gt;=100%,"&gt;100%",AND(M14&lt;100%,M14&gt;=70%),"&gt;70%",AND(M14&lt;70%,M14&gt;=40%),"&gt;40%",AND(M14&lt;40%,M14&gt;=0%),"&gt;0%"),""))</f>
        <v>&gt;70%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2">
        <v>555813</v>
      </c>
      <c r="BA12" s="12">
        <f>MAX(DITE_DICIEMBRE_2025[[#This Row],[1]:[31]])</f>
        <v>611048.15</v>
      </c>
      <c r="BB12" s="18">
        <f>DITE_DICIEMBRE_2025[[#This Row],[RECUPERO SUPERVISOR]]/AZ12</f>
        <v>1.0993772185969022</v>
      </c>
      <c r="BC12" s="12" t="s">
        <v>4</v>
      </c>
      <c r="BD12" s="47">
        <v>4790</v>
      </c>
      <c r="BE12" s="47">
        <v>6170</v>
      </c>
      <c r="BF12" s="47">
        <v>19950</v>
      </c>
      <c r="BG12" s="47">
        <v>32842</v>
      </c>
      <c r="BH12" s="47">
        <v>48330.83</v>
      </c>
      <c r="BI12" s="47">
        <v>48330.83</v>
      </c>
      <c r="BJ12" s="47">
        <v>51480.83</v>
      </c>
      <c r="BK12" s="47">
        <v>51480.83</v>
      </c>
      <c r="BL12" s="47">
        <v>51480.83</v>
      </c>
      <c r="BM12" s="47">
        <v>70742.83</v>
      </c>
      <c r="BN12" s="47">
        <v>86292.83</v>
      </c>
      <c r="BO12" s="47">
        <v>142392.83000000002</v>
      </c>
      <c r="BP12" s="47">
        <v>144392.83000000002</v>
      </c>
      <c r="BQ12" s="47">
        <v>144392.83000000002</v>
      </c>
      <c r="BR12" s="47">
        <v>203492.83000000002</v>
      </c>
      <c r="BS12" s="47">
        <v>233520.83000000002</v>
      </c>
      <c r="BT12" s="47">
        <v>259970.83000000002</v>
      </c>
      <c r="BU12" s="47">
        <v>306260.83</v>
      </c>
      <c r="BV12" s="47">
        <v>323114.41000000003</v>
      </c>
      <c r="BW12" s="47">
        <v>327114.41000000003</v>
      </c>
      <c r="BX12" s="47">
        <v>327114.41000000003</v>
      </c>
      <c r="BY12" s="47">
        <v>382225.41000000003</v>
      </c>
      <c r="BZ12" s="47">
        <v>415065.41000000003</v>
      </c>
      <c r="CA12" s="47">
        <v>427565.41000000003</v>
      </c>
      <c r="CB12" s="47">
        <v>427565.41000000003</v>
      </c>
      <c r="CC12" s="47">
        <v>480790.41000000003</v>
      </c>
      <c r="CD12" s="47">
        <v>483990.41000000003</v>
      </c>
      <c r="CE12" s="47">
        <v>483990.41000000003</v>
      </c>
      <c r="CF12" s="47">
        <v>524989.41</v>
      </c>
      <c r="CG12" s="47">
        <v>563701.15</v>
      </c>
      <c r="CH12" s="47">
        <v>611048.15</v>
      </c>
      <c r="CI12" s="12" t="s">
        <v>159</v>
      </c>
    </row>
    <row r="13" spans="1:87" x14ac:dyDescent="0.25">
      <c r="A13" s="35" t="s">
        <v>4</v>
      </c>
      <c r="B13" s="35" t="s">
        <v>59</v>
      </c>
      <c r="C13" s="37">
        <f>VLOOKUP(D1_DICIEMBRE_2025[[#This Row],[SUPER]],DATA_DICIEMBRE_2025[[SUPERVISOR]:[META]],3,0)</f>
        <v>55500</v>
      </c>
      <c r="D13" s="36">
        <f>D1_DICIEMBRE_2025[[#This Row],[RECUPERO]]/D1_DICIEMBRE_2025[[#This Row],[META]]</f>
        <v>1.4183243243243244</v>
      </c>
      <c r="E13" s="36" t="s">
        <v>4</v>
      </c>
      <c r="F13" t="s">
        <v>59</v>
      </c>
      <c r="G13" s="3">
        <v>78717</v>
      </c>
      <c r="H13" t="s">
        <v>457</v>
      </c>
      <c r="I13" s="59">
        <v>45348</v>
      </c>
      <c r="J13" s="59" t="s">
        <v>535</v>
      </c>
      <c r="K13" s="59"/>
      <c r="L13" s="59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Row],[ASER_]]="","",IFERROR(_xlfn.IFS(M15&gt;=100%,"&gt;100%",AND(M15&lt;100%,M15&gt;=70%),"&gt;70%",AND(M15&lt;70%,M15&gt;=40%),"&gt;40%",AND(M15&lt;40%,M15&gt;=0%),"&gt;0%"),""))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6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205</v>
      </c>
      <c r="AZ13" s="12">
        <v>555813</v>
      </c>
      <c r="BA13" s="12">
        <f>MAX(DITE_DICIEMBRE_2025[[#This Row],[1]:[31]])</f>
        <v>619075.53</v>
      </c>
      <c r="BB13" s="18">
        <f>DITE_DICIEMBRE_2025[[#This Row],[RECUPERO SUPERVISOR]]/AZ13</f>
        <v>1.1138198099000924</v>
      </c>
      <c r="BC13" s="12" t="s">
        <v>3</v>
      </c>
      <c r="BD13" s="47">
        <v>12650</v>
      </c>
      <c r="BE13" s="47">
        <v>30014</v>
      </c>
      <c r="BF13" s="47">
        <v>33959</v>
      </c>
      <c r="BG13" s="47">
        <v>53337</v>
      </c>
      <c r="BH13" s="47">
        <v>70437</v>
      </c>
      <c r="BI13" s="47">
        <v>70437</v>
      </c>
      <c r="BJ13" s="47">
        <v>75437</v>
      </c>
      <c r="BK13" s="47">
        <v>75687</v>
      </c>
      <c r="BL13" s="47">
        <v>76267</v>
      </c>
      <c r="BM13" s="47">
        <v>118512</v>
      </c>
      <c r="BN13" s="47">
        <v>181857</v>
      </c>
      <c r="BO13" s="47">
        <v>200429</v>
      </c>
      <c r="BP13" s="47">
        <v>214429</v>
      </c>
      <c r="BQ13" s="47">
        <v>214429</v>
      </c>
      <c r="BR13" s="47">
        <v>252165</v>
      </c>
      <c r="BS13" s="47">
        <v>262325</v>
      </c>
      <c r="BT13" s="47">
        <v>287925</v>
      </c>
      <c r="BU13" s="47">
        <v>320690</v>
      </c>
      <c r="BV13" s="47">
        <v>384231</v>
      </c>
      <c r="BW13" s="47">
        <v>385031</v>
      </c>
      <c r="BX13" s="47">
        <v>385031</v>
      </c>
      <c r="BY13" s="47">
        <v>416451</v>
      </c>
      <c r="BZ13" s="47">
        <v>438933</v>
      </c>
      <c r="CA13" s="47">
        <v>452363</v>
      </c>
      <c r="CB13" s="47">
        <v>453513</v>
      </c>
      <c r="CC13" s="47">
        <v>471103</v>
      </c>
      <c r="CD13" s="47">
        <v>474278</v>
      </c>
      <c r="CE13" s="47">
        <v>474278</v>
      </c>
      <c r="CF13" s="47">
        <v>505983.03</v>
      </c>
      <c r="CG13" s="47">
        <v>550982.03</v>
      </c>
      <c r="CH13" s="47">
        <v>619075.53</v>
      </c>
      <c r="CI13" s="11" t="s">
        <v>159</v>
      </c>
    </row>
    <row r="14" spans="1:87" x14ac:dyDescent="0.25">
      <c r="A14" s="35" t="s">
        <v>4</v>
      </c>
      <c r="B14" s="35" t="s">
        <v>60</v>
      </c>
      <c r="C14" s="37">
        <f>VLOOKUP(D1_DICIEMBRE_2025[[#This Row],[SUPER]],DATA_DICIEMBRE_2025[[SUPERVISOR]:[META]],3,0)</f>
        <v>55500</v>
      </c>
      <c r="D14" s="36">
        <f>D1_DICIEMBRE_2025[[#This Row],[RECUPERO]]/D1_DICIEMBRE_2025[[#This Row],[META]]</f>
        <v>1.2935315315315314</v>
      </c>
      <c r="E14" s="36" t="s">
        <v>4</v>
      </c>
      <c r="F14" t="s">
        <v>60</v>
      </c>
      <c r="G14" s="3">
        <v>71791</v>
      </c>
      <c r="H14" t="s">
        <v>450</v>
      </c>
      <c r="I14" s="59">
        <v>45323</v>
      </c>
      <c r="J14" s="59" t="s">
        <v>535</v>
      </c>
      <c r="K14" s="59"/>
      <c r="L14" s="59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Row],[ASER_]]="","",IFERROR(_xlfn.IFS(M16&gt;=100%,"&gt;100%",AND(M16&lt;100%,M16&gt;=70%),"&gt;70%",AND(M16&lt;70%,M16&gt;=40%),"&gt;40%",AND(M16&lt;40%,M16&gt;=0%),"&gt;0%"),""))</f>
        <v>&gt;100%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87" x14ac:dyDescent="0.25">
      <c r="A15" s="35" t="s">
        <v>4</v>
      </c>
      <c r="B15" s="35" t="s">
        <v>61</v>
      </c>
      <c r="C15" s="37">
        <f>VLOOKUP(D1_DICIEMBRE_2025[[#This Row],[SUPER]],DATA_DICIEMBRE_2025[[SUPERVISOR]:[META]],3,0)</f>
        <v>55500</v>
      </c>
      <c r="D15" s="36">
        <f>D1_DICIEMBRE_2025[[#This Row],[RECUPERO]]/D1_DICIEMBRE_2025[[#This Row],[META]]</f>
        <v>1.1292942342342343</v>
      </c>
      <c r="E15" s="36" t="s">
        <v>4</v>
      </c>
      <c r="F15" t="s">
        <v>61</v>
      </c>
      <c r="G15" s="3">
        <v>62675.83</v>
      </c>
      <c r="H15" t="s">
        <v>438</v>
      </c>
      <c r="I15" s="59">
        <v>44909</v>
      </c>
      <c r="J15" s="59" t="s">
        <v>535</v>
      </c>
      <c r="K15" s="59"/>
      <c r="L15" s="59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Row],[ASER_]]="","",IFERROR(_xlfn.IFS(M17&gt;=100%,"&gt;100%",AND(M17&lt;100%,M17&gt;=70%),"&gt;70%",AND(M17&lt;70%,M17&gt;=40%),"&gt;40%",AND(M17&lt;40%,M17&gt;=0%),"&gt;0%"),""))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204</v>
      </c>
    </row>
    <row r="16" spans="1:87" x14ac:dyDescent="0.25">
      <c r="A16" s="35" t="s">
        <v>4</v>
      </c>
      <c r="B16" s="35" t="s">
        <v>18</v>
      </c>
      <c r="C16" s="37">
        <f>VLOOKUP(D1_DICIEMBRE_2025[[#This Row],[SUPER]],DATA_DICIEMBRE_2025[[SUPERVISOR]:[META]],3,0)</f>
        <v>55500</v>
      </c>
      <c r="D16" s="36">
        <f>D1_DICIEMBRE_2025[[#This Row],[RECUPERO]]/D1_DICIEMBRE_2025[[#This Row],[META]]</f>
        <v>1.1104144144144144</v>
      </c>
      <c r="E16" s="36" t="s">
        <v>4</v>
      </c>
      <c r="F16" t="s">
        <v>18</v>
      </c>
      <c r="G16" s="3">
        <v>61628</v>
      </c>
      <c r="H16" t="s">
        <v>458</v>
      </c>
      <c r="I16" s="59">
        <v>45133</v>
      </c>
      <c r="J16" s="59" t="s">
        <v>535</v>
      </c>
      <c r="K16" s="59"/>
      <c r="L16" s="59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Row],[ASER_]]="","",IFERROR(_xlfn.IFS(M18&gt;=100%,"&gt;100%",AND(M18&lt;100%,M18&gt;=70%),"&gt;70%",AND(M18&lt;70%,M18&gt;=40%),"&gt;40%",AND(M18&lt;40%,M18&gt;=0%),"&gt;0%"),""))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6"/>
    </row>
    <row r="17" spans="1:86" x14ac:dyDescent="0.25">
      <c r="A17" s="35" t="s">
        <v>4</v>
      </c>
      <c r="B17" s="35" t="s">
        <v>10</v>
      </c>
      <c r="C17" s="37">
        <f>VLOOKUP(D1_DICIEMBRE_2025[[#This Row],[SUPER]],DATA_DICIEMBRE_2025[[SUPERVISOR]:[META]],3,0)</f>
        <v>55500</v>
      </c>
      <c r="D17" s="36">
        <f>D1_DICIEMBRE_2025[[#This Row],[RECUPERO]]/D1_DICIEMBRE_2025[[#This Row],[META]]</f>
        <v>1.048661981981982</v>
      </c>
      <c r="E17" s="36" t="s">
        <v>4</v>
      </c>
      <c r="F17" t="s">
        <v>10</v>
      </c>
      <c r="G17" s="3">
        <v>58200.74</v>
      </c>
      <c r="H17" t="s">
        <v>476</v>
      </c>
      <c r="I17" s="59">
        <v>44706</v>
      </c>
      <c r="J17" s="59" t="s">
        <v>535</v>
      </c>
      <c r="K17" s="59"/>
      <c r="L17" s="59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Row],[ASER_]]="","",IFERROR(_xlfn.IFS(M19&gt;=100%,"&gt;100%",AND(M19&lt;100%,M19&gt;=70%),"&gt;70%",AND(M19&lt;70%,M19&gt;=40%),"&gt;40%",AND(M19&lt;40%,M19&gt;=0%),"&gt;0%"),""))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6"/>
      <c r="CF17" s="46"/>
      <c r="CG17" s="46"/>
      <c r="CH17" s="46"/>
    </row>
    <row r="18" spans="1:86" x14ac:dyDescent="0.25">
      <c r="A18" s="35" t="s">
        <v>4</v>
      </c>
      <c r="B18" s="35" t="s">
        <v>122</v>
      </c>
      <c r="C18" s="37">
        <f>VLOOKUP(D1_DICIEMBRE_2025[[#This Row],[SUPER]],DATA_DICIEMBRE_2025[[SUPERVISOR]:[META]],3,0)</f>
        <v>55500</v>
      </c>
      <c r="D18" s="36">
        <f>D1_DICIEMBRE_2025[[#This Row],[RECUPERO]]/D1_DICIEMBRE_2025[[#This Row],[META]]</f>
        <v>0.95873873873873872</v>
      </c>
      <c r="E18" s="36" t="s">
        <v>4</v>
      </c>
      <c r="F18" t="s">
        <v>122</v>
      </c>
      <c r="G18" s="3">
        <v>53210</v>
      </c>
      <c r="H18" t="s">
        <v>453</v>
      </c>
      <c r="I18" s="59">
        <v>45082</v>
      </c>
      <c r="J18" s="59" t="s">
        <v>535</v>
      </c>
      <c r="K18" s="59"/>
      <c r="L18" s="59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Row],[ASER_]]="","",IFERROR(_xlfn.IFS(M20&gt;=100%,"&gt;100%",AND(M20&lt;100%,M20&gt;=70%),"&gt;70%",AND(M20&lt;70%,M20&gt;=40%),"&gt;40%",AND(M20&lt;40%,M20&gt;=0%),"&gt;0%"),""))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204</v>
      </c>
      <c r="BD18" s="46"/>
      <c r="CA18" s="46"/>
      <c r="CB18" s="46"/>
      <c r="CF18" s="46"/>
      <c r="CG18" s="48"/>
      <c r="CH18" s="46"/>
    </row>
    <row r="19" spans="1:86" x14ac:dyDescent="0.25">
      <c r="A19" s="35" t="s">
        <v>4</v>
      </c>
      <c r="B19" s="35" t="s">
        <v>72</v>
      </c>
      <c r="C19" s="37">
        <f>VLOOKUP(D1_DICIEMBRE_2025[[#This Row],[SUPER]],DATA_DICIEMBRE_2025[[SUPERVISOR]:[META]],3,0)</f>
        <v>55500</v>
      </c>
      <c r="D19" s="36">
        <f>D1_DICIEMBRE_2025[[#This Row],[RECUPERO]]/D1_DICIEMBRE_2025[[#This Row],[META]]</f>
        <v>0.80151351351351352</v>
      </c>
      <c r="E19" s="36" t="s">
        <v>4</v>
      </c>
      <c r="F19" t="s">
        <v>72</v>
      </c>
      <c r="G19" s="3">
        <v>44484</v>
      </c>
      <c r="H19" t="s">
        <v>477</v>
      </c>
      <c r="I19" s="59">
        <v>45084</v>
      </c>
      <c r="J19" s="59" t="s">
        <v>535</v>
      </c>
      <c r="K19" s="59"/>
      <c r="L19" s="59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Row],[ASER_]]="","",IFERROR(_xlfn.IFS(M21&gt;=100%,"&gt;100%",AND(M21&lt;100%,M21&gt;=70%),"&gt;70%",AND(M21&lt;70%,M21&gt;=40%),"&gt;40%",AND(M21&lt;40%,M21&gt;=0%),"&gt;0%"),""))</f>
        <v>&gt;70%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6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6"/>
      <c r="CA19" s="46"/>
      <c r="CB19" s="46"/>
      <c r="CF19" s="48"/>
      <c r="CG19" s="48"/>
      <c r="CH19" s="48"/>
    </row>
    <row r="20" spans="1:86" x14ac:dyDescent="0.25">
      <c r="A20" s="35" t="s">
        <v>4</v>
      </c>
      <c r="B20" s="35" t="s">
        <v>55</v>
      </c>
      <c r="C20" s="37">
        <f>VLOOKUP(D1_DICIEMBRE_2025[[#This Row],[SUPER]],DATA_DICIEMBRE_2025[[SUPERVISOR]:[META]],3,0)</f>
        <v>55500</v>
      </c>
      <c r="D20" s="36">
        <f>D1_DICIEMBRE_2025[[#This Row],[RECUPERO]]/D1_DICIEMBRE_2025[[#This Row],[META]]</f>
        <v>0.14584828828828827</v>
      </c>
      <c r="E20" s="36" t="s">
        <v>4</v>
      </c>
      <c r="F20" t="s">
        <v>55</v>
      </c>
      <c r="G20" s="3">
        <v>8094.58</v>
      </c>
      <c r="H20" t="s">
        <v>502</v>
      </c>
      <c r="I20" s="59">
        <v>45818</v>
      </c>
      <c r="J20" s="59" t="s">
        <v>535</v>
      </c>
      <c r="K20" s="59"/>
      <c r="L20" s="59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Row],[ASER_]]="","",IFERROR(_xlfn.IFS(M22&gt;=100%,"&gt;100%",AND(M22&lt;100%,M22&gt;=70%),"&gt;70%",AND(M22&lt;70%,M22&gt;=40%),"&gt;40%",AND(M22&lt;40%,M22&gt;=0%),"&gt;0%"),""))</f>
        <v>&gt;70%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204</v>
      </c>
      <c r="BD20" s="48"/>
      <c r="CA20" s="46"/>
      <c r="CB20" s="48"/>
      <c r="CE20" s="46"/>
      <c r="CF20" s="48"/>
      <c r="CG20" s="46"/>
      <c r="CH20" s="48"/>
    </row>
    <row r="21" spans="1:86" x14ac:dyDescent="0.25">
      <c r="A21" s="35" t="s">
        <v>4</v>
      </c>
      <c r="B21" s="35" t="s">
        <v>57</v>
      </c>
      <c r="C21" s="37">
        <f>VLOOKUP(D1_DICIEMBRE_2025[[#This Row],[SUPER]],DATA_DICIEMBRE_2025[[SUPERVISOR]:[META]],3,0)</f>
        <v>55500</v>
      </c>
      <c r="D21" s="36">
        <f>D1_DICIEMBRE_2025[[#This Row],[RECUPERO]]/D1_DICIEMBRE_2025[[#This Row],[META]]</f>
        <v>0.11711711711711711</v>
      </c>
      <c r="E21" s="36" t="s">
        <v>4</v>
      </c>
      <c r="F21" t="s">
        <v>57</v>
      </c>
      <c r="G21" s="3">
        <v>6500</v>
      </c>
      <c r="H21" t="s">
        <v>470</v>
      </c>
      <c r="I21" s="59">
        <v>45590</v>
      </c>
      <c r="J21" s="59" t="s">
        <v>535</v>
      </c>
      <c r="K21" s="59"/>
      <c r="L21" s="59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Row],[ASER_]]="","",IFERROR(_xlfn.IFS(M23&gt;=100%,"&gt;100%",AND(M23&lt;100%,M23&gt;=70%),"&gt;70%",AND(M23&lt;70%,M23&gt;=40%),"&gt;40%",AND(M23&lt;40%,M23&gt;=0%),"&gt;0%"),""))</f>
        <v>&gt;100%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8"/>
      <c r="CA21" s="46"/>
      <c r="CB21" s="48"/>
      <c r="CE21" s="46"/>
      <c r="CF21" s="46"/>
      <c r="CH21" s="46"/>
    </row>
    <row r="22" spans="1:86" x14ac:dyDescent="0.25">
      <c r="A22" s="35" t="s">
        <v>3</v>
      </c>
      <c r="B22" s="35" t="s">
        <v>23</v>
      </c>
      <c r="C22" s="37">
        <f>VLOOKUP(D1_DICIEMBRE_2025[[#This Row],[SUPER]],DATA_DICIEMBRE_2025[[SUPERVISOR]:[META]],3,0)</f>
        <v>55500</v>
      </c>
      <c r="D22" s="36">
        <f>D1_DICIEMBRE_2025[[#This Row],[RECUPERO]]/D1_DICIEMBRE_2025[[#This Row],[META]]</f>
        <v>2.2284684684684684</v>
      </c>
      <c r="E22" s="36" t="s">
        <v>3</v>
      </c>
      <c r="F22" t="s">
        <v>23</v>
      </c>
      <c r="G22" s="3">
        <v>123680</v>
      </c>
      <c r="H22" t="s">
        <v>472</v>
      </c>
      <c r="I22" s="59">
        <v>44111</v>
      </c>
      <c r="J22" s="59" t="s">
        <v>535</v>
      </c>
      <c r="K22" s="59"/>
      <c r="L22" s="59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Row],[ASER_]]="","",IFERROR(_xlfn.IFS(M24&gt;=100%,"&gt;100%",AND(M24&lt;100%,M24&gt;=70%),"&gt;70%",AND(M24&lt;70%,M24&gt;=40%),"&gt;40%",AND(M24&lt;40%,M24&gt;=0%),"&gt;0%"),""))</f>
        <v>&gt;100%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6"/>
      <c r="CA22" s="48"/>
      <c r="CB22" s="46"/>
      <c r="CE22" s="46"/>
    </row>
    <row r="23" spans="1:86" x14ac:dyDescent="0.25">
      <c r="A23" s="35" t="s">
        <v>3</v>
      </c>
      <c r="B23" s="35" t="s">
        <v>24</v>
      </c>
      <c r="C23" s="37">
        <f>VLOOKUP(D1_DICIEMBRE_2025[[#This Row],[SUPER]],DATA_DICIEMBRE_2025[[SUPERVISOR]:[META]],3,0)</f>
        <v>55500</v>
      </c>
      <c r="D23" s="36">
        <f>D1_DICIEMBRE_2025[[#This Row],[RECUPERO]]/D1_DICIEMBRE_2025[[#This Row],[META]]</f>
        <v>1.3207207207207208</v>
      </c>
      <c r="E23" s="36" t="s">
        <v>3</v>
      </c>
      <c r="F23" t="s">
        <v>24</v>
      </c>
      <c r="G23" s="3">
        <v>73300</v>
      </c>
      <c r="H23" t="s">
        <v>461</v>
      </c>
      <c r="I23" s="59">
        <v>45334</v>
      </c>
      <c r="J23" s="59" t="s">
        <v>535</v>
      </c>
      <c r="K23" s="59"/>
      <c r="L23" s="59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Row],[ASER_]]="","",IFERROR(_xlfn.IFS(M25&gt;=100%,"&gt;100%",AND(M25&lt;100%,M25&gt;=70%),"&gt;70%",AND(M25&lt;70%,M25&gt;=40%),"&gt;40%",AND(M25&lt;40%,M25&gt;=0%),"&gt;0%"),""))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6"/>
    </row>
    <row r="24" spans="1:86" x14ac:dyDescent="0.25">
      <c r="A24" s="35" t="s">
        <v>3</v>
      </c>
      <c r="B24" s="35" t="s">
        <v>13</v>
      </c>
      <c r="C24" s="37">
        <f>VLOOKUP(D1_DICIEMBRE_2025[[#This Row],[SUPER]],DATA_DICIEMBRE_2025[[SUPERVISOR]:[META]],3,0)</f>
        <v>55500</v>
      </c>
      <c r="D24" s="36">
        <f>D1_DICIEMBRE_2025[[#This Row],[RECUPERO]]/D1_DICIEMBRE_2025[[#This Row],[META]]</f>
        <v>1.2782432432432433</v>
      </c>
      <c r="E24" s="36" t="s">
        <v>3</v>
      </c>
      <c r="F24" t="s">
        <v>13</v>
      </c>
      <c r="G24" s="3">
        <v>70942.5</v>
      </c>
      <c r="H24" t="s">
        <v>409</v>
      </c>
      <c r="I24" s="59">
        <v>44811</v>
      </c>
      <c r="J24" s="59" t="s">
        <v>535</v>
      </c>
      <c r="K24" s="59"/>
      <c r="L24" s="59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Row],[ASER_]]="","",IFERROR(_xlfn.IFS(M26&gt;=100%,"&gt;100%",AND(M26&lt;100%,M26&gt;=70%),"&gt;70%",AND(M26&lt;70%,M26&gt;=40%),"&gt;40%",AND(M26&lt;40%,M26&gt;=0%),"&gt;0%"),""))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6"/>
    </row>
    <row r="25" spans="1:86" x14ac:dyDescent="0.25">
      <c r="A25" s="35" t="s">
        <v>3</v>
      </c>
      <c r="B25" s="35" t="s">
        <v>31</v>
      </c>
      <c r="C25" s="37">
        <f>VLOOKUP(D1_DICIEMBRE_2025[[#This Row],[SUPER]],DATA_DICIEMBRE_2025[[SUPERVISOR]:[META]],3,0)</f>
        <v>55500</v>
      </c>
      <c r="D25" s="36">
        <f>D1_DICIEMBRE_2025[[#This Row],[RECUPERO]]/D1_DICIEMBRE_2025[[#This Row],[META]]</f>
        <v>1.1853333333333333</v>
      </c>
      <c r="E25" s="36" t="s">
        <v>3</v>
      </c>
      <c r="F25" t="s">
        <v>31</v>
      </c>
      <c r="G25" s="3">
        <v>65786</v>
      </c>
      <c r="H25" t="s">
        <v>430</v>
      </c>
      <c r="I25" s="59">
        <v>45334</v>
      </c>
      <c r="J25" s="59" t="s">
        <v>535</v>
      </c>
      <c r="K25" s="59"/>
      <c r="L25" s="59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Row],[ASER_]]="","",IFERROR(_xlfn.IFS(M27&gt;=100%,"&gt;100%",AND(M27&lt;100%,M27&gt;=70%),"&gt;70%",AND(M27&lt;70%,M27&gt;=40%),"&gt;40%",AND(M27&lt;40%,M27&gt;=0%),"&gt;0%"),""))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5" t="s">
        <v>3</v>
      </c>
      <c r="B26" s="35" t="s">
        <v>32</v>
      </c>
      <c r="C26" s="37">
        <f>VLOOKUP(D1_DICIEMBRE_2025[[#This Row],[SUPER]],DATA_DICIEMBRE_2025[[SUPERVISOR]:[META]],3,0)</f>
        <v>55500</v>
      </c>
      <c r="D26" s="36">
        <f>D1_DICIEMBRE_2025[[#This Row],[RECUPERO]]/D1_DICIEMBRE_2025[[#This Row],[META]]</f>
        <v>1.094990990990991</v>
      </c>
      <c r="E26" s="36" t="s">
        <v>3</v>
      </c>
      <c r="F26" t="s">
        <v>32</v>
      </c>
      <c r="G26" s="3">
        <v>60772</v>
      </c>
      <c r="H26" t="s">
        <v>417</v>
      </c>
      <c r="I26" s="59">
        <v>45530</v>
      </c>
      <c r="J26" s="59" t="s">
        <v>535</v>
      </c>
      <c r="K26" s="59"/>
      <c r="L26" s="59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Row],[ASER_]]="","",IFERROR(_xlfn.IFS(M28&gt;=100%,"&gt;100%",AND(M28&lt;100%,M28&gt;=70%),"&gt;70%",AND(M28&lt;70%,M28&gt;=40%),"&gt;40%",AND(M28&lt;40%,M28&gt;=0%),"&gt;0%"),""))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5" t="s">
        <v>3</v>
      </c>
      <c r="B27" s="35" t="s">
        <v>22</v>
      </c>
      <c r="C27" s="37">
        <f>VLOOKUP(D1_DICIEMBRE_2025[[#This Row],[SUPER]],DATA_DICIEMBRE_2025[[SUPERVISOR]:[META]],3,0)</f>
        <v>55500</v>
      </c>
      <c r="D27" s="36">
        <f>D1_DICIEMBRE_2025[[#This Row],[RECUPERO]]/D1_DICIEMBRE_2025[[#This Row],[META]]</f>
        <v>0.93945945945945941</v>
      </c>
      <c r="E27" s="36" t="s">
        <v>3</v>
      </c>
      <c r="F27" t="s">
        <v>22</v>
      </c>
      <c r="G27" s="3">
        <v>52140</v>
      </c>
      <c r="H27" t="s">
        <v>469</v>
      </c>
      <c r="I27" s="59">
        <v>45299</v>
      </c>
      <c r="J27" s="59" t="s">
        <v>535</v>
      </c>
      <c r="K27" s="59"/>
      <c r="L27" s="59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Row],[ASER_]]="","",IFERROR(_xlfn.IFS(M29&gt;=100%,"&gt;100%",AND(M29&lt;100%,M29&gt;=70%),"&gt;70%",AND(M29&lt;70%,M29&gt;=40%),"&gt;40%",AND(M29&lt;40%,M29&gt;=0%),"&gt;0%"),""))</f>
        <v>&gt;40%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5" t="s">
        <v>3</v>
      </c>
      <c r="B28" s="35" t="s">
        <v>96</v>
      </c>
      <c r="C28" s="37">
        <f>VLOOKUP(D1_DICIEMBRE_2025[[#This Row],[SUPER]],DATA_DICIEMBRE_2025[[SUPERVISOR]:[META]],3,0)</f>
        <v>55500</v>
      </c>
      <c r="D28" s="36">
        <f>D1_DICIEMBRE_2025[[#This Row],[RECUPERO]]/D1_DICIEMBRE_2025[[#This Row],[META]]</f>
        <v>0.87484684684684688</v>
      </c>
      <c r="E28" s="36" t="s">
        <v>3</v>
      </c>
      <c r="F28" t="s">
        <v>96</v>
      </c>
      <c r="G28" s="3">
        <v>48554</v>
      </c>
      <c r="H28" t="s">
        <v>464</v>
      </c>
      <c r="I28" s="59">
        <v>45671</v>
      </c>
      <c r="J28" s="59" t="s">
        <v>535</v>
      </c>
      <c r="K28" s="59"/>
      <c r="L28" s="59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Row],[ASER_]]="","",IFERROR(_xlfn.IFS(M30&gt;=100%,"&gt;100%",AND(M30&lt;100%,M30&gt;=70%),"&gt;70%",AND(M30&lt;70%,M30&gt;=40%),"&gt;40%",AND(M30&lt;40%,M30&gt;=0%),"&gt;0%"),""))</f>
        <v>&gt;0%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6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205</v>
      </c>
    </row>
    <row r="29" spans="1:86" x14ac:dyDescent="0.25">
      <c r="A29" s="35" t="s">
        <v>3</v>
      </c>
      <c r="B29" s="35" t="s">
        <v>17</v>
      </c>
      <c r="C29" s="37">
        <f>VLOOKUP(D1_DICIEMBRE_2025[[#This Row],[SUPER]],DATA_DICIEMBRE_2025[[SUPERVISOR]:[META]],3,0)</f>
        <v>55500</v>
      </c>
      <c r="D29" s="36">
        <f>D1_DICIEMBRE_2025[[#This Row],[RECUPERO]]/D1_DICIEMBRE_2025[[#This Row],[META]]</f>
        <v>0.82893747747747748</v>
      </c>
      <c r="E29" s="36" t="s">
        <v>3</v>
      </c>
      <c r="F29" t="s">
        <v>17</v>
      </c>
      <c r="G29" s="3">
        <v>46006.03</v>
      </c>
      <c r="H29" t="s">
        <v>412</v>
      </c>
      <c r="I29" s="59">
        <v>44888</v>
      </c>
      <c r="J29" s="59" t="s">
        <v>535</v>
      </c>
      <c r="K29" s="59"/>
      <c r="L29" s="59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Row],[ASER_]]="","",IFERROR(_xlfn.IFS(M31&gt;=100%,"&gt;100%",AND(M31&lt;100%,M31&gt;=70%),"&gt;70%",AND(M31&lt;70%,M31&gt;=40%),"&gt;40%",AND(M31&lt;40%,M31&gt;=0%),"&gt;0%"),""))</f>
        <v>&gt;100%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5" t="s">
        <v>3</v>
      </c>
      <c r="B30" s="35" t="s">
        <v>33</v>
      </c>
      <c r="C30" s="37">
        <f>VLOOKUP(D1_DICIEMBRE_2025[[#This Row],[SUPER]],DATA_DICIEMBRE_2025[[SUPERVISOR]:[META]],3,0)</f>
        <v>55500</v>
      </c>
      <c r="D30" s="36">
        <f>D1_DICIEMBRE_2025[[#This Row],[RECUPERO]]/D1_DICIEMBRE_2025[[#This Row],[META]]</f>
        <v>0.71255855855855854</v>
      </c>
      <c r="E30" s="36" t="s">
        <v>3</v>
      </c>
      <c r="F30" t="s">
        <v>33</v>
      </c>
      <c r="G30" s="3">
        <v>39547</v>
      </c>
      <c r="H30" t="s">
        <v>466</v>
      </c>
      <c r="I30" s="59">
        <v>44869</v>
      </c>
      <c r="J30" s="59" t="s">
        <v>535</v>
      </c>
      <c r="K30" s="59"/>
      <c r="L30" s="59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Row],[ASER_]]="","",IFERROR(_xlfn.IFS(M32&gt;=100%,"&gt;100%",AND(M32&lt;100%,M32&gt;=70%),"&gt;70%",AND(M32&lt;70%,M32&gt;=40%),"&gt;40%",AND(M32&lt;40%,M32&gt;=0%),"&gt;0%"),""))</f>
        <v>&gt;100%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5" t="s">
        <v>3</v>
      </c>
      <c r="B31" s="35" t="s">
        <v>65</v>
      </c>
      <c r="C31" s="37">
        <f>VLOOKUP(D1_DICIEMBRE_2025[[#This Row],[SUPER]],DATA_DICIEMBRE_2025[[SUPERVISOR]:[META]],3,0)</f>
        <v>55500</v>
      </c>
      <c r="D31" s="36">
        <f>D1_DICIEMBRE_2025[[#This Row],[RECUPERO]]/D1_DICIEMBRE_2025[[#This Row],[META]]</f>
        <v>0.40906306306306306</v>
      </c>
      <c r="E31" s="36" t="s">
        <v>3</v>
      </c>
      <c r="F31" t="s">
        <v>65</v>
      </c>
      <c r="G31" s="3">
        <v>22703</v>
      </c>
      <c r="H31" t="s">
        <v>465</v>
      </c>
      <c r="I31" s="59">
        <v>45021</v>
      </c>
      <c r="J31" s="59" t="s">
        <v>535</v>
      </c>
      <c r="K31" s="59"/>
      <c r="L31" s="59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Row],[ASER_]]="","",IFERROR(_xlfn.IFS(M33&gt;=100%,"&gt;100%",AND(M33&lt;100%,M33&gt;=70%),"&gt;70%",AND(M33&lt;70%,M33&gt;=40%),"&gt;40%",AND(M33&lt;40%,M33&gt;=0%),"&gt;0%"),""))</f>
        <v>&gt;70%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5" t="s">
        <v>2</v>
      </c>
      <c r="B32" s="35" t="s">
        <v>76</v>
      </c>
      <c r="C32" s="37">
        <f>VLOOKUP(D1_DICIEMBRE_2025[[#This Row],[SUPER]],DATA_DICIEMBRE_2025[[SUPERVISOR]:[META]],3,0)</f>
        <v>35500</v>
      </c>
      <c r="D32" s="36">
        <f>D1_DICIEMBRE_2025[[#This Row],[RECUPERO]]/D1_DICIEMBRE_2025[[#This Row],[META]]</f>
        <v>2.468434366197183</v>
      </c>
      <c r="E32" s="36" t="s">
        <v>2</v>
      </c>
      <c r="F32" t="s">
        <v>76</v>
      </c>
      <c r="G32" s="3">
        <v>87629.42</v>
      </c>
      <c r="H32" t="s">
        <v>435</v>
      </c>
      <c r="I32" s="59">
        <v>44819</v>
      </c>
      <c r="J32" s="59" t="s">
        <v>535</v>
      </c>
      <c r="K32" s="59"/>
      <c r="L32" s="59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Row],[ASER_]]="","",IFERROR(_xlfn.IFS(M34&gt;=100%,"&gt;100%",AND(M34&lt;100%,M34&gt;=70%),"&gt;70%",AND(M34&lt;70%,M34&gt;=40%),"&gt;40%",AND(M34&lt;40%,M34&gt;=0%),"&gt;0%"),""))</f>
        <v>&gt;70%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204</v>
      </c>
    </row>
    <row r="33" spans="1:50" x14ac:dyDescent="0.25">
      <c r="A33" s="35" t="s">
        <v>2</v>
      </c>
      <c r="B33" s="35" t="s">
        <v>38</v>
      </c>
      <c r="C33" s="37">
        <f>VLOOKUP(D1_DICIEMBRE_2025[[#This Row],[SUPER]],DATA_DICIEMBRE_2025[[SUPERVISOR]:[META]],3,0)</f>
        <v>35500</v>
      </c>
      <c r="D33" s="36">
        <f>D1_DICIEMBRE_2025[[#This Row],[RECUPERO]]/D1_DICIEMBRE_2025[[#This Row],[META]]</f>
        <v>2.0112394366197184</v>
      </c>
      <c r="E33" s="36" t="s">
        <v>2</v>
      </c>
      <c r="F33" t="s">
        <v>38</v>
      </c>
      <c r="G33" s="3">
        <v>71399</v>
      </c>
      <c r="H33" t="s">
        <v>496</v>
      </c>
      <c r="I33" s="59">
        <v>45805</v>
      </c>
      <c r="J33" s="59" t="s">
        <v>535</v>
      </c>
      <c r="K33" s="59"/>
      <c r="L33" s="59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Row],[ASER_]]="","",IFERROR(_xlfn.IFS(M35&gt;=100%,"&gt;100%",AND(M35&lt;100%,M35&gt;=70%),"&gt;70%",AND(M35&lt;70%,M35&gt;=40%),"&gt;40%",AND(M35&lt;40%,M35&gt;=0%),"&gt;0%"),""))</f>
        <v>&gt;40%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5" t="s">
        <v>2</v>
      </c>
      <c r="B34" s="35" t="s">
        <v>68</v>
      </c>
      <c r="C34" s="37">
        <f>VLOOKUP(D1_DICIEMBRE_2025[[#This Row],[SUPER]],DATA_DICIEMBRE_2025[[SUPERVISOR]:[META]],3,0)</f>
        <v>35500</v>
      </c>
      <c r="D34" s="36">
        <f>D1_DICIEMBRE_2025[[#This Row],[RECUPERO]]/D1_DICIEMBRE_2025[[#This Row],[META]]</f>
        <v>1.9508732394366197</v>
      </c>
      <c r="E34" s="36" t="s">
        <v>2</v>
      </c>
      <c r="F34" t="s">
        <v>68</v>
      </c>
      <c r="G34" s="3">
        <v>69256</v>
      </c>
      <c r="H34" t="s">
        <v>467</v>
      </c>
      <c r="I34" s="59">
        <v>45364</v>
      </c>
      <c r="J34" s="59" t="s">
        <v>535</v>
      </c>
      <c r="K34" s="59"/>
      <c r="L34" s="59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Row],[ASER_]]="","",IFERROR(_xlfn.IFS(M36&gt;=100%,"&gt;100%",AND(M36&lt;100%,M36&gt;=70%),"&gt;70%",AND(M36&lt;70%,M36&gt;=40%),"&gt;40%",AND(M36&lt;40%,M36&gt;=0%),"&gt;0%"),""))</f>
        <v>&gt;100%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5" t="s">
        <v>2</v>
      </c>
      <c r="B35" s="35" t="s">
        <v>42</v>
      </c>
      <c r="C35" s="37">
        <f>VLOOKUP(D1_DICIEMBRE_2025[[#This Row],[SUPER]],DATA_DICIEMBRE_2025[[SUPERVISOR]:[META]],3,0)</f>
        <v>35500</v>
      </c>
      <c r="D35" s="36">
        <f>D1_DICIEMBRE_2025[[#This Row],[RECUPERO]]/D1_DICIEMBRE_2025[[#This Row],[META]]</f>
        <v>1.5629859154929577</v>
      </c>
      <c r="E35" s="36" t="s">
        <v>2</v>
      </c>
      <c r="F35" t="s">
        <v>42</v>
      </c>
      <c r="G35" s="3">
        <v>55486</v>
      </c>
      <c r="H35" t="s">
        <v>442</v>
      </c>
      <c r="I35" s="59">
        <v>45399</v>
      </c>
      <c r="J35" s="59" t="s">
        <v>535</v>
      </c>
      <c r="K35" s="59"/>
      <c r="L35" s="59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Row],[ASER_]]="","",IFERROR(_xlfn.IFS(M37&gt;=100%,"&gt;100%",AND(M37&lt;100%,M37&gt;=70%),"&gt;70%",AND(M37&lt;70%,M37&gt;=40%),"&gt;40%",AND(M37&lt;40%,M37&gt;=0%),"&gt;0%"),""))</f>
        <v>&gt;100%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5" t="s">
        <v>2</v>
      </c>
      <c r="B36" s="35" t="s">
        <v>78</v>
      </c>
      <c r="C36" s="37">
        <f>VLOOKUP(D1_DICIEMBRE_2025[[#This Row],[SUPER]],DATA_DICIEMBRE_2025[[SUPERVISOR]:[META]],3,0)</f>
        <v>35500</v>
      </c>
      <c r="D36" s="36">
        <f>D1_DICIEMBRE_2025[[#This Row],[RECUPERO]]/D1_DICIEMBRE_2025[[#This Row],[META]]</f>
        <v>1.5675774647887324</v>
      </c>
      <c r="E36" s="36" t="s">
        <v>2</v>
      </c>
      <c r="F36" t="s">
        <v>78</v>
      </c>
      <c r="G36" s="3">
        <v>55649</v>
      </c>
      <c r="H36" t="s">
        <v>424</v>
      </c>
      <c r="I36" s="59">
        <v>44945</v>
      </c>
      <c r="J36" s="59" t="s">
        <v>535</v>
      </c>
      <c r="K36" s="59"/>
      <c r="L36" s="59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Row],[ASER_]]="","",IFERROR(_xlfn.IFS(M38&gt;=100%,"&gt;100%",AND(M38&lt;100%,M38&gt;=70%),"&gt;70%",AND(M38&lt;70%,M38&gt;=40%),"&gt;40%",AND(M38&lt;40%,M38&gt;=0%),"&gt;0%"),""))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204</v>
      </c>
    </row>
    <row r="37" spans="1:50" x14ac:dyDescent="0.25">
      <c r="A37" s="35" t="s">
        <v>2</v>
      </c>
      <c r="B37" s="35" t="s">
        <v>25</v>
      </c>
      <c r="C37" s="37">
        <f>VLOOKUP(D1_DICIEMBRE_2025[[#This Row],[SUPER]],DATA_DICIEMBRE_2025[[SUPERVISOR]:[META]],3,0)</f>
        <v>35500</v>
      </c>
      <c r="D37" s="36">
        <f>D1_DICIEMBRE_2025[[#This Row],[RECUPERO]]/D1_DICIEMBRE_2025[[#This Row],[META]]</f>
        <v>1.4267605633802818</v>
      </c>
      <c r="E37" s="36" t="s">
        <v>2</v>
      </c>
      <c r="F37" t="s">
        <v>25</v>
      </c>
      <c r="G37" s="3">
        <v>50650</v>
      </c>
      <c r="H37" t="s">
        <v>473</v>
      </c>
      <c r="I37" s="59">
        <v>44820</v>
      </c>
      <c r="J37" s="59" t="s">
        <v>535</v>
      </c>
      <c r="K37" s="59"/>
      <c r="L37" s="59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Row],[ASER_]]="","",IFERROR(_xlfn.IFS(M39&gt;=100%,"&gt;100%",AND(M39&lt;100%,M39&gt;=70%),"&gt;70%",AND(M39&lt;70%,M39&gt;=40%),"&gt;40%",AND(M39&lt;40%,M39&gt;=0%),"&gt;0%"),""))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5" t="s">
        <v>2</v>
      </c>
      <c r="B38" s="35" t="s">
        <v>15</v>
      </c>
      <c r="C38" s="37">
        <f>VLOOKUP(D1_DICIEMBRE_2025[[#This Row],[SUPER]],DATA_DICIEMBRE_2025[[SUPERVISOR]:[META]],3,0)</f>
        <v>35500</v>
      </c>
      <c r="D38" s="36">
        <f>D1_DICIEMBRE_2025[[#This Row],[RECUPERO]]/D1_DICIEMBRE_2025[[#This Row],[META]]</f>
        <v>1.2428732394366198</v>
      </c>
      <c r="E38" s="36" t="s">
        <v>2</v>
      </c>
      <c r="F38" t="s">
        <v>15</v>
      </c>
      <c r="G38" s="3">
        <v>44122</v>
      </c>
      <c r="H38" t="s">
        <v>437</v>
      </c>
      <c r="I38" s="59">
        <v>44735</v>
      </c>
      <c r="J38" s="59" t="s">
        <v>535</v>
      </c>
      <c r="K38" s="59"/>
      <c r="L38" s="59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Row],[ASER_]]="","",IFERROR(_xlfn.IFS(M40&gt;=100%,"&gt;100%",AND(M40&lt;100%,M40&gt;=70%),"&gt;70%",AND(M40&lt;70%,M40&gt;=40%),"&gt;40%",AND(M40&lt;40%,M40&gt;=0%),"&gt;0%"),""))</f>
        <v>&gt;70%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204</v>
      </c>
    </row>
    <row r="39" spans="1:50" x14ac:dyDescent="0.25">
      <c r="A39" s="35" t="s">
        <v>2</v>
      </c>
      <c r="B39" s="35" t="s">
        <v>29</v>
      </c>
      <c r="C39" s="37">
        <f>VLOOKUP(D1_DICIEMBRE_2025[[#This Row],[SUPER]],DATA_DICIEMBRE_2025[[SUPERVISOR]:[META]],3,0)</f>
        <v>35500</v>
      </c>
      <c r="D39" s="36">
        <f>D1_DICIEMBRE_2025[[#This Row],[RECUPERO]]/D1_DICIEMBRE_2025[[#This Row],[META]]</f>
        <v>1.0459971830985917</v>
      </c>
      <c r="E39" s="36" t="s">
        <v>2</v>
      </c>
      <c r="F39" t="s">
        <v>29</v>
      </c>
      <c r="G39" s="3">
        <v>37132.9</v>
      </c>
      <c r="H39" t="s">
        <v>443</v>
      </c>
      <c r="I39" s="59">
        <v>44687</v>
      </c>
      <c r="J39" s="59" t="s">
        <v>535</v>
      </c>
      <c r="K39" s="59"/>
      <c r="L39" s="59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Row],[ASER_]]="","",IFERROR(_xlfn.IFS(M41&gt;=100%,"&gt;100%",AND(M41&lt;100%,M41&gt;=70%),"&gt;70%",AND(M41&lt;70%,M41&gt;=40%),"&gt;40%",AND(M41&lt;40%,M41&gt;=0%),"&gt;0%"),""))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204</v>
      </c>
    </row>
    <row r="40" spans="1:50" x14ac:dyDescent="0.25">
      <c r="A40" s="35" t="s">
        <v>2</v>
      </c>
      <c r="B40" s="35" t="s">
        <v>79</v>
      </c>
      <c r="C40" s="37">
        <f>VLOOKUP(D1_DICIEMBRE_2025[[#This Row],[SUPER]],DATA_DICIEMBRE_2025[[SUPERVISOR]:[META]],3,0)</f>
        <v>35500</v>
      </c>
      <c r="D40" s="36">
        <f>D1_DICIEMBRE_2025[[#This Row],[RECUPERO]]/D1_DICIEMBRE_2025[[#This Row],[META]]</f>
        <v>1.0040360563380282</v>
      </c>
      <c r="E40" s="36" t="s">
        <v>2</v>
      </c>
      <c r="F40" t="s">
        <v>79</v>
      </c>
      <c r="G40" s="3">
        <v>35643.279999999999</v>
      </c>
      <c r="H40" t="s">
        <v>480</v>
      </c>
      <c r="I40" s="59">
        <v>44566</v>
      </c>
      <c r="J40" s="59" t="s">
        <v>535</v>
      </c>
      <c r="K40" s="59"/>
      <c r="L40" s="59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Row],[ASER_]]="","",IFERROR(_xlfn.IFS(M42&gt;=100%,"&gt;100%",AND(M42&lt;100%,M42&gt;=70%),"&gt;70%",AND(M42&lt;70%,M42&gt;=40%),"&gt;40%",AND(M42&lt;40%,M42&gt;=0%),"&gt;0%"),""))</f>
        <v>&gt;100%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5" t="s">
        <v>7</v>
      </c>
      <c r="B41" s="35" t="s">
        <v>58</v>
      </c>
      <c r="C41" s="37">
        <f>VLOOKUP(D1_DICIEMBRE_2025[[#This Row],[SUPER]],DATA_DICIEMBRE_2025[[SUPERVISOR]:[META]],3,0)</f>
        <v>21000</v>
      </c>
      <c r="D41" s="36">
        <f>D1_DICIEMBRE_2025[[#This Row],[RECUPERO]]/D1_DICIEMBRE_2025[[#This Row],[META]]</f>
        <v>2.9866666666666668</v>
      </c>
      <c r="E41" s="36" t="s">
        <v>7</v>
      </c>
      <c r="F41" t="s">
        <v>58</v>
      </c>
      <c r="G41" s="3">
        <v>62720</v>
      </c>
      <c r="H41" t="s">
        <v>468</v>
      </c>
      <c r="I41" s="59">
        <v>43035</v>
      </c>
      <c r="J41" s="59" t="s">
        <v>535</v>
      </c>
      <c r="K41" s="59"/>
      <c r="L41" s="59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Row],[ASER_]]="","",IFERROR(_xlfn.IFS(M43&gt;=100%,"&gt;100%",AND(M43&lt;100%,M43&gt;=70%),"&gt;70%",AND(M43&lt;70%,M43&gt;=40%),"&gt;40%",AND(M43&lt;40%,M43&gt;=0%),"&gt;0%"),""))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5" t="s">
        <v>7</v>
      </c>
      <c r="B42" s="35" t="s">
        <v>49</v>
      </c>
      <c r="C42" s="37">
        <f>VLOOKUP(D1_DICIEMBRE_2025[[#This Row],[SUPER]],DATA_DICIEMBRE_2025[[SUPERVISOR]:[META]],3,0)</f>
        <v>21000</v>
      </c>
      <c r="D42" s="36">
        <f>D1_DICIEMBRE_2025[[#This Row],[RECUPERO]]/D1_DICIEMBRE_2025[[#This Row],[META]]</f>
        <v>2.255095238095238</v>
      </c>
      <c r="E42" s="36" t="s">
        <v>7</v>
      </c>
      <c r="F42" t="s">
        <v>49</v>
      </c>
      <c r="G42" s="3">
        <v>47357</v>
      </c>
      <c r="H42" t="s">
        <v>463</v>
      </c>
      <c r="I42" s="59">
        <v>42814</v>
      </c>
      <c r="J42" s="59" t="s">
        <v>535</v>
      </c>
      <c r="K42" s="59"/>
      <c r="L42" s="59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Row],[ASER_]]="","",IFERROR(_xlfn.IFS(M44&gt;=100%,"&gt;100%",AND(M44&lt;100%,M44&gt;=70%),"&gt;70%",AND(M44&lt;70%,M44&gt;=40%),"&gt;40%",AND(M44&lt;40%,M44&gt;=0%),"&gt;0%"),""))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205</v>
      </c>
    </row>
    <row r="43" spans="1:50" x14ac:dyDescent="0.25">
      <c r="A43" s="35" t="s">
        <v>7</v>
      </c>
      <c r="B43" s="35" t="s">
        <v>97</v>
      </c>
      <c r="C43" s="37">
        <f>VLOOKUP(D1_DICIEMBRE_2025[[#This Row],[SUPER]],DATA_DICIEMBRE_2025[[SUPERVISOR]:[META]],3,0)</f>
        <v>21000</v>
      </c>
      <c r="D43" s="36">
        <f>D1_DICIEMBRE_2025[[#This Row],[RECUPERO]]/D1_DICIEMBRE_2025[[#This Row],[META]]</f>
        <v>1.8461904761904762</v>
      </c>
      <c r="E43" s="36" t="s">
        <v>7</v>
      </c>
      <c r="F43" t="s">
        <v>97</v>
      </c>
      <c r="G43" s="3">
        <v>38770</v>
      </c>
      <c r="H43" t="s">
        <v>512</v>
      </c>
      <c r="I43" s="59">
        <v>45889</v>
      </c>
      <c r="J43" s="59" t="s">
        <v>535</v>
      </c>
      <c r="K43" s="59"/>
      <c r="L43" s="59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Row],[ASER_]]="","",IFERROR(_xlfn.IFS(M45&gt;=100%,"&gt;100%",AND(M45&lt;100%,M45&gt;=70%),"&gt;70%",AND(M45&lt;70%,M45&gt;=40%),"&gt;40%",AND(M45&lt;40%,M45&gt;=0%),"&gt;0%"),""))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5" t="s">
        <v>7</v>
      </c>
      <c r="B44" s="35" t="s">
        <v>77</v>
      </c>
      <c r="C44" s="37">
        <f>VLOOKUP(D1_DICIEMBRE_2025[[#This Row],[SUPER]],DATA_DICIEMBRE_2025[[SUPERVISOR]:[META]],3,0)</f>
        <v>21000</v>
      </c>
      <c r="D44" s="36">
        <f>D1_DICIEMBRE_2025[[#This Row],[RECUPERO]]/D1_DICIEMBRE_2025[[#This Row],[META]]</f>
        <v>1.7203766666666669</v>
      </c>
      <c r="E44" s="36" t="s">
        <v>7</v>
      </c>
      <c r="F44" t="s">
        <v>77</v>
      </c>
      <c r="G44" s="3">
        <v>36127.910000000003</v>
      </c>
      <c r="H44" t="s">
        <v>420</v>
      </c>
      <c r="I44" s="59">
        <v>44840</v>
      </c>
      <c r="J44" s="59" t="s">
        <v>535</v>
      </c>
      <c r="K44" s="59"/>
      <c r="L44" s="59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Row],[ASER_]]="","",IFERROR(_xlfn.IFS(M46&gt;=100%,"&gt;100%",AND(M46&lt;100%,M46&gt;=70%),"&gt;70%",AND(M46&lt;70%,M46&gt;=40%),"&gt;40%",AND(M46&lt;40%,M46&gt;=0%),"&gt;0%"),""))</f>
        <v>&gt;70%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205</v>
      </c>
    </row>
    <row r="45" spans="1:50" x14ac:dyDescent="0.25">
      <c r="A45" s="35" t="s">
        <v>7</v>
      </c>
      <c r="B45" s="35" t="s">
        <v>21</v>
      </c>
      <c r="C45" s="37">
        <f>VLOOKUP(D1_DICIEMBRE_2025[[#This Row],[SUPER]],DATA_DICIEMBRE_2025[[SUPERVISOR]:[META]],3,0)</f>
        <v>21000</v>
      </c>
      <c r="D45" s="36">
        <f>D1_DICIEMBRE_2025[[#This Row],[RECUPERO]]/D1_DICIEMBRE_2025[[#This Row],[META]]</f>
        <v>1.588095238095238</v>
      </c>
      <c r="E45" s="36" t="s">
        <v>7</v>
      </c>
      <c r="F45" t="s">
        <v>21</v>
      </c>
      <c r="G45" s="3">
        <v>33350</v>
      </c>
      <c r="H45" t="s">
        <v>436</v>
      </c>
      <c r="I45" s="59">
        <v>44301</v>
      </c>
      <c r="J45" s="59" t="s">
        <v>535</v>
      </c>
      <c r="K45" s="59"/>
      <c r="L45" s="59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Row],[ASER_]]="","",IFERROR(_xlfn.IFS(M47&gt;=100%,"&gt;100%",AND(M47&lt;100%,M47&gt;=70%),"&gt;70%",AND(M47&lt;70%,M47&gt;=40%),"&gt;40%",AND(M47&lt;40%,M47&gt;=0%),"&gt;0%"),""))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205</v>
      </c>
    </row>
    <row r="46" spans="1:50" x14ac:dyDescent="0.25">
      <c r="A46" s="35" t="s">
        <v>7</v>
      </c>
      <c r="B46" s="35" t="s">
        <v>41</v>
      </c>
      <c r="C46" s="37">
        <f>VLOOKUP(D1_DICIEMBRE_2025[[#This Row],[SUPER]],DATA_DICIEMBRE_2025[[SUPERVISOR]:[META]],3,0)</f>
        <v>21000</v>
      </c>
      <c r="D46" s="36">
        <f>D1_DICIEMBRE_2025[[#This Row],[RECUPERO]]/D1_DICIEMBRE_2025[[#This Row],[META]]</f>
        <v>1.5370952380952381</v>
      </c>
      <c r="E46" s="36" t="s">
        <v>7</v>
      </c>
      <c r="F46" t="s">
        <v>41</v>
      </c>
      <c r="G46" s="3">
        <v>32279</v>
      </c>
      <c r="H46" t="s">
        <v>414</v>
      </c>
      <c r="I46" s="59">
        <v>45304</v>
      </c>
      <c r="J46" s="59" t="s">
        <v>535</v>
      </c>
      <c r="K46" s="59"/>
      <c r="L46" s="59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Row],[ASER_]]="","",IFERROR(_xlfn.IFS(M48&gt;=100%,"&gt;100%",AND(M48&lt;100%,M48&gt;=70%),"&gt;70%",AND(M48&lt;70%,M48&gt;=40%),"&gt;40%",AND(M48&lt;40%,M48&gt;=0%),"&gt;0%"),""))</f>
        <v>&gt;100%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5" t="s">
        <v>7</v>
      </c>
      <c r="B47" s="35" t="s">
        <v>12</v>
      </c>
      <c r="C47" s="37">
        <f>VLOOKUP(D1_DICIEMBRE_2025[[#This Row],[SUPER]],DATA_DICIEMBRE_2025[[SUPERVISOR]:[META]],3,0)</f>
        <v>21000</v>
      </c>
      <c r="D47" s="36">
        <f>D1_DICIEMBRE_2025[[#This Row],[RECUPERO]]/D1_DICIEMBRE_2025[[#This Row],[META]]</f>
        <v>1.31</v>
      </c>
      <c r="E47" s="36" t="s">
        <v>7</v>
      </c>
      <c r="F47" t="s">
        <v>12</v>
      </c>
      <c r="G47" s="3">
        <v>27510</v>
      </c>
      <c r="H47" t="s">
        <v>416</v>
      </c>
      <c r="I47" s="59">
        <v>44870</v>
      </c>
      <c r="J47" s="59" t="s">
        <v>535</v>
      </c>
      <c r="K47" s="59"/>
      <c r="L47" s="59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Row],[ASER_]]="","",IFERROR(_xlfn.IFS(M49&gt;=100%,"&gt;100%",AND(M49&lt;100%,M49&gt;=70%),"&gt;70%",AND(M49&lt;70%,M49&gt;=40%),"&gt;40%",AND(M49&lt;40%,M49&gt;=0%),"&gt;0%"),""))</f>
        <v>&gt;0%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205</v>
      </c>
    </row>
    <row r="48" spans="1:50" x14ac:dyDescent="0.25">
      <c r="A48" s="35" t="s">
        <v>7</v>
      </c>
      <c r="B48" s="35" t="s">
        <v>40</v>
      </c>
      <c r="C48" s="37">
        <f>VLOOKUP(D1_DICIEMBRE_2025[[#This Row],[SUPER]],DATA_DICIEMBRE_2025[[SUPERVISOR]:[META]],3,0)</f>
        <v>21000</v>
      </c>
      <c r="D48" s="36">
        <f>D1_DICIEMBRE_2025[[#This Row],[RECUPERO]]/D1_DICIEMBRE_2025[[#This Row],[META]]</f>
        <v>1.1331904761904761</v>
      </c>
      <c r="E48" s="36" t="s">
        <v>7</v>
      </c>
      <c r="F48" t="s">
        <v>40</v>
      </c>
      <c r="G48" s="3">
        <v>23797</v>
      </c>
      <c r="H48" t="s">
        <v>451</v>
      </c>
      <c r="I48" s="59">
        <v>45429</v>
      </c>
      <c r="J48" s="59" t="s">
        <v>535</v>
      </c>
      <c r="K48" s="59"/>
      <c r="L48" s="59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Row],[ASER_]]="","",IFERROR(_xlfn.IFS(M50&gt;=100%,"&gt;100%",AND(M50&lt;100%,M50&gt;=70%),"&gt;70%",AND(M50&lt;70%,M50&gt;=40%),"&gt;40%",AND(M50&lt;40%,M50&gt;=0%),"&gt;0%"),""))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5" t="s">
        <v>7</v>
      </c>
      <c r="B49" s="35" t="s">
        <v>51</v>
      </c>
      <c r="C49" s="37">
        <f>VLOOKUP(D1_DICIEMBRE_2025[[#This Row],[SUPER]],DATA_DICIEMBRE_2025[[SUPERVISOR]:[META]],3,0)</f>
        <v>21000</v>
      </c>
      <c r="D49" s="36">
        <f>D1_DICIEMBRE_2025[[#This Row],[RECUPERO]]/D1_DICIEMBRE_2025[[#This Row],[META]]</f>
        <v>1.0704761904761906</v>
      </c>
      <c r="E49" s="36" t="s">
        <v>7</v>
      </c>
      <c r="F49" t="s">
        <v>51</v>
      </c>
      <c r="G49" s="3">
        <v>22480</v>
      </c>
      <c r="H49" t="s">
        <v>440</v>
      </c>
      <c r="I49" s="59">
        <v>45674</v>
      </c>
      <c r="J49" s="59" t="s">
        <v>535</v>
      </c>
      <c r="K49" s="59"/>
      <c r="L49" s="59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Row],[ASER_]]="","",IFERROR(_xlfn.IFS(M51&gt;=100%,"&gt;100%",AND(M51&lt;100%,M51&gt;=70%),"&gt;70%",AND(M51&lt;70%,M51&gt;=40%),"&gt;40%",AND(M51&lt;40%,M51&gt;=0%),"&gt;0%"),""))</f>
        <v>&gt;100%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5" t="s">
        <v>7</v>
      </c>
      <c r="B50" s="35" t="s">
        <v>48</v>
      </c>
      <c r="C50" s="37">
        <f>VLOOKUP(D1_DICIEMBRE_2025[[#This Row],[SUPER]],DATA_DICIEMBRE_2025[[SUPERVISOR]:[META]],3,0)</f>
        <v>21000</v>
      </c>
      <c r="D50" s="36">
        <f>D1_DICIEMBRE_2025[[#This Row],[RECUPERO]]/D1_DICIEMBRE_2025[[#This Row],[META]]</f>
        <v>1.0720000000000001</v>
      </c>
      <c r="E50" s="36" t="s">
        <v>7</v>
      </c>
      <c r="F50" t="s">
        <v>48</v>
      </c>
      <c r="G50" s="3">
        <v>22512</v>
      </c>
      <c r="H50" t="s">
        <v>448</v>
      </c>
      <c r="I50" s="59">
        <v>44748</v>
      </c>
      <c r="J50" s="59" t="s">
        <v>535</v>
      </c>
      <c r="K50" s="59"/>
      <c r="L50" s="59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Row],[ASER_]]="","",IFERROR(_xlfn.IFS(M52&gt;=100%,"&gt;100%",AND(M52&lt;100%,M52&gt;=70%),"&gt;70%",AND(M52&lt;70%,M52&gt;=40%),"&gt;40%",AND(M52&lt;40%,M52&gt;=0%),"&gt;0%"),""))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204</v>
      </c>
    </row>
    <row r="51" spans="1:50" x14ac:dyDescent="0.25">
      <c r="A51" s="35" t="s">
        <v>7</v>
      </c>
      <c r="B51" s="35" t="s">
        <v>174</v>
      </c>
      <c r="C51" s="37">
        <f>VLOOKUP(D1_DICIEMBRE_2025[[#This Row],[SUPER]],DATA_DICIEMBRE_2025[[SUPERVISOR]:[META]],3,0)</f>
        <v>21000</v>
      </c>
      <c r="D51" s="36">
        <f>D1_DICIEMBRE_2025[[#This Row],[RECUPERO]]/D1_DICIEMBRE_2025[[#This Row],[META]]</f>
        <v>0.92719047619047623</v>
      </c>
      <c r="E51" s="36" t="s">
        <v>7</v>
      </c>
      <c r="F51" t="s">
        <v>174</v>
      </c>
      <c r="G51" s="3">
        <v>19471</v>
      </c>
      <c r="H51" t="s">
        <v>519</v>
      </c>
      <c r="I51" s="59">
        <v>45995</v>
      </c>
      <c r="J51" s="59" t="s">
        <v>535</v>
      </c>
      <c r="K51" s="59"/>
      <c r="L51" s="59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Row],[ASER_]]="","",IFERROR(_xlfn.IFS(M53&gt;=100%,"&gt;100%",AND(M53&lt;100%,M53&gt;=70%),"&gt;70%",AND(M53&lt;70%,M53&gt;=40%),"&gt;40%",AND(M53&lt;40%,M53&gt;=0%),"&gt;0%"),""))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205</v>
      </c>
    </row>
    <row r="52" spans="1:50" x14ac:dyDescent="0.25">
      <c r="A52" s="35" t="s">
        <v>7</v>
      </c>
      <c r="B52" s="35" t="s">
        <v>73</v>
      </c>
      <c r="C52" s="37">
        <f>VLOOKUP(D1_DICIEMBRE_2025[[#This Row],[SUPER]],DATA_DICIEMBRE_2025[[SUPERVISOR]:[META]],3,0)</f>
        <v>21000</v>
      </c>
      <c r="D52" s="36">
        <f>D1_DICIEMBRE_2025[[#This Row],[RECUPERO]]/D1_DICIEMBRE_2025[[#This Row],[META]]</f>
        <v>0.84423809523809523</v>
      </c>
      <c r="E52" s="36" t="s">
        <v>7</v>
      </c>
      <c r="F52" t="s">
        <v>73</v>
      </c>
      <c r="G52" s="3">
        <v>17729</v>
      </c>
      <c r="H52" t="s">
        <v>447</v>
      </c>
      <c r="I52" s="59">
        <v>45145</v>
      </c>
      <c r="J52" s="59" t="s">
        <v>535</v>
      </c>
      <c r="K52" s="59"/>
      <c r="L52" s="59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Row],[ASER_]]="","",IFERROR(_xlfn.IFS(M54&gt;=100%,"&gt;100%",AND(M54&lt;100%,M54&gt;=70%),"&gt;70%",AND(M54&lt;70%,M54&gt;=40%),"&gt;40%",AND(M54&lt;40%,M54&gt;=0%),"&gt;0%"),""))</f>
        <v>&gt;70%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5" t="s">
        <v>7</v>
      </c>
      <c r="B53" s="35" t="s">
        <v>114</v>
      </c>
      <c r="C53" s="37">
        <f>VLOOKUP(D1_DICIEMBRE_2025[[#This Row],[SUPER]],DATA_DICIEMBRE_2025[[SUPERVISOR]:[META]],3,0)</f>
        <v>21000</v>
      </c>
      <c r="D53" s="36">
        <f>D1_DICIEMBRE_2025[[#This Row],[RECUPERO]]/D1_DICIEMBRE_2025[[#This Row],[META]]</f>
        <v>0.54861904761904767</v>
      </c>
      <c r="E53" s="36" t="s">
        <v>7</v>
      </c>
      <c r="F53" t="s">
        <v>114</v>
      </c>
      <c r="G53" s="3">
        <v>11521</v>
      </c>
      <c r="H53" t="s">
        <v>517</v>
      </c>
      <c r="I53" s="59">
        <v>45917</v>
      </c>
      <c r="J53" s="59" t="s">
        <v>535</v>
      </c>
      <c r="K53" s="59"/>
      <c r="L53" s="59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Row],[ASER_]]="","",IFERROR(_xlfn.IFS(M55&gt;=100%,"&gt;100%",AND(M55&lt;100%,M55&gt;=70%),"&gt;70%",AND(M55&lt;70%,M55&gt;=40%),"&gt;40%",AND(M55&lt;40%,M55&gt;=0%),"&gt;0%"),""))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5"/>
      <c r="B54" s="35"/>
      <c r="C54" s="36"/>
      <c r="D54" s="36"/>
      <c r="E54" s="36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Row],[ASER_]]="","",IFERROR(_xlfn.IFS(M56&gt;=100%,"&gt;100%",AND(M56&lt;100%,M56&gt;=70%),"&gt;70%",AND(M56&lt;70%,M56&gt;=40%),"&gt;40%",AND(M56&lt;40%,M56&gt;=0%),"&gt;0%"),""))</f>
        <v>&gt;100%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5"/>
      <c r="B55" s="35"/>
      <c r="C55" s="36"/>
      <c r="D55" s="36"/>
      <c r="E55" s="36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Row],[ASER_]]="","",IFERROR(_xlfn.IFS(M57&gt;=100%,"&gt;100%",AND(M57&lt;100%,M57&gt;=70%),"&gt;70%",AND(M57&lt;70%,M57&gt;=40%),"&gt;40%",AND(M57&lt;40%,M57&gt;=0%),"&gt;0%"),""))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204</v>
      </c>
    </row>
    <row r="56" spans="1:50" x14ac:dyDescent="0.25">
      <c r="A56" s="35"/>
      <c r="B56" s="35"/>
      <c r="C56" s="36"/>
      <c r="D56" s="36"/>
      <c r="E56" s="36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Row],[ASER_]]="","",IFERROR(_xlfn.IFS(M58&gt;=100%,"&gt;100%",AND(M58&lt;100%,M58&gt;=70%),"&gt;70%",AND(M58&lt;70%,M58&gt;=40%),"&gt;40%",AND(M58&lt;40%,M58&gt;=0%),"&gt;0%"),""))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205</v>
      </c>
    </row>
    <row r="57" spans="1:50" x14ac:dyDescent="0.25">
      <c r="A57" s="35"/>
      <c r="B57" s="35"/>
      <c r="C57" s="36"/>
      <c r="D57" s="36"/>
      <c r="E57" s="36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Row],[ASER_]]="","",IFERROR(_xlfn.IFS(M59&gt;=100%,"&gt;100%",AND(M59&lt;100%,M59&gt;=70%),"&gt;70%",AND(M59&lt;70%,M59&gt;=40%),"&gt;40%",AND(M59&lt;40%,M59&gt;=0%),"&gt;0%"),""))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5"/>
      <c r="B58" s="35"/>
      <c r="C58" s="36"/>
      <c r="D58" s="36"/>
      <c r="E58" s="36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Row],[ASER_]]="","",IFERROR(_xlfn.IFS(M60&gt;=100%,"&gt;100%",AND(M60&lt;100%,M60&gt;=70%),"&gt;70%",AND(M60&lt;70%,M60&gt;=40%),"&gt;40%",AND(M60&lt;40%,M60&gt;=0%),"&gt;0%"),""))</f>
        <v>&gt;0%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5"/>
      <c r="B59" s="35"/>
      <c r="C59" s="36"/>
      <c r="D59" s="36"/>
      <c r="E59" s="36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Row],[ASER_]]="","",IFERROR(_xlfn.IFS(M61&gt;=100%,"&gt;100%",AND(M61&lt;100%,M61&gt;=70%),"&gt;70%",AND(M61&lt;70%,M61&gt;=40%),"&gt;40%",AND(M61&lt;40%,M61&gt;=0%),"&gt;0%"),""))</f>
        <v>&gt;0%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205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1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Q174"/>
  <sheetViews>
    <sheetView tabSelected="1" topLeftCell="A6" zoomScale="70" zoomScaleNormal="70" workbookViewId="0">
      <selection activeCell="G14" sqref="G14"/>
    </sheetView>
  </sheetViews>
  <sheetFormatPr baseColWidth="10" defaultRowHeight="15" x14ac:dyDescent="0.25"/>
  <cols>
    <col min="1" max="1" width="14.5703125" style="35" customWidth="1"/>
    <col min="2" max="2" width="30.28515625" style="35" customWidth="1"/>
    <col min="3" max="5" width="14.85546875" style="36" customWidth="1"/>
    <col min="6" max="6" width="30.28515625" customWidth="1"/>
    <col min="7" max="7" width="15" customWidth="1"/>
    <col min="8" max="8" width="15" style="35" customWidth="1"/>
    <col min="9" max="12" width="27.85546875" customWidth="1"/>
    <col min="13" max="13" width="11.42578125" customWidth="1"/>
    <col min="14" max="14" width="26" bestFit="1" customWidth="1"/>
    <col min="15" max="15" width="20.28515625" style="5" bestFit="1" customWidth="1"/>
    <col min="18" max="18" width="30.28515625" bestFit="1" customWidth="1"/>
    <col min="19" max="24" width="12" hidden="1" customWidth="1"/>
    <col min="25" max="30" width="13" hidden="1" customWidth="1"/>
    <col min="31" max="31" width="13.42578125" hidden="1" customWidth="1"/>
    <col min="32" max="32" width="13" hidden="1" customWidth="1"/>
    <col min="33" max="34" width="13.42578125" hidden="1" customWidth="1"/>
    <col min="35" max="39" width="13.42578125" bestFit="1" customWidth="1"/>
    <col min="40" max="40" width="13" bestFit="1" customWidth="1"/>
    <col min="41" max="42" width="13" customWidth="1"/>
    <col min="43" max="43" width="20" customWidth="1"/>
    <col min="44" max="44" width="16" bestFit="1" customWidth="1"/>
    <col min="45" max="45" width="20" customWidth="1"/>
    <col min="46" max="46" width="16.7109375" customWidth="1"/>
    <col min="47" max="52" width="12" hidden="1" customWidth="1"/>
    <col min="53" max="58" width="13" hidden="1" customWidth="1"/>
    <col min="59" max="59" width="13.42578125" hidden="1" customWidth="1"/>
    <col min="60" max="60" width="13" hidden="1" customWidth="1"/>
    <col min="61" max="62" width="13.42578125" hidden="1" customWidth="1"/>
    <col min="63" max="67" width="13.42578125" bestFit="1" customWidth="1"/>
    <col min="68" max="68" width="13" bestFit="1" customWidth="1"/>
  </cols>
  <sheetData>
    <row r="1" spans="1:69" x14ac:dyDescent="0.25">
      <c r="H1"/>
      <c r="J1" s="59"/>
      <c r="K1" s="59"/>
      <c r="L1" s="59"/>
      <c r="N1" s="5"/>
      <c r="O1"/>
    </row>
    <row r="2" spans="1:69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533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69" ht="26.25" x14ac:dyDescent="0.4">
      <c r="A3" s="69" t="str">
        <f>IFERROR(VLOOKUP(D1_ENERO_2026[[#This Row],[ASESOR_CRR]],PLANTILLA_ACTUAL[],2,0),"")</f>
        <v>JOHAN</v>
      </c>
      <c r="B3" s="69" t="str" cm="1">
        <f t="array" ref="B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JANETH PORTOCARRERO</v>
      </c>
      <c r="C3" s="70" t="str">
        <f>IF(D1_ENERO_2026[[#This Row],[RECUPERO]]="","",VLOOKUP($M$3&amp;$N$3&amp;D1_ENERO_2026[[#This Row],[SUPER]],TablaMeta[],6,0))</f>
        <v/>
      </c>
      <c r="D3" s="70">
        <f>IFERROR(D1_ENERO_2026[[#This Row],[RECUPERO]]/VLOOKUP($M$3&amp;$N$3&amp;D1_ENERO_2026[[#This Row],[SUPER]],TablaMeta[],6,0),"")</f>
        <v>0</v>
      </c>
      <c r="E3" s="70" t="str">
        <f>IFERROR(VLOOKUP(D1_ENERO_2026[[#This Row],[ASESOR_CRR]],PLANTILLA_ACTUAL[],2,0),"")</f>
        <v>JOHAN</v>
      </c>
      <c r="F3" s="69" t="s">
        <v>49</v>
      </c>
      <c r="G3" s="69"/>
      <c r="H3" s="69" t="str">
        <f>VLOOKUP(D1_ENERO_2026[[#This Row],[ASESOR_CRR]],DIM!$C:$E,2,0)</f>
        <v>40702064</v>
      </c>
      <c r="I3" s="71">
        <f>VLOOKUP(D1_ENERO_2026[[#This Row],[ASESOR_CRR]],DIM!$C:$E,3,0)</f>
        <v>43313</v>
      </c>
      <c r="J3" s="71" t="str">
        <f>VLOOKUP(D1_ENERO_2026[[#This Row],[ASESOR_CRR]],PLANTILLA_ACTUAL[],6,0)</f>
        <v>VACACIONES</v>
      </c>
      <c r="K3" s="68"/>
      <c r="L3" s="59"/>
      <c r="M3" s="34">
        <v>2026</v>
      </c>
      <c r="N3" s="34" t="s">
        <v>139</v>
      </c>
      <c r="O3" s="34">
        <v>22</v>
      </c>
    </row>
    <row r="4" spans="1:69" x14ac:dyDescent="0.25">
      <c r="A4" s="69" t="str">
        <f>IFERROR(VLOOKUP(D1_ENERO_2026[[#This Row],[ASESOR_CRR]],PLANTILLA_ACTUAL[],2,0),"")</f>
        <v>MELINA</v>
      </c>
      <c r="B4" s="69" t="str" cm="1">
        <f t="array" ref="B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CRISTINA TICONA</v>
      </c>
      <c r="C4" s="70" t="str">
        <f>IF(D1_ENERO_2026[[#This Row],[RECUPERO]]="","",VLOOKUP($M$3&amp;$N$3&amp;D1_ENERO_2026[[#This Row],[SUPER]],TablaMeta[],6,0))</f>
        <v/>
      </c>
      <c r="D4" s="70">
        <f>IFERROR(D1_ENERO_2026[[#This Row],[RECUPERO]]/VLOOKUP($M$3&amp;$N$3&amp;D1_ENERO_2026[[#This Row],[SUPER]],TablaMeta[],6,0),"")</f>
        <v>0</v>
      </c>
      <c r="E4" s="70" t="str">
        <f>IFERROR(VLOOKUP(D1_ENERO_2026[[#This Row],[ASESOR_CRR]],PLANTILLA_ACTUAL[],2,0),"")</f>
        <v>MELINA</v>
      </c>
      <c r="F4" s="69" t="s">
        <v>61</v>
      </c>
      <c r="G4" s="69"/>
      <c r="H4" s="69" t="str">
        <f>VLOOKUP(D1_ENERO_2026[[#This Row],[ASESOR_CRR]],DIM!$C:$E,2,0)</f>
        <v>44001162</v>
      </c>
      <c r="I4" s="71">
        <f>VLOOKUP(D1_ENERO_2026[[#This Row],[ASESOR_CRR]],DIM!$C:$E,3,0)</f>
        <v>44907</v>
      </c>
      <c r="J4" s="71" t="str">
        <f>VLOOKUP(D1_ENERO_2026[[#This Row],[ASESOR_CRR]],PLANTILLA_ACTUAL[],6,0)</f>
        <v>VACACIONES</v>
      </c>
      <c r="K4" s="68"/>
      <c r="L4" s="59"/>
      <c r="N4" s="5"/>
      <c r="O4"/>
    </row>
    <row r="5" spans="1:69" x14ac:dyDescent="0.25">
      <c r="A5" s="69" t="str">
        <f>IFERROR(VLOOKUP(D1_ENERO_2026[[#This Row],[ASESOR_CRR]],PLANTILLA_ACTUAL[],2,0),"")</f>
        <v>SANDY</v>
      </c>
      <c r="B5" s="69" t="str" cm="1">
        <f t="array" ref="B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EVELY TENORIO</v>
      </c>
      <c r="C5" s="70" t="str">
        <f>IF(D1_ENERO_2026[[#This Row],[RECUPERO]]="","",VLOOKUP($M$3&amp;$N$3&amp;D1_ENERO_2026[[#This Row],[SUPER]],TablaMeta[],6,0))</f>
        <v/>
      </c>
      <c r="D5" s="70">
        <f>IFERROR(D1_ENERO_2026[[#This Row],[RECUPERO]]/VLOOKUP($M$3&amp;$N$3&amp;D1_ENERO_2026[[#This Row],[SUPER]],TablaMeta[],6,0),"")</f>
        <v>0</v>
      </c>
      <c r="E5" s="70" t="str">
        <f>IFERROR(VLOOKUP(D1_ENERO_2026[[#This Row],[ASESOR_CRR]],PLANTILLA_ACTUAL[],2,0),"")</f>
        <v>SANDY</v>
      </c>
      <c r="F5" s="69" t="s">
        <v>22</v>
      </c>
      <c r="G5" s="69"/>
      <c r="H5" s="69" t="str">
        <f>VLOOKUP(D1_ENERO_2026[[#This Row],[ASESOR_CRR]],DIM!$C:$E,2,0)</f>
        <v>70551168</v>
      </c>
      <c r="I5" s="71">
        <f>VLOOKUP(D1_ENERO_2026[[#This Row],[ASESOR_CRR]],DIM!$C:$E,3,0)</f>
        <v>45295</v>
      </c>
      <c r="J5" s="71" t="str">
        <f>VLOOKUP(D1_ENERO_2026[[#This Row],[ASESOR_CRR]],PLANTILLA_ACTUAL[],6,0)</f>
        <v>VACACIONES</v>
      </c>
      <c r="K5" s="68"/>
      <c r="L5" s="59"/>
      <c r="N5" s="5"/>
      <c r="O5"/>
      <c r="BG5" s="46"/>
    </row>
    <row r="6" spans="1:69" x14ac:dyDescent="0.25">
      <c r="A6" s="35" t="str">
        <f>IFERROR(VLOOKUP(D1_ENERO_2026[[#This Row],[ASESOR_CRR]],PLANTILLA_ACTUAL[],2,0),"")</f>
        <v>SANDY</v>
      </c>
      <c r="B6" s="35" t="str" cm="1">
        <f t="array" ref="B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GIANNINA AGUILAR</v>
      </c>
      <c r="C6" s="37">
        <f>IF(D1_ENERO_2026[[#This Row],[RECUPERO]]="","",VLOOKUP($M$3&amp;$N$3&amp;D1_ENERO_2026[[#This Row],[SUPER]],TablaMeta[],6,0))</f>
        <v>48000</v>
      </c>
      <c r="D6" s="36">
        <f>IFERROR(D1_ENERO_2026[[#This Row],[RECUPERO]]/VLOOKUP($M$3&amp;$N$3&amp;D1_ENERO_2026[[#This Row],[SUPER]],TablaMeta[],6,0),"")</f>
        <v>1.8912500000000001</v>
      </c>
      <c r="E6" s="36" t="str">
        <f>IFERROR(VLOOKUP(D1_ENERO_2026[[#This Row],[ASESOR_CRR]],PLANTILLA_ACTUAL[],2,0),"")</f>
        <v>SANDY</v>
      </c>
      <c r="F6" s="35" t="s">
        <v>32</v>
      </c>
      <c r="G6" s="37">
        <v>90780</v>
      </c>
      <c r="H6" s="35" t="str">
        <f>VLOOKUP(D1_ENERO_2026[[#This Row],[ASESOR_CRR]],DIM!$C:$E,2,0)</f>
        <v>48584670</v>
      </c>
      <c r="I6" s="68">
        <f>VLOOKUP(D1_ENERO_2026[[#This Row],[ASESOR_CRR]],DIM!$C:$E,3,0)</f>
        <v>45526</v>
      </c>
      <c r="J6" s="68" t="str">
        <f>VLOOKUP(D1_ENERO_2026[[#This Row],[ASESOR_CRR]],PLANTILLA_ACTUAL[],6,0)</f>
        <v>CALL</v>
      </c>
      <c r="K6" s="68"/>
      <c r="L6" s="59"/>
      <c r="N6" s="5"/>
      <c r="O6"/>
    </row>
    <row r="7" spans="1:69" x14ac:dyDescent="0.25">
      <c r="A7" s="35" t="str">
        <f>IFERROR(VLOOKUP(D1_ENERO_2026[[#This Row],[ASESOR_CRR]],PLANTILLA_ACTUAL[],2,0),"")</f>
        <v>SANDY</v>
      </c>
      <c r="B7" s="35" t="str" cm="1">
        <f t="array" ref="B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LISELY MERA</v>
      </c>
      <c r="C7" s="37">
        <f>IF(D1_ENERO_2026[[#This Row],[RECUPERO]]="","",VLOOKUP($M$3&amp;$N$3&amp;D1_ENERO_2026[[#This Row],[SUPER]],TablaMeta[],6,0))</f>
        <v>48000</v>
      </c>
      <c r="D7" s="36">
        <f>IFERROR(D1_ENERO_2026[[#This Row],[RECUPERO]]/VLOOKUP($M$3&amp;$N$3&amp;D1_ENERO_2026[[#This Row],[SUPER]],TablaMeta[],6,0),"")</f>
        <v>1.4681249999999999</v>
      </c>
      <c r="E7" s="36" t="str">
        <f>IFERROR(VLOOKUP(D1_ENERO_2026[[#This Row],[ASESOR_CRR]],PLANTILLA_ACTUAL[],2,0),"")</f>
        <v>SANDY</v>
      </c>
      <c r="F7" s="35" t="s">
        <v>23</v>
      </c>
      <c r="G7" s="37">
        <v>70470</v>
      </c>
      <c r="H7" s="35" t="str">
        <f>VLOOKUP(D1_ENERO_2026[[#This Row],[ASESOR_CRR]],DIM!$C:$E,2,0)</f>
        <v>72413556</v>
      </c>
      <c r="I7" s="68">
        <f>VLOOKUP(D1_ENERO_2026[[#This Row],[ASESOR_CRR]],DIM!$C:$E,3,0)</f>
        <v>44109</v>
      </c>
      <c r="J7" s="68" t="str">
        <f>VLOOKUP(D1_ENERO_2026[[#This Row],[ASESOR_CRR]],PLANTILLA_ACTUAL[],6,0)</f>
        <v>CALL</v>
      </c>
      <c r="K7" s="68"/>
      <c r="L7" s="59"/>
      <c r="M7" s="1"/>
      <c r="N7" s="5"/>
      <c r="O7"/>
    </row>
    <row r="8" spans="1:69" x14ac:dyDescent="0.25">
      <c r="A8" s="35" t="str">
        <f>IFERROR(VLOOKUP(D1_ENERO_2026[[#This Row],[ASESOR_CRR]],PLANTILLA_ACTUAL[],2,0),"")</f>
        <v>SANDY</v>
      </c>
      <c r="B8" s="35" t="str" cm="1">
        <f t="array" ref="B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GIANFRANCO PINEDO</v>
      </c>
      <c r="C8" s="37">
        <f>IF(D1_ENERO_2026[[#This Row],[RECUPERO]]="","",VLOOKUP($M$3&amp;$N$3&amp;D1_ENERO_2026[[#This Row],[SUPER]],TablaMeta[],6,0))</f>
        <v>48000</v>
      </c>
      <c r="D8" s="36">
        <f>IFERROR(D1_ENERO_2026[[#This Row],[RECUPERO]]/VLOOKUP($M$3&amp;$N$3&amp;D1_ENERO_2026[[#This Row],[SUPER]],TablaMeta[],6,0),"")</f>
        <v>1.2952604166666666</v>
      </c>
      <c r="E8" s="36" t="str">
        <f>IFERROR(VLOOKUP(D1_ENERO_2026[[#This Row],[ASESOR_CRR]],PLANTILLA_ACTUAL[],2,0),"")</f>
        <v>SANDY</v>
      </c>
      <c r="F8" s="35" t="s">
        <v>13</v>
      </c>
      <c r="G8" s="37">
        <v>62172.5</v>
      </c>
      <c r="H8" s="35" t="str">
        <f>VLOOKUP(D1_ENERO_2026[[#This Row],[ASESOR_CRR]],DIM!$C:$E,2,0)</f>
        <v>72512391</v>
      </c>
      <c r="I8" s="68">
        <f>VLOOKUP(D1_ENERO_2026[[#This Row],[ASESOR_CRR]],DIM!$C:$E,3,0)</f>
        <v>44809</v>
      </c>
      <c r="J8" s="68" t="str">
        <f>VLOOKUP(D1_ENERO_2026[[#This Row],[ASESOR_CRR]],PLANTILLA_ACTUAL[],6,0)</f>
        <v>CALL</v>
      </c>
      <c r="K8" s="68"/>
      <c r="L8" s="59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537</v>
      </c>
      <c r="T8" s="14" t="s">
        <v>538</v>
      </c>
      <c r="U8" s="14" t="s">
        <v>539</v>
      </c>
      <c r="V8" s="14" t="s">
        <v>540</v>
      </c>
      <c r="W8" s="14" t="s">
        <v>541</v>
      </c>
      <c r="X8" s="14" t="s">
        <v>542</v>
      </c>
      <c r="Y8" s="14" t="s">
        <v>543</v>
      </c>
      <c r="Z8" s="14" t="s">
        <v>544</v>
      </c>
      <c r="AA8" s="14" t="s">
        <v>545</v>
      </c>
      <c r="AB8" s="14" t="s">
        <v>546</v>
      </c>
      <c r="AC8" s="14" t="s">
        <v>547</v>
      </c>
      <c r="AD8" s="14" t="s">
        <v>548</v>
      </c>
      <c r="AE8" s="14" t="s">
        <v>549</v>
      </c>
      <c r="AF8" s="14" t="s">
        <v>550</v>
      </c>
      <c r="AG8" s="14" t="s">
        <v>551</v>
      </c>
      <c r="AH8" s="14" t="s">
        <v>552</v>
      </c>
      <c r="AI8" s="14" t="s">
        <v>553</v>
      </c>
      <c r="AJ8" s="14" t="s">
        <v>554</v>
      </c>
      <c r="AK8" s="14" t="s">
        <v>555</v>
      </c>
      <c r="AL8" s="14" t="s">
        <v>556</v>
      </c>
      <c r="AM8" s="14" t="s">
        <v>557</v>
      </c>
      <c r="AN8" s="14" t="s">
        <v>558</v>
      </c>
      <c r="AO8" s="15" t="s">
        <v>536</v>
      </c>
      <c r="AQ8" s="19" t="s">
        <v>135</v>
      </c>
      <c r="AR8" s="19" t="s">
        <v>137</v>
      </c>
      <c r="AS8" s="19" t="s">
        <v>138</v>
      </c>
      <c r="AT8" s="20" t="s">
        <v>94</v>
      </c>
      <c r="AU8" s="20" t="s">
        <v>537</v>
      </c>
      <c r="AV8" s="20" t="s">
        <v>538</v>
      </c>
      <c r="AW8" s="20" t="s">
        <v>539</v>
      </c>
      <c r="AX8" s="20" t="s">
        <v>540</v>
      </c>
      <c r="AY8" s="20" t="s">
        <v>541</v>
      </c>
      <c r="AZ8" s="20" t="s">
        <v>542</v>
      </c>
      <c r="BA8" s="20" t="s">
        <v>543</v>
      </c>
      <c r="BB8" s="20" t="s">
        <v>544</v>
      </c>
      <c r="BC8" s="20" t="s">
        <v>545</v>
      </c>
      <c r="BD8" s="20" t="s">
        <v>546</v>
      </c>
      <c r="BE8" s="20" t="s">
        <v>547</v>
      </c>
      <c r="BF8" s="20" t="s">
        <v>548</v>
      </c>
      <c r="BG8" s="20" t="s">
        <v>549</v>
      </c>
      <c r="BH8" s="20" t="s">
        <v>550</v>
      </c>
      <c r="BI8" s="20" t="s">
        <v>551</v>
      </c>
      <c r="BJ8" s="20" t="s">
        <v>552</v>
      </c>
      <c r="BK8" s="20" t="s">
        <v>553</v>
      </c>
      <c r="BL8" s="20" t="s">
        <v>554</v>
      </c>
      <c r="BM8" s="20" t="s">
        <v>555</v>
      </c>
      <c r="BN8" s="20" t="s">
        <v>556</v>
      </c>
      <c r="BO8" s="20" t="s">
        <v>557</v>
      </c>
      <c r="BP8" s="20" t="s">
        <v>558</v>
      </c>
      <c r="BQ8" s="19" t="s">
        <v>134</v>
      </c>
    </row>
    <row r="9" spans="1:69" x14ac:dyDescent="0.25">
      <c r="A9" s="35" t="str">
        <f>IFERROR(VLOOKUP(D1_ENERO_2026[[#This Row],[ASESOR_CRR]],PLANTILLA_ACTUAL[],2,0),"")</f>
        <v>SANDY</v>
      </c>
      <c r="B9" s="35" t="str" cm="1">
        <f t="array" ref="B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JESSICA MELGAREJO</v>
      </c>
      <c r="C9" s="37">
        <f>IF(D1_ENERO_2026[[#This Row],[RECUPERO]]="","",VLOOKUP($M$3&amp;$N$3&amp;D1_ENERO_2026[[#This Row],[SUPER]],TablaMeta[],6,0))</f>
        <v>48000</v>
      </c>
      <c r="D9" s="36">
        <f>IFERROR(D1_ENERO_2026[[#This Row],[RECUPERO]]/VLOOKUP($M$3&amp;$N$3&amp;D1_ENERO_2026[[#This Row],[SUPER]],TablaMeta[],6,0),"")</f>
        <v>1.286375</v>
      </c>
      <c r="E9" s="36" t="str">
        <f>IFERROR(VLOOKUP(D1_ENERO_2026[[#This Row],[ASESOR_CRR]],PLANTILLA_ACTUAL[],2,0),"")</f>
        <v>SANDY</v>
      </c>
      <c r="F9" s="35" t="s">
        <v>96</v>
      </c>
      <c r="G9" s="37">
        <v>61746</v>
      </c>
      <c r="H9" s="35" t="str">
        <f>VLOOKUP(D1_ENERO_2026[[#This Row],[ASESOR_CRR]],DIM!$C:$E,2,0)</f>
        <v>46793103</v>
      </c>
      <c r="I9" s="68">
        <f>VLOOKUP(D1_ENERO_2026[[#This Row],[ASESOR_CRR]],DIM!$C:$E,3,0)</f>
        <v>45882</v>
      </c>
      <c r="J9" s="68" t="str">
        <f>VLOOKUP(D1_ENERO_2026[[#This Row],[ASESOR_CRR]],PLANTILLA_ACTUAL[],6,0)</f>
        <v>CALL</v>
      </c>
      <c r="K9" s="68"/>
      <c r="L9" s="59"/>
      <c r="M9" s="5">
        <f>IF(DATA_ENERO_2026[[#This Row],[ASER_]]="","",VLOOKUP(DATA_ENERO_2026[[#This Row],[ASER_]],$B:$G,3,0))</f>
        <v>0.86945833333333333</v>
      </c>
      <c r="N9" s="5" t="str" cm="1">
        <f t="array" ref="N9">IF(DATA_ENERO_2026[[#This Row],[ASER_]]="","",IFERROR(_xlfn.IFS(M9&gt;=100%,"&gt;100%",AND(M9&lt;100%,M9&gt;=70%),"&gt;70%",AND(M9&lt;70%,M9&gt;=40%),"&gt;40%",AND(M9&lt;40%,M9&gt;=0%),"&gt;0%"),""))</f>
        <v>&gt;70%</v>
      </c>
      <c r="O9" s="58" t="str">
        <f>IFERROR(VLOOKUP(DATA_ENERO_2026[[#This Row],[ASER_]],$B:$G,4,0),"")</f>
        <v>SANDY</v>
      </c>
      <c r="P9" s="6">
        <f>IF(DATA_ENERO_2026[[#This Row],[SUPERVISOR]]="","",VLOOKUP(DATA_ENERO_2026[[#This Row],[ASER_]],$B:$G,6,0))</f>
        <v>41734</v>
      </c>
      <c r="Q9" s="6">
        <f>VLOOKUP(DATA_ENERO_2026[[#This Row],[ASER_]],D1_ENERO_2026[[ASESOR_CRR]:[META]],2,0)</f>
        <v>48000</v>
      </c>
      <c r="R9" t="s">
        <v>31</v>
      </c>
      <c r="S9">
        <v>2000</v>
      </c>
      <c r="T9">
        <v>6300</v>
      </c>
      <c r="U9">
        <v>0</v>
      </c>
      <c r="V9">
        <v>0</v>
      </c>
      <c r="W9">
        <v>0</v>
      </c>
      <c r="X9">
        <v>11500</v>
      </c>
      <c r="Y9">
        <v>0</v>
      </c>
      <c r="Z9">
        <v>1500</v>
      </c>
      <c r="AA9">
        <v>2220</v>
      </c>
      <c r="AB9">
        <v>3000</v>
      </c>
      <c r="AC9">
        <v>0</v>
      </c>
      <c r="AD9">
        <v>0</v>
      </c>
      <c r="AE9">
        <v>0</v>
      </c>
      <c r="AF9">
        <v>0</v>
      </c>
      <c r="AG9">
        <v>7225</v>
      </c>
      <c r="AH9">
        <v>1558</v>
      </c>
      <c r="AI9">
        <v>2500</v>
      </c>
      <c r="AJ9">
        <v>4000</v>
      </c>
      <c r="AK9">
        <v>0</v>
      </c>
      <c r="AL9">
        <v>0</v>
      </c>
      <c r="AM9">
        <v>0</v>
      </c>
      <c r="AN9">
        <v>0</v>
      </c>
      <c r="AO9" t="str">
        <f>VLOOKUP($M$3&amp;$N$3&amp;DATA_ENERO_2026[[#This Row],[SUPERVISOR]],TablaMeta[],7,0)</f>
        <v>S1</v>
      </c>
      <c r="AQ9" s="11">
        <f>VLOOKUP($M$3&amp;$N$3&amp;DITE_ENERO_2026[[#This Row],[SUPER]],TablaMeta[],5,0)</f>
        <v>431682</v>
      </c>
      <c r="AR9" s="11">
        <f>MAX(DITE_ENERO_2026[[#This Row],[SUPER]:[CARTERA]])</f>
        <v>487794</v>
      </c>
      <c r="AS9" s="17">
        <f>IFERROR(DITE_ENERO_2026[[#This Row],[RECUPERO SUPERVISOR]]/DITE_ENERO_2026[[#This Row],[META SUPER]],"")</f>
        <v>1.129984571976594</v>
      </c>
      <c r="AT9" s="11" t="s">
        <v>3</v>
      </c>
      <c r="AU9" s="47">
        <v>6248</v>
      </c>
      <c r="AV9" s="47">
        <v>21285</v>
      </c>
      <c r="AW9" s="47">
        <v>38800</v>
      </c>
      <c r="AX9" s="47">
        <v>53300</v>
      </c>
      <c r="AY9" s="47">
        <v>55900</v>
      </c>
      <c r="AZ9" s="47">
        <v>103905</v>
      </c>
      <c r="BA9" s="47">
        <v>116216</v>
      </c>
      <c r="BB9" s="47">
        <v>160375</v>
      </c>
      <c r="BC9" s="47">
        <v>173456</v>
      </c>
      <c r="BD9" s="47">
        <v>200156</v>
      </c>
      <c r="BE9" s="47">
        <v>239120</v>
      </c>
      <c r="BF9" s="47">
        <v>247398</v>
      </c>
      <c r="BG9" s="47">
        <v>257498</v>
      </c>
      <c r="BH9" s="47">
        <v>282978</v>
      </c>
      <c r="BI9" s="47">
        <v>313819</v>
      </c>
      <c r="BJ9" s="47">
        <v>342349</v>
      </c>
      <c r="BK9" s="47">
        <v>357286</v>
      </c>
      <c r="BL9" s="47">
        <v>379486</v>
      </c>
      <c r="BM9" s="47">
        <v>421737</v>
      </c>
      <c r="BN9" s="47">
        <v>448351</v>
      </c>
      <c r="BO9" s="47">
        <v>473437</v>
      </c>
      <c r="BP9" s="47">
        <v>487794</v>
      </c>
      <c r="BQ9" s="11" t="str">
        <f>VLOOKUP($M$3&amp;$N$3&amp;DITE_ENERO_2026[[#This Row],[SUPER]],TablaMeta[],7,0)</f>
        <v>S1</v>
      </c>
    </row>
    <row r="10" spans="1:69" x14ac:dyDescent="0.25">
      <c r="A10" s="35" t="str">
        <f>IFERROR(VLOOKUP(D1_ENERO_2026[[#This Row],[ASESOR_CRR]],PLANTILLA_ACTUAL[],2,0),"")</f>
        <v>SANDY</v>
      </c>
      <c r="B10" s="35" t="str" cm="1">
        <f t="array" ref="B1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FRANCO HUAMANI</v>
      </c>
      <c r="C10" s="37">
        <f>IF(D1_ENERO_2026[[#This Row],[RECUPERO]]="","",VLOOKUP($M$3&amp;$N$3&amp;D1_ENERO_2026[[#This Row],[SUPER]],TablaMeta[],6,0))</f>
        <v>48000</v>
      </c>
      <c r="D10" s="36">
        <f>IFERROR(D1_ENERO_2026[[#This Row],[RECUPERO]]/VLOOKUP($M$3&amp;$N$3&amp;D1_ENERO_2026[[#This Row],[SUPER]],TablaMeta[],6,0),"")</f>
        <v>0.98322916666666671</v>
      </c>
      <c r="E10" s="36" t="str">
        <f>IFERROR(VLOOKUP(D1_ENERO_2026[[#This Row],[ASESOR_CRR]],PLANTILLA_ACTUAL[],2,0),"")</f>
        <v>SANDY</v>
      </c>
      <c r="F10" s="35" t="s">
        <v>24</v>
      </c>
      <c r="G10" s="37">
        <v>47195</v>
      </c>
      <c r="H10" s="35" t="str">
        <f>VLOOKUP(D1_ENERO_2026[[#This Row],[ASESOR_CRR]],DIM!$C:$E,2,0)</f>
        <v>43614775</v>
      </c>
      <c r="I10" s="68">
        <f>VLOOKUP(D1_ENERO_2026[[#This Row],[ASESOR_CRR]],DIM!$C:$E,3,0)</f>
        <v>45334</v>
      </c>
      <c r="J10" s="68" t="str">
        <f>VLOOKUP(D1_ENERO_2026[[#This Row],[ASESOR_CRR]],PLANTILLA_ACTUAL[],6,0)</f>
        <v>CALL</v>
      </c>
      <c r="K10" s="68"/>
      <c r="L10" s="59"/>
      <c r="M10" s="5">
        <f>IF(DATA_ENERO_2026[[#This Row],[ASER_]]="","",VLOOKUP(DATA_ENERO_2026[[#This Row],[ASER_]],$B:$G,3,0))</f>
        <v>1.4681249999999999</v>
      </c>
      <c r="N10" s="5" t="str" cm="1">
        <f t="array" ref="N10">IF(DATA_ENERO_2026[[#This Row],[ASER_]]="","",IFERROR(_xlfn.IFS(M10&gt;=100%,"&gt;100%",AND(M10&lt;100%,M10&gt;=70%),"&gt;70%",AND(M10&lt;70%,M10&gt;=40%),"&gt;40%",AND(M10&lt;40%,M10&gt;=0%),"&gt;0%"),""))</f>
        <v>&gt;100%</v>
      </c>
      <c r="O10" s="58" t="str">
        <f>IFERROR(VLOOKUP(DATA_ENERO_2026[[#This Row],[ASER_]],$B:$G,4,0),"")</f>
        <v>SANDY</v>
      </c>
      <c r="P10" s="6">
        <f>IF(DATA_ENERO_2026[[#This Row],[SUPERVISOR]]="","",VLOOKUP(DATA_ENERO_2026[[#This Row],[ASER_]],$B:$G,6,0))</f>
        <v>70470</v>
      </c>
      <c r="Q10" s="6">
        <f>VLOOKUP(DATA_ENERO_2026[[#This Row],[ASER_]],D1_ENERO_2026[[ASESOR_CRR]:[META]],2,0)</f>
        <v>48000</v>
      </c>
      <c r="R10" t="s">
        <v>23</v>
      </c>
      <c r="S10">
        <v>1700</v>
      </c>
      <c r="T10">
        <v>3578</v>
      </c>
      <c r="U10">
        <v>830</v>
      </c>
      <c r="V10">
        <v>2200</v>
      </c>
      <c r="W10">
        <v>0</v>
      </c>
      <c r="X10">
        <v>580</v>
      </c>
      <c r="Y10">
        <v>10850</v>
      </c>
      <c r="Z10">
        <v>1000</v>
      </c>
      <c r="AA10">
        <v>0</v>
      </c>
      <c r="AB10">
        <v>700</v>
      </c>
      <c r="AC10">
        <v>8374</v>
      </c>
      <c r="AD10">
        <v>1323</v>
      </c>
      <c r="AE10">
        <v>1200</v>
      </c>
      <c r="AF10">
        <v>2925</v>
      </c>
      <c r="AG10">
        <v>5031</v>
      </c>
      <c r="AH10">
        <v>9550</v>
      </c>
      <c r="AI10">
        <v>3300</v>
      </c>
      <c r="AJ10">
        <v>350</v>
      </c>
      <c r="AK10">
        <v>6000</v>
      </c>
      <c r="AL10">
        <v>2000</v>
      </c>
      <c r="AM10">
        <v>9283</v>
      </c>
      <c r="AN10">
        <v>0</v>
      </c>
      <c r="AO10" t="str">
        <f>VLOOKUP($M$3&amp;$N$3&amp;DATA_ENERO_2026[[#This Row],[SUPERVISOR]],TablaMeta[],7,0)</f>
        <v>S1</v>
      </c>
      <c r="AQ10" s="12">
        <f>VLOOKUP($M$3&amp;$N$3&amp;DITE_ENERO_2026[[#This Row],[SUPER]],TablaMeta[],5,0)</f>
        <v>431682</v>
      </c>
      <c r="AR10" s="12">
        <f>MAX(DITE_ENERO_2026[[#This Row],[SUPER]:[CARTERA]])</f>
        <v>440191</v>
      </c>
      <c r="AS10" s="18">
        <f>IFERROR(DITE_ENERO_2026[[#This Row],[RECUPERO SUPERVISOR]]/DITE_ENERO_2026[[#This Row],[META SUPER]],"")</f>
        <v>1.0197112689433425</v>
      </c>
      <c r="AT10" s="12" t="s">
        <v>4</v>
      </c>
      <c r="AU10" s="47">
        <v>20590</v>
      </c>
      <c r="AV10" s="47">
        <v>50121</v>
      </c>
      <c r="AW10" s="47">
        <v>59371</v>
      </c>
      <c r="AX10" s="47">
        <v>77571</v>
      </c>
      <c r="AY10" s="47">
        <v>82871</v>
      </c>
      <c r="AZ10" s="47">
        <v>115217</v>
      </c>
      <c r="BA10" s="47">
        <v>132767</v>
      </c>
      <c r="BB10" s="47">
        <v>142667</v>
      </c>
      <c r="BC10" s="47">
        <v>148467</v>
      </c>
      <c r="BD10" s="47">
        <v>170967</v>
      </c>
      <c r="BE10" s="47">
        <v>214228</v>
      </c>
      <c r="BF10" s="47">
        <v>222684</v>
      </c>
      <c r="BG10" s="47">
        <v>236428</v>
      </c>
      <c r="BH10" s="47">
        <v>260913</v>
      </c>
      <c r="BI10" s="47">
        <v>282268</v>
      </c>
      <c r="BJ10" s="47">
        <v>308593</v>
      </c>
      <c r="BK10" s="47">
        <v>330983</v>
      </c>
      <c r="BL10" s="47">
        <v>338913</v>
      </c>
      <c r="BM10" s="47">
        <v>355249</v>
      </c>
      <c r="BN10" s="47">
        <v>381549</v>
      </c>
      <c r="BO10" s="47">
        <v>381549</v>
      </c>
      <c r="BP10" s="47">
        <v>440191</v>
      </c>
      <c r="BQ10" s="12" t="str">
        <f>VLOOKUP($M$3&amp;$N$3&amp;DITE_ENERO_2026[[#This Row],[SUPER]],TablaMeta[],7,0)</f>
        <v>S1</v>
      </c>
    </row>
    <row r="11" spans="1:69" x14ac:dyDescent="0.25">
      <c r="A11" s="35" t="str">
        <f>IFERROR(VLOOKUP(D1_ENERO_2026[[#This Row],[ASESOR_CRR]],PLANTILLA_ACTUAL[],2,0),"")</f>
        <v>SANDY</v>
      </c>
      <c r="B11" s="35" t="str" cm="1">
        <f t="array" ref="B1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LUIS CENTENO</v>
      </c>
      <c r="C11" s="37">
        <f>IF(D1_ENERO_2026[[#This Row],[RECUPERO]]="","",VLOOKUP($M$3&amp;$N$3&amp;D1_ENERO_2026[[#This Row],[SUPER]],TablaMeta[],6,0))</f>
        <v>48000</v>
      </c>
      <c r="D11" s="36">
        <f>IFERROR(D1_ENERO_2026[[#This Row],[RECUPERO]]/VLOOKUP($M$3&amp;$N$3&amp;D1_ENERO_2026[[#This Row],[SUPER]],TablaMeta[],6,0),"")</f>
        <v>0.86945833333333333</v>
      </c>
      <c r="E11" s="36" t="str">
        <f>IFERROR(VLOOKUP(D1_ENERO_2026[[#This Row],[ASESOR_CRR]],PLANTILLA_ACTUAL[],2,0),"")</f>
        <v>SANDY</v>
      </c>
      <c r="F11" s="35" t="s">
        <v>31</v>
      </c>
      <c r="G11" s="37">
        <v>41734</v>
      </c>
      <c r="H11" s="35" t="str">
        <f>VLOOKUP(D1_ENERO_2026[[#This Row],[ASESOR_CRR]],DIM!$C:$E,2,0)</f>
        <v>75882265</v>
      </c>
      <c r="I11" s="68">
        <f>VLOOKUP(D1_ENERO_2026[[#This Row],[ASESOR_CRR]],DIM!$C:$E,3,0)</f>
        <v>45334</v>
      </c>
      <c r="J11" s="68" t="str">
        <f>VLOOKUP(D1_ENERO_2026[[#This Row],[ASESOR_CRR]],PLANTILLA_ACTUAL[],6,0)</f>
        <v>CALL</v>
      </c>
      <c r="K11" s="68"/>
      <c r="L11" s="59"/>
      <c r="M11" s="5">
        <f>IF(DATA_ENERO_2026[[#This Row],[ASER_]]="","",VLOOKUP(DATA_ENERO_2026[[#This Row],[ASER_]],$B:$G,3,0))</f>
        <v>1.8912500000000001</v>
      </c>
      <c r="N11" s="5" t="str" cm="1">
        <f t="array" ref="N11">IF(DATA_ENERO_2026[[#This Row],[ASER_]]="","",IFERROR(_xlfn.IFS(M11&gt;=100%,"&gt;100%",AND(M11&lt;100%,M11&gt;=70%),"&gt;70%",AND(M11&lt;70%,M11&gt;=40%),"&gt;40%",AND(M11&lt;40%,M11&gt;=0%),"&gt;0%"),""))</f>
        <v>&gt;100%</v>
      </c>
      <c r="O11" s="58" t="str">
        <f>IFERROR(VLOOKUP(DATA_ENERO_2026[[#This Row],[ASER_]],$B:$G,4,0),"")</f>
        <v>SANDY</v>
      </c>
      <c r="P11" s="6">
        <f>IF(DATA_ENERO_2026[[#This Row],[SUPERVISOR]]="","",VLOOKUP(DATA_ENERO_2026[[#This Row],[ASER_]],$B:$G,6,0))</f>
        <v>90780</v>
      </c>
      <c r="Q11" s="6">
        <f>VLOOKUP(DATA_ENERO_2026[[#This Row],[ASER_]],D1_ENERO_2026[[ASESOR_CRR]:[META]],2,0)</f>
        <v>48000</v>
      </c>
      <c r="R11" t="s">
        <v>32</v>
      </c>
      <c r="S11">
        <v>877</v>
      </c>
      <c r="T11">
        <v>600</v>
      </c>
      <c r="U11">
        <v>3233</v>
      </c>
      <c r="V11">
        <v>1800</v>
      </c>
      <c r="W11">
        <v>0</v>
      </c>
      <c r="X11">
        <v>7000</v>
      </c>
      <c r="Y11">
        <v>0</v>
      </c>
      <c r="Z11">
        <v>8350</v>
      </c>
      <c r="AA11">
        <v>0</v>
      </c>
      <c r="AB11">
        <v>710</v>
      </c>
      <c r="AC11">
        <v>30500</v>
      </c>
      <c r="AD11">
        <v>3400</v>
      </c>
      <c r="AE11">
        <v>150</v>
      </c>
      <c r="AF11">
        <v>2525</v>
      </c>
      <c r="AG11">
        <v>600</v>
      </c>
      <c r="AH11">
        <v>25065</v>
      </c>
      <c r="AI11">
        <v>600</v>
      </c>
      <c r="AJ11">
        <v>0</v>
      </c>
      <c r="AK11">
        <v>2250</v>
      </c>
      <c r="AL11">
        <v>1150</v>
      </c>
      <c r="AM11">
        <v>1100</v>
      </c>
      <c r="AN11">
        <v>870</v>
      </c>
      <c r="AO11" t="str">
        <f>VLOOKUP($M$3&amp;$N$3&amp;DATA_ENERO_2026[[#This Row],[SUPERVISOR]],TablaMeta[],7,0)</f>
        <v>S1</v>
      </c>
      <c r="AQ11" s="11">
        <f>VLOOKUP($M$3&amp;$N$3&amp;DITE_ENERO_2026[[#This Row],[SUPER]],TablaMeta[],5,0)</f>
        <v>294010</v>
      </c>
      <c r="AR11" s="11">
        <f>MAX(DITE_ENERO_2026[[#This Row],[SUPER]:[CARTERA]])</f>
        <v>373755.53</v>
      </c>
      <c r="AS11" s="17">
        <f>IFERROR(DITE_ENERO_2026[[#This Row],[RECUPERO SUPERVISOR]]/DITE_ENERO_2026[[#This Row],[META SUPER]],"")</f>
        <v>1.2712340736709637</v>
      </c>
      <c r="AT11" s="11" t="s">
        <v>2</v>
      </c>
      <c r="AU11" s="47">
        <v>1108.4000000000001</v>
      </c>
      <c r="AV11" s="47">
        <v>11258.4</v>
      </c>
      <c r="AW11" s="47">
        <v>12366.4</v>
      </c>
      <c r="AX11" s="47">
        <v>15371.4</v>
      </c>
      <c r="AY11" s="47">
        <v>32222.400000000001</v>
      </c>
      <c r="AZ11" s="47">
        <v>49925.4</v>
      </c>
      <c r="BA11" s="47">
        <v>76475.399999999994</v>
      </c>
      <c r="BB11" s="47">
        <v>100685.4</v>
      </c>
      <c r="BC11" s="47">
        <v>123541.53</v>
      </c>
      <c r="BD11" s="47">
        <v>143971.53</v>
      </c>
      <c r="BE11" s="47">
        <v>155717.03</v>
      </c>
      <c r="BF11" s="47">
        <v>172877.03</v>
      </c>
      <c r="BG11" s="47">
        <v>174146.03</v>
      </c>
      <c r="BH11" s="47">
        <v>198053.03</v>
      </c>
      <c r="BI11" s="47">
        <v>233160.03</v>
      </c>
      <c r="BJ11" s="47">
        <v>239240.03</v>
      </c>
      <c r="BK11" s="47">
        <v>250615.03</v>
      </c>
      <c r="BL11" s="47">
        <v>279328.03000000003</v>
      </c>
      <c r="BM11" s="47">
        <v>302778.03000000003</v>
      </c>
      <c r="BN11" s="47">
        <v>322841.03000000003</v>
      </c>
      <c r="BO11" s="47">
        <v>356519.03</v>
      </c>
      <c r="BP11" s="47">
        <v>373755.53</v>
      </c>
      <c r="BQ11" s="11" t="str">
        <f>VLOOKUP($M$3&amp;$N$3&amp;DITE_ENERO_2026[[#This Row],[SUPER]],TablaMeta[],7,0)</f>
        <v>S0</v>
      </c>
    </row>
    <row r="12" spans="1:69" x14ac:dyDescent="0.25">
      <c r="A12" s="35" t="str">
        <f>IFERROR(VLOOKUP(D1_ENERO_2026[[#This Row],[ASESOR_CRR]],PLANTILLA_ACTUAL[],2,0),"")</f>
        <v>SANDY</v>
      </c>
      <c r="B12" s="35" t="str" cm="1">
        <f t="array" ref="B1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MARGARITA PIANCHACHI</v>
      </c>
      <c r="C12" s="37">
        <f>IF(D1_ENERO_2026[[#This Row],[RECUPERO]]="","",VLOOKUP($M$3&amp;$N$3&amp;D1_ENERO_2026[[#This Row],[SUPER]],TablaMeta[],6,0))</f>
        <v>48000</v>
      </c>
      <c r="D12" s="36">
        <f>IFERROR(D1_ENERO_2026[[#This Row],[RECUPERO]]/VLOOKUP($M$3&amp;$N$3&amp;D1_ENERO_2026[[#This Row],[SUPER]],TablaMeta[],6,0),"")</f>
        <v>0.7694375</v>
      </c>
      <c r="E12" s="36" t="str">
        <f>IFERROR(VLOOKUP(D1_ENERO_2026[[#This Row],[ASESOR_CRR]],PLANTILLA_ACTUAL[],2,0),"")</f>
        <v>SANDY</v>
      </c>
      <c r="F12" s="35" t="s">
        <v>17</v>
      </c>
      <c r="G12" s="37">
        <v>36933</v>
      </c>
      <c r="H12" s="35" t="str">
        <f>VLOOKUP(D1_ENERO_2026[[#This Row],[ASESOR_CRR]],DIM!$C:$E,2,0)</f>
        <v>70876605</v>
      </c>
      <c r="I12" s="68">
        <f>VLOOKUP(D1_ENERO_2026[[#This Row],[ASESOR_CRR]],DIM!$C:$E,3,0)</f>
        <v>44886</v>
      </c>
      <c r="J12" s="68" t="str">
        <f>VLOOKUP(D1_ENERO_2026[[#This Row],[ASESOR_CRR]],PLANTILLA_ACTUAL[],6,0)</f>
        <v>CALL</v>
      </c>
      <c r="K12" s="68"/>
      <c r="L12" s="59"/>
      <c r="M12" s="5">
        <f>IF(DATA_ENERO_2026[[#This Row],[ASER_]]="","",VLOOKUP(DATA_ENERO_2026[[#This Row],[ASER_]],$B:$G,3,0))</f>
        <v>0.73114583333333338</v>
      </c>
      <c r="N12" s="5" t="str" cm="1">
        <f t="array" ref="N12">IF(DATA_ENERO_2026[[#This Row],[ASER_]]="","",IFERROR(_xlfn.IFS(M12&gt;=100%,"&gt;100%",AND(M12&lt;100%,M12&gt;=70%),"&gt;70%",AND(M12&lt;70%,M12&gt;=40%),"&gt;40%",AND(M12&lt;40%,M12&gt;=0%),"&gt;0%"),""))</f>
        <v>&gt;70%</v>
      </c>
      <c r="O12" s="58" t="str">
        <f>IFERROR(VLOOKUP(DATA_ENERO_2026[[#This Row],[ASER_]],$B:$G,4,0),"")</f>
        <v>SANDY</v>
      </c>
      <c r="P12" s="6">
        <f>IF(DATA_ENERO_2026[[#This Row],[SUPERVISOR]]="","",VLOOKUP(DATA_ENERO_2026[[#This Row],[ASER_]],$B:$G,6,0))</f>
        <v>35095</v>
      </c>
      <c r="Q12" s="6">
        <f>VLOOKUP(DATA_ENERO_2026[[#This Row],[ASER_]],D1_ENERO_2026[[ASESOR_CRR]:[META]],2,0)</f>
        <v>48000</v>
      </c>
      <c r="R12" t="s">
        <v>65</v>
      </c>
      <c r="S12">
        <v>700</v>
      </c>
      <c r="T12">
        <v>281</v>
      </c>
      <c r="U12">
        <v>0</v>
      </c>
      <c r="V12">
        <v>0</v>
      </c>
      <c r="W12">
        <v>0</v>
      </c>
      <c r="X12">
        <v>2300</v>
      </c>
      <c r="Y12">
        <v>1000</v>
      </c>
      <c r="Z12">
        <v>1000</v>
      </c>
      <c r="AA12">
        <v>4700</v>
      </c>
      <c r="AB12">
        <v>3000</v>
      </c>
      <c r="AC12">
        <v>0</v>
      </c>
      <c r="AD12">
        <v>0</v>
      </c>
      <c r="AE12">
        <v>2700</v>
      </c>
      <c r="AF12">
        <v>5500</v>
      </c>
      <c r="AG12">
        <v>2000</v>
      </c>
      <c r="AH12">
        <v>0</v>
      </c>
      <c r="AI12">
        <v>329</v>
      </c>
      <c r="AJ12">
        <v>4450</v>
      </c>
      <c r="AK12">
        <v>0</v>
      </c>
      <c r="AL12">
        <v>0</v>
      </c>
      <c r="AM12">
        <v>5000</v>
      </c>
      <c r="AN12">
        <v>2135</v>
      </c>
      <c r="AO12" t="str">
        <f>VLOOKUP($M$3&amp;$N$3&amp;DATA_ENERO_2026[[#This Row],[SUPERVISOR]],TablaMeta[],7,0)</f>
        <v>S1</v>
      </c>
      <c r="AQ12" s="12">
        <f>VLOOKUP($M$3&amp;$N$3&amp;DITE_ENERO_2026[[#This Row],[SUPER]],TablaMeta[],5,0)</f>
        <v>251174</v>
      </c>
      <c r="AR12" s="12">
        <f>MAX(DITE_ENERO_2026[[#This Row],[SUPER]:[CARTERA]])</f>
        <v>359369</v>
      </c>
      <c r="AS12" s="18">
        <f>IFERROR(DITE_ENERO_2026[[#This Row],[RECUPERO SUPERVISOR]]/DITE_ENERO_2026[[#This Row],[META SUPER]],"")</f>
        <v>1.4307571643561834</v>
      </c>
      <c r="AT12" s="12" t="s">
        <v>6</v>
      </c>
      <c r="AU12" s="47">
        <v>21800</v>
      </c>
      <c r="AV12" s="47">
        <v>29950</v>
      </c>
      <c r="AW12" s="47">
        <v>50600</v>
      </c>
      <c r="AX12" s="47">
        <v>58063</v>
      </c>
      <c r="AY12" s="47">
        <v>79238</v>
      </c>
      <c r="AZ12" s="47">
        <v>110669</v>
      </c>
      <c r="BA12" s="47">
        <v>133724</v>
      </c>
      <c r="BB12" s="47">
        <v>154257</v>
      </c>
      <c r="BC12" s="47">
        <v>180408</v>
      </c>
      <c r="BD12" s="47">
        <v>190849</v>
      </c>
      <c r="BE12" s="47">
        <v>198734</v>
      </c>
      <c r="BF12" s="47">
        <v>208284</v>
      </c>
      <c r="BG12" s="47">
        <v>211577</v>
      </c>
      <c r="BH12" s="47">
        <v>231149</v>
      </c>
      <c r="BI12" s="47">
        <v>241659</v>
      </c>
      <c r="BJ12" s="47">
        <v>245459</v>
      </c>
      <c r="BK12" s="47">
        <v>250659</v>
      </c>
      <c r="BL12" s="47">
        <v>276432</v>
      </c>
      <c r="BM12" s="47">
        <v>301872</v>
      </c>
      <c r="BN12" s="47">
        <v>315232</v>
      </c>
      <c r="BO12" s="47">
        <v>351016</v>
      </c>
      <c r="BP12" s="47">
        <v>359369</v>
      </c>
      <c r="BQ12" s="12" t="str">
        <f>VLOOKUP($M$3&amp;$N$3&amp;DITE_ENERO_2026[[#This Row],[SUPER]],TablaMeta[],7,0)</f>
        <v>S0</v>
      </c>
    </row>
    <row r="13" spans="1:69" x14ac:dyDescent="0.25">
      <c r="A13" s="35" t="str">
        <f>IFERROR(VLOOKUP(D1_ENERO_2026[[#This Row],[ASESOR_CRR]],PLANTILLA_ACTUAL[],2,0),"")</f>
        <v>SANDY</v>
      </c>
      <c r="B13" s="35" t="str" cm="1">
        <f t="array" ref="B1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JHONATAN CHAVEZ</v>
      </c>
      <c r="C13" s="37">
        <f>IF(D1_ENERO_2026[[#This Row],[RECUPERO]]="","",VLOOKUP($M$3&amp;$N$3&amp;D1_ENERO_2026[[#This Row],[SUPER]],TablaMeta[],6,0))</f>
        <v>48000</v>
      </c>
      <c r="D13" s="36">
        <f>IFERROR(D1_ENERO_2026[[#This Row],[RECUPERO]]/VLOOKUP($M$3&amp;$N$3&amp;D1_ENERO_2026[[#This Row],[SUPER]],TablaMeta[],6,0),"")</f>
        <v>0.73114583333333338</v>
      </c>
      <c r="E13" s="36" t="str">
        <f>IFERROR(VLOOKUP(D1_ENERO_2026[[#This Row],[ASESOR_CRR]],PLANTILLA_ACTUAL[],2,0),"")</f>
        <v>SANDY</v>
      </c>
      <c r="F13" s="35" t="s">
        <v>65</v>
      </c>
      <c r="G13" s="37">
        <v>35095</v>
      </c>
      <c r="H13" s="35" t="str">
        <f>VLOOKUP(D1_ENERO_2026[[#This Row],[ASESOR_CRR]],DIM!$C:$E,2,0)</f>
        <v>47659267</v>
      </c>
      <c r="I13" s="68">
        <f>VLOOKUP(D1_ENERO_2026[[#This Row],[ASESOR_CRR]],DIM!$C:$E,3,0)</f>
        <v>45019</v>
      </c>
      <c r="J13" s="68" t="str">
        <f>VLOOKUP(D1_ENERO_2026[[#This Row],[ASESOR_CRR]],PLANTILLA_ACTUAL[],6,0)</f>
        <v>CALL</v>
      </c>
      <c r="K13" s="68"/>
      <c r="L13" s="59"/>
      <c r="M13" s="5">
        <f>IF(DATA_ENERO_2026[[#This Row],[ASER_]]="","",VLOOKUP(DATA_ENERO_2026[[#This Row],[ASER_]],$B:$G,3,0))</f>
        <v>0.7694375</v>
      </c>
      <c r="N13" s="5" t="str" cm="1">
        <f t="array" ref="N13">IF(DATA_ENERO_2026[[#This Row],[ASER_]]="","",IFERROR(_xlfn.IFS(M13&gt;=100%,"&gt;100%",AND(M13&lt;100%,M13&gt;=70%),"&gt;70%",AND(M13&lt;70%,M13&gt;=40%),"&gt;40%",AND(M13&lt;40%,M13&gt;=0%),"&gt;0%"),""))</f>
        <v>&gt;70%</v>
      </c>
      <c r="O13" s="58" t="str">
        <f>IFERROR(VLOOKUP(DATA_ENERO_2026[[#This Row],[ASER_]],$B:$G,4,0),"")</f>
        <v>SANDY</v>
      </c>
      <c r="P13" s="6">
        <f>IF(DATA_ENERO_2026[[#This Row],[SUPERVISOR]]="","",VLOOKUP(DATA_ENERO_2026[[#This Row],[ASER_]],$B:$G,6,0))</f>
        <v>36933</v>
      </c>
      <c r="Q13" s="6">
        <f>VLOOKUP(DATA_ENERO_2026[[#This Row],[ASER_]],D1_ENERO_2026[[ASESOR_CRR]:[META]],2,0)</f>
        <v>48000</v>
      </c>
      <c r="R13" t="s">
        <v>17</v>
      </c>
      <c r="S13">
        <v>636</v>
      </c>
      <c r="T13">
        <v>0</v>
      </c>
      <c r="U13">
        <v>4000</v>
      </c>
      <c r="V13">
        <v>4200</v>
      </c>
      <c r="W13">
        <v>0</v>
      </c>
      <c r="X13">
        <v>0</v>
      </c>
      <c r="Y13">
        <v>461</v>
      </c>
      <c r="Z13">
        <v>13000</v>
      </c>
      <c r="AA13">
        <v>0</v>
      </c>
      <c r="AB13">
        <v>0</v>
      </c>
      <c r="AC13">
        <v>0</v>
      </c>
      <c r="AD13">
        <v>656</v>
      </c>
      <c r="AE13">
        <v>5450</v>
      </c>
      <c r="AF13">
        <v>0</v>
      </c>
      <c r="AG13">
        <v>0</v>
      </c>
      <c r="AH13">
        <v>320</v>
      </c>
      <c r="AI13">
        <v>1780</v>
      </c>
      <c r="AJ13">
        <v>3500</v>
      </c>
      <c r="AK13">
        <v>300</v>
      </c>
      <c r="AL13">
        <v>330</v>
      </c>
      <c r="AM13">
        <v>0</v>
      </c>
      <c r="AN13">
        <v>2300</v>
      </c>
      <c r="AO13" t="str">
        <f>VLOOKUP($M$3&amp;$N$3&amp;DATA_ENERO_2026[[#This Row],[SUPERVISOR]],TablaMeta[],7,0)</f>
        <v>S1</v>
      </c>
      <c r="AQ13" s="11">
        <f>VLOOKUP($M$3&amp;$N$3&amp;DITE_ENERO_2026[[#This Row],[SUPER]],TablaMeta[],5,0)</f>
        <v>297083</v>
      </c>
      <c r="AR13" s="11">
        <f>MAX(DITE_ENERO_2026[[#This Row],[SUPER]:[CARTERA]])</f>
        <v>334888</v>
      </c>
      <c r="AS13" s="17">
        <f>IFERROR(DITE_ENERO_2026[[#This Row],[RECUPERO SUPERVISOR]]/DITE_ENERO_2026[[#This Row],[META SUPER]],"")</f>
        <v>1.1272539997239828</v>
      </c>
      <c r="AT13" s="11" t="s">
        <v>125</v>
      </c>
      <c r="AU13" s="47">
        <v>1710</v>
      </c>
      <c r="AV13" s="47">
        <v>14526</v>
      </c>
      <c r="AW13" s="46">
        <v>36311</v>
      </c>
      <c r="AX13" s="47">
        <v>55116</v>
      </c>
      <c r="AY13" s="47">
        <v>70716</v>
      </c>
      <c r="AZ13" s="47">
        <v>82583</v>
      </c>
      <c r="BA13" s="47">
        <v>95705</v>
      </c>
      <c r="BB13" s="46">
        <v>95955</v>
      </c>
      <c r="BC13" s="47">
        <v>113355</v>
      </c>
      <c r="BD13" s="47">
        <v>145998</v>
      </c>
      <c r="BE13" s="47">
        <v>164080</v>
      </c>
      <c r="BF13" s="46">
        <v>172386</v>
      </c>
      <c r="BG13" s="47">
        <v>180736</v>
      </c>
      <c r="BH13" s="47">
        <v>201966</v>
      </c>
      <c r="BI13" s="47">
        <v>210048</v>
      </c>
      <c r="BJ13" s="47">
        <v>222898</v>
      </c>
      <c r="BK13" s="47">
        <v>256078</v>
      </c>
      <c r="BL13" s="47">
        <v>271178</v>
      </c>
      <c r="BM13" s="47">
        <v>282478</v>
      </c>
      <c r="BN13" s="47">
        <v>299017</v>
      </c>
      <c r="BO13" s="47">
        <v>329697</v>
      </c>
      <c r="BP13" s="47">
        <v>334888</v>
      </c>
      <c r="BQ13" s="11" t="str">
        <f>VLOOKUP($M$3&amp;$N$3&amp;DITE_ENERO_2026[[#This Row],[SUPER]],TablaMeta[],7,0)</f>
        <v>S2-3-4</v>
      </c>
    </row>
    <row r="14" spans="1:69" x14ac:dyDescent="0.25">
      <c r="A14" s="35" t="str">
        <f>IFERROR(VLOOKUP(D1_ENERO_2026[[#This Row],[ASESOR_CRR]],PLANTILLA_ACTUAL[],2,0),"")</f>
        <v>SANDY</v>
      </c>
      <c r="B14" s="35" t="str" cm="1">
        <f t="array" ref="B1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LINDA TUESTA</v>
      </c>
      <c r="C14" s="37">
        <f>IF(D1_ENERO_2026[[#This Row],[RECUPERO]]="","",VLOOKUP($M$3&amp;$N$3&amp;D1_ENERO_2026[[#This Row],[SUPER]],TablaMeta[],6,0))</f>
        <v>48000</v>
      </c>
      <c r="D14" s="36">
        <f>IFERROR(D1_ENERO_2026[[#This Row],[RECUPERO]]/VLOOKUP($M$3&amp;$N$3&amp;D1_ENERO_2026[[#This Row],[SUPER]],TablaMeta[],6,0),"")</f>
        <v>0.5482083333333333</v>
      </c>
      <c r="E14" s="36" t="str">
        <f>IFERROR(VLOOKUP(D1_ENERO_2026[[#This Row],[ASESOR_CRR]],PLANTILLA_ACTUAL[],2,0),"")</f>
        <v>SANDY</v>
      </c>
      <c r="F14" s="35" t="s">
        <v>33</v>
      </c>
      <c r="G14" s="37">
        <v>26314</v>
      </c>
      <c r="H14" s="35" t="str">
        <f>VLOOKUP(D1_ENERO_2026[[#This Row],[ASESOR_CRR]],DIM!$C:$E,2,0)</f>
        <v>80689573</v>
      </c>
      <c r="I14" s="68">
        <f>VLOOKUP(D1_ENERO_2026[[#This Row],[ASESOR_CRR]],DIM!$C:$E,3,0)</f>
        <v>44867</v>
      </c>
      <c r="J14" s="68" t="str">
        <f>VLOOKUP(D1_ENERO_2026[[#This Row],[ASESOR_CRR]],PLANTILLA_ACTUAL[],6,0)</f>
        <v>CALL</v>
      </c>
      <c r="K14" s="68"/>
      <c r="L14" s="59"/>
      <c r="M14" s="5">
        <f>IF(DATA_ENERO_2026[[#This Row],[ASER_]]="","",VLOOKUP(DATA_ENERO_2026[[#This Row],[ASER_]],$B:$G,3,0))</f>
        <v>0.5482083333333333</v>
      </c>
      <c r="N14" s="5" t="str" cm="1">
        <f t="array" ref="N14">IF(DATA_ENERO_2026[[#This Row],[ASER_]]="","",IFERROR(_xlfn.IFS(M14&gt;=100%,"&gt;100%",AND(M14&lt;100%,M14&gt;=70%),"&gt;70%",AND(M14&lt;70%,M14&gt;=40%),"&gt;40%",AND(M14&lt;40%,M14&gt;=0%),"&gt;0%"),""))</f>
        <v>&gt;40%</v>
      </c>
      <c r="O14" s="58" t="str">
        <f>IFERROR(VLOOKUP(DATA_ENERO_2026[[#This Row],[ASER_]],$B:$G,4,0),"")</f>
        <v>SANDY</v>
      </c>
      <c r="P14" s="6">
        <f>IF(DATA_ENERO_2026[[#This Row],[SUPERVISOR]]="","",VLOOKUP(DATA_ENERO_2026[[#This Row],[ASER_]],$B:$G,6,0))</f>
        <v>26314</v>
      </c>
      <c r="Q14" s="6">
        <f>VLOOKUP(DATA_ENERO_2026[[#This Row],[ASER_]],D1_ENERO_2026[[ASESOR_CRR]:[META]],2,0)</f>
        <v>48000</v>
      </c>
      <c r="R14" t="s">
        <v>33</v>
      </c>
      <c r="S14">
        <v>335</v>
      </c>
      <c r="T14">
        <v>0</v>
      </c>
      <c r="U14">
        <v>7300</v>
      </c>
      <c r="V14">
        <v>0</v>
      </c>
      <c r="W14">
        <v>300</v>
      </c>
      <c r="X14">
        <v>225</v>
      </c>
      <c r="Y14">
        <v>0</v>
      </c>
      <c r="Z14">
        <v>0</v>
      </c>
      <c r="AA14">
        <v>2000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3800</v>
      </c>
      <c r="AH14">
        <v>0</v>
      </c>
      <c r="AI14">
        <v>0</v>
      </c>
      <c r="AJ14">
        <v>2500</v>
      </c>
      <c r="AK14">
        <v>800</v>
      </c>
      <c r="AL14">
        <v>6500</v>
      </c>
      <c r="AM14">
        <v>282</v>
      </c>
      <c r="AN14">
        <v>2272</v>
      </c>
      <c r="AO14" t="str">
        <f>VLOOKUP($M$3&amp;$N$3&amp;DATA_ENERO_2026[[#This Row],[SUPERVISOR]],TablaMeta[],7,0)</f>
        <v>S1</v>
      </c>
    </row>
    <row r="15" spans="1:69" x14ac:dyDescent="0.25">
      <c r="A15" s="35" t="str">
        <f>IFERROR(VLOOKUP(D1_ENERO_2026[[#This Row],[ASESOR_CRR]],PLANTILLA_ACTUAL[],2,0),"")</f>
        <v>JOHAN</v>
      </c>
      <c r="B15" s="35" t="str" cm="1">
        <f t="array" ref="B1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ALEJANDRA QUISPE</v>
      </c>
      <c r="C15" s="37">
        <f>IF(D1_ENERO_2026[[#This Row],[RECUPERO]]="","",VLOOKUP($M$3&amp;$N$3&amp;D1_ENERO_2026[[#This Row],[SUPER]],TablaMeta[],6,0))</f>
        <v>24500</v>
      </c>
      <c r="D15" s="36">
        <f>IFERROR(D1_ENERO_2026[[#This Row],[RECUPERO]]/VLOOKUP($M$3&amp;$N$3&amp;D1_ENERO_2026[[#This Row],[SUPER]],TablaMeta[],6,0),"")</f>
        <v>2.0175918367346939</v>
      </c>
      <c r="E15" s="36" t="str">
        <f>IFERROR(VLOOKUP(D1_ENERO_2026[[#This Row],[ASESOR_CRR]],PLANTILLA_ACTUAL[],2,0),"")</f>
        <v>JOHAN</v>
      </c>
      <c r="F15" s="35" t="s">
        <v>58</v>
      </c>
      <c r="G15" s="37">
        <v>49431</v>
      </c>
      <c r="H15" s="35" t="str">
        <f>VLOOKUP(D1_ENERO_2026[[#This Row],[ASESOR_CRR]],DIM!$C:$E,2,0)</f>
        <v>72519113</v>
      </c>
      <c r="I15" s="68">
        <f>VLOOKUP(D1_ENERO_2026[[#This Row],[ASESOR_CRR]],DIM!$C:$E,3,0)</f>
        <v>43119</v>
      </c>
      <c r="J15" s="68" t="str">
        <f>VLOOKUP(D1_ENERO_2026[[#This Row],[ASESOR_CRR]],PLANTILLA_ACTUAL[],6,0)</f>
        <v>CALL</v>
      </c>
      <c r="K15" s="68"/>
      <c r="L15" s="59"/>
      <c r="M15" s="5">
        <f>IF(DATA_ENERO_2026[[#This Row],[ASER_]]="","",VLOOKUP(DATA_ENERO_2026[[#This Row],[ASER_]],$B:$G,3,0))</f>
        <v>1.2952604166666666</v>
      </c>
      <c r="N15" s="5" t="str" cm="1">
        <f t="array" ref="N15">IF(DATA_ENERO_2026[[#This Row],[ASER_]]="","",IFERROR(_xlfn.IFS(M15&gt;=100%,"&gt;100%",AND(M15&lt;100%,M15&gt;=70%),"&gt;70%",AND(M15&lt;70%,M15&gt;=40%),"&gt;40%",AND(M15&lt;40%,M15&gt;=0%),"&gt;0%"),""))</f>
        <v>&gt;100%</v>
      </c>
      <c r="O15" s="58" t="str">
        <f>IFERROR(VLOOKUP(DATA_ENERO_2026[[#This Row],[ASER_]],$B:$G,4,0),"")</f>
        <v>SANDY</v>
      </c>
      <c r="P15" s="6">
        <f>IF(DATA_ENERO_2026[[#This Row],[SUPERVISOR]]="","",VLOOKUP(DATA_ENERO_2026[[#This Row],[ASER_]],$B:$G,6,0))</f>
        <v>62172.5</v>
      </c>
      <c r="Q15" s="6">
        <f>VLOOKUP(DATA_ENERO_2026[[#This Row],[ASER_]],D1_ENERO_2026[[ASESOR_CRR]:[META]],2,0)</f>
        <v>48000</v>
      </c>
      <c r="R15" t="s">
        <v>13</v>
      </c>
      <c r="S15">
        <v>0</v>
      </c>
      <c r="T15">
        <v>700</v>
      </c>
      <c r="U15">
        <v>2000</v>
      </c>
      <c r="V15">
        <v>3000</v>
      </c>
      <c r="W15">
        <v>0</v>
      </c>
      <c r="X15">
        <v>2500</v>
      </c>
      <c r="Y15">
        <v>0</v>
      </c>
      <c r="Z15">
        <v>5000</v>
      </c>
      <c r="AA15">
        <v>700</v>
      </c>
      <c r="AB15">
        <v>2500</v>
      </c>
      <c r="AC15">
        <v>1000</v>
      </c>
      <c r="AD15">
        <v>2500</v>
      </c>
      <c r="AE15">
        <v>0</v>
      </c>
      <c r="AF15">
        <v>7000</v>
      </c>
      <c r="AG15">
        <v>5000</v>
      </c>
      <c r="AH15">
        <v>0</v>
      </c>
      <c r="AI15">
        <v>3500</v>
      </c>
      <c r="AJ15">
        <v>250</v>
      </c>
      <c r="AK15">
        <v>5000</v>
      </c>
      <c r="AL15">
        <v>13000</v>
      </c>
      <c r="AM15">
        <v>2972</v>
      </c>
      <c r="AN15">
        <v>6420.5</v>
      </c>
      <c r="AO15" t="str">
        <f>VLOOKUP($M$3&amp;$N$3&amp;DATA_ENERO_2026[[#This Row],[SUPERVISOR]],TablaMeta[],7,0)</f>
        <v>S1</v>
      </c>
      <c r="AZ15" s="46"/>
      <c r="BB15" s="46"/>
      <c r="BC15" s="46"/>
      <c r="BE15" s="46"/>
    </row>
    <row r="16" spans="1:69" x14ac:dyDescent="0.25">
      <c r="A16" s="35" t="str">
        <f>IFERROR(VLOOKUP(D1_ENERO_2026[[#This Row],[ASESOR_CRR]],PLANTILLA_ACTUAL[],2,0),"")</f>
        <v>JOHAN</v>
      </c>
      <c r="B16" s="35" t="str" cm="1">
        <f t="array" ref="B1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JUAN ALANOCCA</v>
      </c>
      <c r="C16" s="37">
        <f>IF(D1_ENERO_2026[[#This Row],[RECUPERO]]="","",VLOOKUP($M$3&amp;$N$3&amp;D1_ENERO_2026[[#This Row],[SUPER]],TablaMeta[],6,0))</f>
        <v>24500</v>
      </c>
      <c r="D16" s="36">
        <f>IFERROR(D1_ENERO_2026[[#This Row],[RECUPERO]]/VLOOKUP($M$3&amp;$N$3&amp;D1_ENERO_2026[[#This Row],[SUPER]],TablaMeta[],6,0),"")</f>
        <v>1.8593061224489795</v>
      </c>
      <c r="E16" s="36" t="str">
        <f>IFERROR(VLOOKUP(D1_ENERO_2026[[#This Row],[ASESOR_CRR]],PLANTILLA_ACTUAL[],2,0),"")</f>
        <v>JOHAN</v>
      </c>
      <c r="F16" s="35" t="s">
        <v>77</v>
      </c>
      <c r="G16" s="37">
        <v>45553</v>
      </c>
      <c r="H16" s="35" t="str">
        <f>VLOOKUP(D1_ENERO_2026[[#This Row],[ASESOR_CRR]],DIM!$C:$E,2,0)</f>
        <v>42251780</v>
      </c>
      <c r="I16" s="68">
        <f>VLOOKUP(D1_ENERO_2026[[#This Row],[ASESOR_CRR]],DIM!$C:$E,3,0)</f>
        <v>44838</v>
      </c>
      <c r="J16" s="68" t="str">
        <f>VLOOKUP(D1_ENERO_2026[[#This Row],[ASESOR_CRR]],PLANTILLA_ACTUAL[],6,0)</f>
        <v>CALL</v>
      </c>
      <c r="K16" s="68"/>
      <c r="L16" s="59"/>
      <c r="M16" s="5">
        <f>IF(DATA_ENERO_2026[[#This Row],[ASER_]]="","",VLOOKUP(DATA_ENERO_2026[[#This Row],[ASER_]],$B:$G,3,0))</f>
        <v>1.286375</v>
      </c>
      <c r="N16" s="5" t="str" cm="1">
        <f t="array" ref="N16">IF(DATA_ENERO_2026[[#This Row],[ASER_]]="","",IFERROR(_xlfn.IFS(M16&gt;=100%,"&gt;100%",AND(M16&lt;100%,M16&gt;=70%),"&gt;70%",AND(M16&lt;70%,M16&gt;=40%),"&gt;40%",AND(M16&lt;40%,M16&gt;=0%),"&gt;0%"),""))</f>
        <v>&gt;100%</v>
      </c>
      <c r="O16" s="58" t="str">
        <f>IFERROR(VLOOKUP(DATA_ENERO_2026[[#This Row],[ASER_]],$B:$G,4,0),"")</f>
        <v>SANDY</v>
      </c>
      <c r="P16" s="6">
        <f>IF(DATA_ENERO_2026[[#This Row],[SUPERVISOR]]="","",VLOOKUP(DATA_ENERO_2026[[#This Row],[ASER_]],$B:$G,6,0))</f>
        <v>61746</v>
      </c>
      <c r="Q16" s="6">
        <f>VLOOKUP(DATA_ENERO_2026[[#This Row],[ASER_]],D1_ENERO_2026[[ASESOR_CRR]:[META]],2,0)</f>
        <v>48000</v>
      </c>
      <c r="R16" t="s">
        <v>96</v>
      </c>
      <c r="S16">
        <v>0</v>
      </c>
      <c r="T16">
        <v>0</v>
      </c>
      <c r="U16">
        <v>0</v>
      </c>
      <c r="V16">
        <v>0</v>
      </c>
      <c r="W16">
        <v>2100</v>
      </c>
      <c r="X16">
        <v>23800</v>
      </c>
      <c r="Y16">
        <v>1200</v>
      </c>
      <c r="Z16">
        <v>6820</v>
      </c>
      <c r="AA16">
        <v>0</v>
      </c>
      <c r="AB16">
        <v>10890</v>
      </c>
      <c r="AC16">
        <v>0</v>
      </c>
      <c r="AD16">
        <v>0</v>
      </c>
      <c r="AE16">
        <v>0</v>
      </c>
      <c r="AF16">
        <v>7000</v>
      </c>
      <c r="AG16">
        <v>750</v>
      </c>
      <c r="AH16">
        <v>0</v>
      </c>
      <c r="AI16">
        <v>750</v>
      </c>
      <c r="AJ16">
        <v>2500</v>
      </c>
      <c r="AK16">
        <v>2500</v>
      </c>
      <c r="AL16">
        <v>663</v>
      </c>
      <c r="AM16">
        <v>2743</v>
      </c>
      <c r="AN16">
        <v>0</v>
      </c>
      <c r="AO16" t="str">
        <f>VLOOKUP($M$3&amp;$N$3&amp;DATA_ENERO_2026[[#This Row],[SUPERVISOR]],TablaMeta[],7,0)</f>
        <v>S1</v>
      </c>
      <c r="AZ16" s="46"/>
      <c r="BA16" s="46"/>
      <c r="BB16" s="46"/>
      <c r="BC16" s="46"/>
      <c r="BE16" s="46"/>
      <c r="BF16" s="46"/>
      <c r="BG16" s="46"/>
      <c r="BO16" s="46"/>
    </row>
    <row r="17" spans="1:68" x14ac:dyDescent="0.25">
      <c r="A17" s="35" t="str">
        <f>IFERROR(VLOOKUP(D1_ENERO_2026[[#This Row],[ASESOR_CRR]],PLANTILLA_ACTUAL[],2,0),"")</f>
        <v>JOHAN</v>
      </c>
      <c r="B17" s="35" t="str" cm="1">
        <f t="array" ref="B1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ALEJANDRO GONZALES</v>
      </c>
      <c r="C17" s="37">
        <f>IF(D1_ENERO_2026[[#This Row],[RECUPERO]]="","",VLOOKUP($M$3&amp;$N$3&amp;D1_ENERO_2026[[#This Row],[SUPER]],TablaMeta[],6,0))</f>
        <v>24500</v>
      </c>
      <c r="D17" s="36">
        <f>IFERROR(D1_ENERO_2026[[#This Row],[RECUPERO]]/VLOOKUP($M$3&amp;$N$3&amp;D1_ENERO_2026[[#This Row],[SUPER]],TablaMeta[],6,0),"")</f>
        <v>1.2057142857142857</v>
      </c>
      <c r="E17" s="36" t="str">
        <f>IFERROR(VLOOKUP(D1_ENERO_2026[[#This Row],[ASESOR_CRR]],PLANTILLA_ACTUAL[],2,0),"")</f>
        <v>JOHAN</v>
      </c>
      <c r="F17" s="35" t="s">
        <v>109</v>
      </c>
      <c r="G17" s="37">
        <v>29540</v>
      </c>
      <c r="H17" s="35" t="str">
        <f>VLOOKUP(D1_ENERO_2026[[#This Row],[ASESOR_CRR]],DIM!$C:$E,2,0)</f>
        <v>74626735</v>
      </c>
      <c r="I17" s="68">
        <f>VLOOKUP(D1_ENERO_2026[[#This Row],[ASESOR_CRR]],DIM!$C:$E,3,0)</f>
        <v>46024</v>
      </c>
      <c r="J17" s="68" t="str">
        <f>VLOOKUP(D1_ENERO_2026[[#This Row],[ASESOR_CRR]],PLANTILLA_ACTUAL[],6,0)</f>
        <v>CALL</v>
      </c>
      <c r="K17" s="68"/>
      <c r="L17" s="59"/>
      <c r="M17" s="5">
        <f>IF(DATA_ENERO_2026[[#This Row],[ASER_]]="","",VLOOKUP(DATA_ENERO_2026[[#This Row],[ASER_]],$B:$G,3,0))</f>
        <v>0.98322916666666671</v>
      </c>
      <c r="N17" s="5" t="str" cm="1">
        <f t="array" ref="N17">IF(DATA_ENERO_2026[[#This Row],[ASER_]]="","",IFERROR(_xlfn.IFS(M17&gt;=100%,"&gt;100%",AND(M17&lt;100%,M17&gt;=70%),"&gt;70%",AND(M17&lt;70%,M17&gt;=40%),"&gt;40%",AND(M17&lt;40%,M17&gt;=0%),"&gt;0%"),""))</f>
        <v>&gt;70%</v>
      </c>
      <c r="O17" s="58" t="str">
        <f>IFERROR(VLOOKUP(DATA_ENERO_2026[[#This Row],[ASER_]],$B:$G,4,0),"")</f>
        <v>SANDY</v>
      </c>
      <c r="P17" s="6">
        <f>IF(DATA_ENERO_2026[[#This Row],[SUPERVISOR]]="","",VLOOKUP(DATA_ENERO_2026[[#This Row],[ASER_]],$B:$G,6,0))</f>
        <v>47195</v>
      </c>
      <c r="Q17" s="6">
        <f>VLOOKUP(DATA_ENERO_2026[[#This Row],[ASER_]],D1_ENERO_2026[[ASESOR_CRR]:[META]],2,0)</f>
        <v>48000</v>
      </c>
      <c r="R17" t="s">
        <v>24</v>
      </c>
      <c r="S17">
        <v>0</v>
      </c>
      <c r="T17">
        <v>2850</v>
      </c>
      <c r="U17">
        <v>0</v>
      </c>
      <c r="V17">
        <v>3300</v>
      </c>
      <c r="W17">
        <v>200</v>
      </c>
      <c r="X17">
        <v>100</v>
      </c>
      <c r="Y17">
        <v>0</v>
      </c>
      <c r="Z17">
        <v>7435</v>
      </c>
      <c r="AA17">
        <v>3000</v>
      </c>
      <c r="AB17">
        <v>5900</v>
      </c>
      <c r="AC17">
        <v>250</v>
      </c>
      <c r="AD17">
        <v>0</v>
      </c>
      <c r="AE17">
        <v>600</v>
      </c>
      <c r="AF17">
        <v>500</v>
      </c>
      <c r="AG17">
        <v>0</v>
      </c>
      <c r="AH17">
        <v>0</v>
      </c>
      <c r="AI17">
        <v>0</v>
      </c>
      <c r="AJ17">
        <v>2000</v>
      </c>
      <c r="AK17">
        <v>10000</v>
      </c>
      <c r="AL17">
        <v>1500</v>
      </c>
      <c r="AM17">
        <v>4880</v>
      </c>
      <c r="AN17">
        <v>3000</v>
      </c>
      <c r="AO17" t="str">
        <f>VLOOKUP($M$3&amp;$N$3&amp;DATA_ENERO_2026[[#This Row],[SUPERVISOR]],TablaMeta[],7,0)</f>
        <v>S1</v>
      </c>
      <c r="AY17" s="46"/>
      <c r="BA17" s="46"/>
      <c r="BB17" s="48"/>
      <c r="BC17" s="48"/>
      <c r="BE17" s="48"/>
      <c r="BF17" s="46"/>
      <c r="BG17" s="46"/>
      <c r="BI17" s="46"/>
      <c r="BN17" s="46"/>
      <c r="BO17" s="46"/>
      <c r="BP17" s="46"/>
    </row>
    <row r="18" spans="1:68" x14ac:dyDescent="0.25">
      <c r="A18" s="35" t="str">
        <f>IFERROR(VLOOKUP(D1_ENERO_2026[[#This Row],[ASESOR_CRR]],PLANTILLA_ACTUAL[],2,0),"")</f>
        <v>JOHAN</v>
      </c>
      <c r="B18" s="35" t="str" cm="1">
        <f t="array" ref="B1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NOEMI CHUQUILIN</v>
      </c>
      <c r="C18" s="37">
        <f>IF(D1_ENERO_2026[[#This Row],[RECUPERO]]="","",VLOOKUP($M$3&amp;$N$3&amp;D1_ENERO_2026[[#This Row],[SUPER]],TablaMeta[],6,0))</f>
        <v>24500</v>
      </c>
      <c r="D18" s="36">
        <f>IFERROR(D1_ENERO_2026[[#This Row],[RECUPERO]]/VLOOKUP($M$3&amp;$N$3&amp;D1_ENERO_2026[[#This Row],[SUPER]],TablaMeta[],6,0),"")</f>
        <v>1.1748571428571428</v>
      </c>
      <c r="E18" s="36" t="str">
        <f>IFERROR(VLOOKUP(D1_ENERO_2026[[#This Row],[ASESOR_CRR]],PLANTILLA_ACTUAL[],2,0),"")</f>
        <v>JOHAN</v>
      </c>
      <c r="F18" t="s">
        <v>97</v>
      </c>
      <c r="G18" s="3">
        <v>28784</v>
      </c>
      <c r="H18" t="str">
        <f>VLOOKUP(D1_ENERO_2026[[#This Row],[ASESOR_CRR]],DIM!$C:$E,2,0)</f>
        <v>74602206</v>
      </c>
      <c r="I18" s="59">
        <f>VLOOKUP(D1_ENERO_2026[[#This Row],[ASESOR_CRR]],DIM!$C:$E,3,0)</f>
        <v>45884</v>
      </c>
      <c r="J18" s="59" t="str">
        <f>VLOOKUP(D1_ENERO_2026[[#This Row],[ASESOR_CRR]],PLANTILLA_ACTUAL[],6,0)</f>
        <v>CALL</v>
      </c>
      <c r="K18" s="59"/>
      <c r="L18" s="59"/>
      <c r="M18" s="5">
        <f>IF(DATA_ENERO_2026[[#This Row],[ASER_]]="","",VLOOKUP(DATA_ENERO_2026[[#This Row],[ASER_]],$B:$G,3,0))</f>
        <v>0.43420408163265306</v>
      </c>
      <c r="N18" s="5" t="str" cm="1">
        <f t="array" ref="N18">IF(DATA_ENERO_2026[[#This Row],[ASER_]]="","",IFERROR(_xlfn.IFS(M18&gt;=100%,"&gt;100%",AND(M18&lt;100%,M18&gt;=70%),"&gt;70%",AND(M18&lt;70%,M18&gt;=40%),"&gt;40%",AND(M18&lt;40%,M18&gt;=0%),"&gt;0%"),""))</f>
        <v>&gt;40%</v>
      </c>
      <c r="O18" s="58" t="str">
        <f>IFERROR(VLOOKUP(DATA_ENERO_2026[[#This Row],[ASER_]],$B:$G,4,0),"")</f>
        <v>JOHAN</v>
      </c>
      <c r="P18" s="6">
        <f>IF(DATA_ENERO_2026[[#This Row],[SUPERVISOR]]="","",VLOOKUP(DATA_ENERO_2026[[#This Row],[ASER_]],$B:$G,6,0))</f>
        <v>10638</v>
      </c>
      <c r="Q18" s="6">
        <f>VLOOKUP(DATA_ENERO_2026[[#This Row],[ASER_]],D1_ENERO_2026[[ASESOR_CRR]:[META]],2,0)</f>
        <v>24500</v>
      </c>
      <c r="R18" t="s">
        <v>40</v>
      </c>
      <c r="S18">
        <v>0</v>
      </c>
      <c r="T18">
        <v>0</v>
      </c>
      <c r="U18">
        <v>0</v>
      </c>
      <c r="V18">
        <v>0</v>
      </c>
      <c r="W18">
        <v>0</v>
      </c>
      <c r="X18">
        <v>1000</v>
      </c>
      <c r="Y18">
        <v>600</v>
      </c>
      <c r="Z18">
        <v>200</v>
      </c>
      <c r="AA18">
        <v>0</v>
      </c>
      <c r="AB18">
        <v>2050</v>
      </c>
      <c r="AC18">
        <v>238</v>
      </c>
      <c r="AD18">
        <v>0</v>
      </c>
      <c r="AE18">
        <v>0</v>
      </c>
      <c r="AF18">
        <v>700</v>
      </c>
      <c r="AG18">
        <v>800</v>
      </c>
      <c r="AH18">
        <v>2000</v>
      </c>
      <c r="AI18">
        <v>0</v>
      </c>
      <c r="AJ18">
        <v>950</v>
      </c>
      <c r="AK18">
        <v>700</v>
      </c>
      <c r="AL18">
        <v>0</v>
      </c>
      <c r="AM18">
        <v>1400</v>
      </c>
      <c r="AN18">
        <v>0</v>
      </c>
      <c r="AO18" t="str">
        <f>VLOOKUP($M$3&amp;$N$3&amp;DATA_ENERO_2026[[#This Row],[SUPERVISOR]],TablaMeta[],7,0)</f>
        <v>S2-3-4</v>
      </c>
      <c r="AU18" s="46"/>
      <c r="AX18" s="46"/>
      <c r="AY18" s="46"/>
      <c r="AZ18" s="46"/>
      <c r="BA18" s="48"/>
      <c r="BB18" s="46"/>
      <c r="BC18" s="46"/>
      <c r="BE18" s="46"/>
      <c r="BF18" s="48"/>
      <c r="BG18" s="48"/>
      <c r="BI18" s="46"/>
      <c r="BJ18" s="46"/>
      <c r="BN18" s="46"/>
      <c r="BO18" s="48"/>
      <c r="BP18" s="46"/>
    </row>
    <row r="19" spans="1:68" x14ac:dyDescent="0.25">
      <c r="A19" s="35" t="str">
        <f>IFERROR(VLOOKUP(D1_ENERO_2026[[#This Row],[ASESOR_CRR]],PLANTILLA_ACTUAL[],2,0),"")</f>
        <v>JOHAN</v>
      </c>
      <c r="B19" s="35" t="str" cm="1">
        <f t="array" ref="B1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MARIA BARRIONUEVO</v>
      </c>
      <c r="C19" s="37">
        <f>IF(D1_ENERO_2026[[#This Row],[RECUPERO]]="","",VLOOKUP($M$3&amp;$N$3&amp;D1_ENERO_2026[[#This Row],[SUPER]],TablaMeta[],6,0))</f>
        <v>24500</v>
      </c>
      <c r="D19" s="36">
        <f>IFERROR(D1_ENERO_2026[[#This Row],[RECUPERO]]/VLOOKUP($M$3&amp;$N$3&amp;D1_ENERO_2026[[#This Row],[SUPER]],TablaMeta[],6,0),"")</f>
        <v>1.1670204081632654</v>
      </c>
      <c r="E19" s="36" t="str">
        <f>IFERROR(VLOOKUP(D1_ENERO_2026[[#This Row],[ASESOR_CRR]],PLANTILLA_ACTUAL[],2,0),"")</f>
        <v>JOHAN</v>
      </c>
      <c r="F19" t="s">
        <v>209</v>
      </c>
      <c r="G19" s="3">
        <v>28592</v>
      </c>
      <c r="H19" t="str">
        <f>VLOOKUP(D1_ENERO_2026[[#This Row],[ASESOR_CRR]],DIM!$C:$E,2,0)</f>
        <v>75069320</v>
      </c>
      <c r="I19" s="59">
        <f>VLOOKUP(D1_ENERO_2026[[#This Row],[ASESOR_CRR]],DIM!$C:$E,3,0)</f>
        <v>46029</v>
      </c>
      <c r="J19" s="59" t="str">
        <f>VLOOKUP(D1_ENERO_2026[[#This Row],[ASESOR_CRR]],PLANTILLA_ACTUAL[],6,0)</f>
        <v>CALL</v>
      </c>
      <c r="K19" s="59"/>
      <c r="L19" s="59"/>
      <c r="M19" s="5">
        <f>IF(DATA_ENERO_2026[[#This Row],[ASER_]]="","",VLOOKUP(DATA_ENERO_2026[[#This Row],[ASER_]],$B:$G,3,0))</f>
        <v>1.8593061224489795</v>
      </c>
      <c r="N19" s="5" t="str" cm="1">
        <f t="array" ref="N19">IF(DATA_ENERO_2026[[#This Row],[ASER_]]="","",IFERROR(_xlfn.IFS(M19&gt;=100%,"&gt;100%",AND(M19&lt;100%,M19&gt;=70%),"&gt;70%",AND(M19&lt;70%,M19&gt;=40%),"&gt;40%",AND(M19&lt;40%,M19&gt;=0%),"&gt;0%"),""))</f>
        <v>&gt;100%</v>
      </c>
      <c r="O19" s="58" t="str">
        <f>IFERROR(VLOOKUP(DATA_ENERO_2026[[#This Row],[ASER_]],$B:$G,4,0),"")</f>
        <v>JOHAN</v>
      </c>
      <c r="P19" s="6">
        <f>IF(DATA_ENERO_2026[[#This Row],[SUPERVISOR]]="","",VLOOKUP(DATA_ENERO_2026[[#This Row],[ASER_]],$B:$G,6,0))</f>
        <v>45553</v>
      </c>
      <c r="Q19" s="6">
        <f>VLOOKUP(DATA_ENERO_2026[[#This Row],[ASER_]],D1_ENERO_2026[[ASESOR_CRR]:[META]],2,0)</f>
        <v>24500</v>
      </c>
      <c r="R19" t="s">
        <v>77</v>
      </c>
      <c r="S19">
        <v>200</v>
      </c>
      <c r="T19">
        <v>4150</v>
      </c>
      <c r="U19">
        <v>3000</v>
      </c>
      <c r="V19">
        <v>3500</v>
      </c>
      <c r="W19">
        <v>0</v>
      </c>
      <c r="X19">
        <v>400</v>
      </c>
      <c r="Y19">
        <v>1222</v>
      </c>
      <c r="Z19">
        <v>300</v>
      </c>
      <c r="AA19">
        <v>0</v>
      </c>
      <c r="AB19">
        <v>15700</v>
      </c>
      <c r="AC19">
        <v>481</v>
      </c>
      <c r="AD19">
        <v>5000</v>
      </c>
      <c r="AE19">
        <v>0</v>
      </c>
      <c r="AF19">
        <v>0</v>
      </c>
      <c r="AG19">
        <v>0</v>
      </c>
      <c r="AH19">
        <v>0</v>
      </c>
      <c r="AI19">
        <v>4500</v>
      </c>
      <c r="AJ19">
        <v>0</v>
      </c>
      <c r="AK19">
        <v>0</v>
      </c>
      <c r="AL19">
        <v>400</v>
      </c>
      <c r="AM19">
        <v>6200</v>
      </c>
      <c r="AN19">
        <v>0</v>
      </c>
      <c r="AO19" t="str">
        <f>VLOOKUP($M$3&amp;$N$3&amp;DATA_ENERO_2026[[#This Row],[SUPERVISOR]],TablaMeta[],7,0)</f>
        <v>S2-3-4</v>
      </c>
      <c r="AU19" s="46"/>
      <c r="AX19" s="48"/>
      <c r="AY19" s="48"/>
      <c r="AZ19" s="46"/>
      <c r="BA19" s="48"/>
      <c r="BB19" s="46"/>
      <c r="BC19" s="46"/>
      <c r="BE19" s="46"/>
      <c r="BF19" s="48"/>
      <c r="BG19" s="48"/>
      <c r="BI19" s="46"/>
      <c r="BJ19" s="46"/>
      <c r="BN19" s="48"/>
      <c r="BO19" s="48"/>
      <c r="BP19" s="48"/>
    </row>
    <row r="20" spans="1:68" x14ac:dyDescent="0.25">
      <c r="A20" s="35" t="str">
        <f>IFERROR(VLOOKUP(D1_ENERO_2026[[#This Row],[ASESOR_CRR]],PLANTILLA_ACTUAL[],2,0),"")</f>
        <v>JOHAN</v>
      </c>
      <c r="B20" s="35" t="str" cm="1">
        <f t="array" ref="B2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VERONICA HUARCA</v>
      </c>
      <c r="C20" s="37">
        <f>IF(D1_ENERO_2026[[#This Row],[RECUPERO]]="","",VLOOKUP($M$3&amp;$N$3&amp;D1_ENERO_2026[[#This Row],[SUPER]],TablaMeta[],6,0))</f>
        <v>24500</v>
      </c>
      <c r="D20" s="36">
        <f>IFERROR(D1_ENERO_2026[[#This Row],[RECUPERO]]/VLOOKUP($M$3&amp;$N$3&amp;D1_ENERO_2026[[#This Row],[SUPER]],TablaMeta[],6,0),"")</f>
        <v>1.0771428571428572</v>
      </c>
      <c r="E20" s="36" t="str">
        <f>IFERROR(VLOOKUP(D1_ENERO_2026[[#This Row],[ASESOR_CRR]],PLANTILLA_ACTUAL[],2,0),"")</f>
        <v>JOHAN</v>
      </c>
      <c r="F20" t="s">
        <v>48</v>
      </c>
      <c r="G20" s="3">
        <v>26390</v>
      </c>
      <c r="H20" t="str">
        <f>VLOOKUP(D1_ENERO_2026[[#This Row],[ASESOR_CRR]],DIM!$C:$E,2,0)</f>
        <v>43307898</v>
      </c>
      <c r="I20" s="59">
        <f>VLOOKUP(D1_ENERO_2026[[#This Row],[ASESOR_CRR]],DIM!$C:$E,3,0)</f>
        <v>44746</v>
      </c>
      <c r="J20" s="59" t="str">
        <f>VLOOKUP(D1_ENERO_2026[[#This Row],[ASESOR_CRR]],PLANTILLA_ACTUAL[],6,0)</f>
        <v>CALL</v>
      </c>
      <c r="K20" s="59"/>
      <c r="L20" s="59"/>
      <c r="M20" s="5">
        <f>IF(DATA_ENERO_2026[[#This Row],[ASER_]]="","",VLOOKUP(DATA_ENERO_2026[[#This Row],[ASER_]],$B:$G,3,0))</f>
        <v>1.0771428571428572</v>
      </c>
      <c r="N20" s="5" t="str" cm="1">
        <f t="array" ref="N20">IF(DATA_ENERO_2026[[#This Row],[ASER_]]="","",IFERROR(_xlfn.IFS(M20&gt;=100%,"&gt;100%",AND(M20&lt;100%,M20&gt;=70%),"&gt;70%",AND(M20&lt;70%,M20&gt;=40%),"&gt;40%",AND(M20&lt;40%,M20&gt;=0%),"&gt;0%"),""))</f>
        <v>&gt;100%</v>
      </c>
      <c r="O20" s="58" t="str">
        <f>IFERROR(VLOOKUP(DATA_ENERO_2026[[#This Row],[ASER_]],$B:$G,4,0),"")</f>
        <v>JOHAN</v>
      </c>
      <c r="P20" s="6">
        <f>IF(DATA_ENERO_2026[[#This Row],[SUPERVISOR]]="","",VLOOKUP(DATA_ENERO_2026[[#This Row],[ASER_]],$B:$G,6,0))</f>
        <v>26390</v>
      </c>
      <c r="Q20" s="6">
        <f>VLOOKUP(DATA_ENERO_2026[[#This Row],[ASER_]],D1_ENERO_2026[[ASESOR_CRR]:[META]],2,0)</f>
        <v>24500</v>
      </c>
      <c r="R20" t="s">
        <v>48</v>
      </c>
      <c r="S20">
        <v>200</v>
      </c>
      <c r="T20">
        <v>4100</v>
      </c>
      <c r="U20">
        <v>1500</v>
      </c>
      <c r="V20">
        <v>6000</v>
      </c>
      <c r="W20">
        <v>3000</v>
      </c>
      <c r="X20">
        <v>1000</v>
      </c>
      <c r="Y20">
        <v>0</v>
      </c>
      <c r="Z20">
        <v>0</v>
      </c>
      <c r="AA20">
        <v>0</v>
      </c>
      <c r="AB20">
        <v>0</v>
      </c>
      <c r="AC20">
        <v>2650</v>
      </c>
      <c r="AD20">
        <v>0</v>
      </c>
      <c r="AE20">
        <v>0</v>
      </c>
      <c r="AF20">
        <v>1660</v>
      </c>
      <c r="AG20">
        <v>1000</v>
      </c>
      <c r="AH20">
        <v>0</v>
      </c>
      <c r="AI20">
        <v>0</v>
      </c>
      <c r="AJ20">
        <v>1700</v>
      </c>
      <c r="AK20">
        <v>1000</v>
      </c>
      <c r="AL20">
        <v>0</v>
      </c>
      <c r="AM20">
        <v>2880</v>
      </c>
      <c r="AN20">
        <v>0</v>
      </c>
      <c r="AO20" t="str">
        <f>VLOOKUP($M$3&amp;$N$3&amp;DATA_ENERO_2026[[#This Row],[SUPERVISOR]],TablaMeta[],7,0)</f>
        <v>S2-3-4</v>
      </c>
      <c r="AU20" s="48"/>
      <c r="AX20" s="48"/>
      <c r="AY20" s="46"/>
      <c r="BA20" s="46"/>
      <c r="BG20" s="46"/>
      <c r="BI20" s="46"/>
      <c r="BJ20" s="48"/>
      <c r="BM20" s="46"/>
      <c r="BN20" s="48"/>
      <c r="BO20" s="46"/>
      <c r="BP20" s="48"/>
    </row>
    <row r="21" spans="1:68" x14ac:dyDescent="0.25">
      <c r="A21" s="35" t="str">
        <f>IFERROR(VLOOKUP(D1_ENERO_2026[[#This Row],[ASESOR_CRR]],PLANTILLA_ACTUAL[],2,0),"")</f>
        <v>JOHAN</v>
      </c>
      <c r="B21" s="35" t="str" cm="1">
        <f t="array" ref="B2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GERALDINE ARROYO</v>
      </c>
      <c r="C21" s="37">
        <f>IF(D1_ENERO_2026[[#This Row],[RECUPERO]]="","",VLOOKUP($M$3&amp;$N$3&amp;D1_ENERO_2026[[#This Row],[SUPER]],TablaMeta[],6,0))</f>
        <v>24500</v>
      </c>
      <c r="D21" s="36">
        <f>IFERROR(D1_ENERO_2026[[#This Row],[RECUPERO]]/VLOOKUP($M$3&amp;$N$3&amp;D1_ENERO_2026[[#This Row],[SUPER]],TablaMeta[],6,0),"")</f>
        <v>1.0315510204081633</v>
      </c>
      <c r="E21" s="36" t="str">
        <f>IFERROR(VLOOKUP(D1_ENERO_2026[[#This Row],[ASESOR_CRR]],PLANTILLA_ACTUAL[],2,0),"")</f>
        <v>JOHAN</v>
      </c>
      <c r="F21" t="s">
        <v>51</v>
      </c>
      <c r="G21" s="3">
        <v>25273</v>
      </c>
      <c r="H21" t="str">
        <f>VLOOKUP(D1_ENERO_2026[[#This Row],[ASESOR_CRR]],DIM!$C:$E,2,0)</f>
        <v>76089925</v>
      </c>
      <c r="I21" s="59">
        <f>VLOOKUP(D1_ENERO_2026[[#This Row],[ASESOR_CRR]],DIM!$C:$E,3,0)</f>
        <v>45678</v>
      </c>
      <c r="J21" s="59" t="str">
        <f>VLOOKUP(D1_ENERO_2026[[#This Row],[ASESOR_CRR]],PLANTILLA_ACTUAL[],6,0)</f>
        <v>CALL</v>
      </c>
      <c r="K21" s="59"/>
      <c r="L21" s="59"/>
      <c r="M21" s="5">
        <f>IF(DATA_ENERO_2026[[#This Row],[ASER_]]="","",VLOOKUP(DATA_ENERO_2026[[#This Row],[ASER_]],$B:$G,3,0))</f>
        <v>1.0315510204081633</v>
      </c>
      <c r="N21" s="5" t="str" cm="1">
        <f t="array" ref="N21">IF(DATA_ENERO_2026[[#This Row],[ASER_]]="","",IFERROR(_xlfn.IFS(M21&gt;=100%,"&gt;100%",AND(M21&lt;100%,M21&gt;=70%),"&gt;70%",AND(M21&lt;70%,M21&gt;=40%),"&gt;40%",AND(M21&lt;40%,M21&gt;=0%),"&gt;0%"),""))</f>
        <v>&gt;100%</v>
      </c>
      <c r="O21" s="58" t="str">
        <f>IFERROR(VLOOKUP(DATA_ENERO_2026[[#This Row],[ASER_]],$B:$G,4,0),"")</f>
        <v>JOHAN</v>
      </c>
      <c r="P21" s="6">
        <f>IF(DATA_ENERO_2026[[#This Row],[SUPERVISOR]]="","",VLOOKUP(DATA_ENERO_2026[[#This Row],[ASER_]],$B:$G,6,0))</f>
        <v>25273</v>
      </c>
      <c r="Q21" s="6">
        <f>VLOOKUP(DATA_ENERO_2026[[#This Row],[ASER_]],D1_ENERO_2026[[ASESOR_CRR]:[META]],2,0)</f>
        <v>24500</v>
      </c>
      <c r="R21" t="s">
        <v>51</v>
      </c>
      <c r="S21">
        <v>0</v>
      </c>
      <c r="T21">
        <v>400</v>
      </c>
      <c r="U21">
        <v>0</v>
      </c>
      <c r="V21">
        <v>0</v>
      </c>
      <c r="W21">
        <v>0</v>
      </c>
      <c r="X21">
        <v>4000</v>
      </c>
      <c r="Y21">
        <v>2500</v>
      </c>
      <c r="Z21">
        <v>0</v>
      </c>
      <c r="AA21">
        <v>0</v>
      </c>
      <c r="AB21">
        <v>273</v>
      </c>
      <c r="AC21">
        <v>0</v>
      </c>
      <c r="AD21">
        <v>500</v>
      </c>
      <c r="AE21">
        <v>300</v>
      </c>
      <c r="AF21">
        <v>10000</v>
      </c>
      <c r="AG21">
        <v>1300</v>
      </c>
      <c r="AH21">
        <v>1500</v>
      </c>
      <c r="AI21">
        <v>0</v>
      </c>
      <c r="AJ21">
        <v>2000</v>
      </c>
      <c r="AK21">
        <v>2500</v>
      </c>
      <c r="AL21">
        <v>0</v>
      </c>
      <c r="AM21">
        <v>0</v>
      </c>
      <c r="AN21">
        <v>0</v>
      </c>
      <c r="AO21" t="str">
        <f>VLOOKUP($M$3&amp;$N$3&amp;DATA_ENERO_2026[[#This Row],[SUPERVISOR]],TablaMeta[],7,0)</f>
        <v>S2-3-4</v>
      </c>
      <c r="AU21" s="48"/>
      <c r="AX21" s="46"/>
      <c r="AY21" s="46"/>
      <c r="BI21" s="46"/>
      <c r="BJ21" s="48"/>
      <c r="BM21" s="46"/>
      <c r="BN21" s="46"/>
      <c r="BP21" s="46"/>
    </row>
    <row r="22" spans="1:68" x14ac:dyDescent="0.25">
      <c r="A22" s="35" t="str">
        <f>IFERROR(VLOOKUP(D1_ENERO_2026[[#This Row],[ASESOR_CRR]],PLANTILLA_ACTUAL[],2,0),"")</f>
        <v>JOHAN</v>
      </c>
      <c r="B22" s="35" t="str" cm="1">
        <f t="array" ref="B2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CARLA VALENCIA</v>
      </c>
      <c r="C22" s="37">
        <f>IF(D1_ENERO_2026[[#This Row],[RECUPERO]]="","",VLOOKUP($M$3&amp;$N$3&amp;D1_ENERO_2026[[#This Row],[SUPER]],TablaMeta[],6,0))</f>
        <v>24500</v>
      </c>
      <c r="D22" s="36">
        <f>IFERROR(D1_ENERO_2026[[#This Row],[RECUPERO]]/VLOOKUP($M$3&amp;$N$3&amp;D1_ENERO_2026[[#This Row],[SUPER]],TablaMeta[],6,0),"")</f>
        <v>1.0128571428571429</v>
      </c>
      <c r="E22" s="36" t="str">
        <f>IFERROR(VLOOKUP(D1_ENERO_2026[[#This Row],[ASESOR_CRR]],PLANTILLA_ACTUAL[],2,0),"")</f>
        <v>JOHAN</v>
      </c>
      <c r="F22" t="s">
        <v>206</v>
      </c>
      <c r="G22" s="3">
        <v>24815</v>
      </c>
      <c r="H22" t="str">
        <f>VLOOKUP(D1_ENERO_2026[[#This Row],[ASESOR_CRR]],DIM!$C:$E,2,0)</f>
        <v>46994661</v>
      </c>
      <c r="I22" s="59">
        <f>VLOOKUP(D1_ENERO_2026[[#This Row],[ASESOR_CRR]],DIM!$C:$E,3,0)</f>
        <v>45992</v>
      </c>
      <c r="J22" s="59" t="str">
        <f>VLOOKUP(D1_ENERO_2026[[#This Row],[ASESOR_CRR]],PLANTILLA_ACTUAL[],6,0)</f>
        <v>CALL</v>
      </c>
      <c r="K22" s="59"/>
      <c r="L22" s="59"/>
      <c r="M22" s="5">
        <f>IF(DATA_ENERO_2026[[#This Row],[ASER_]]="","",VLOOKUP(DATA_ENERO_2026[[#This Row],[ASER_]],$B:$G,3,0))</f>
        <v>1.1748571428571428</v>
      </c>
      <c r="N22" s="5" t="str" cm="1">
        <f t="array" ref="N22">IF(DATA_ENERO_2026[[#This Row],[ASER_]]="","",IFERROR(_xlfn.IFS(M22&gt;=100%,"&gt;100%",AND(M22&lt;100%,M22&gt;=70%),"&gt;70%",AND(M22&lt;70%,M22&gt;=40%),"&gt;40%",AND(M22&lt;40%,M22&gt;=0%),"&gt;0%"),""))</f>
        <v>&gt;100%</v>
      </c>
      <c r="O22" s="58" t="str">
        <f>IFERROR(VLOOKUP(DATA_ENERO_2026[[#This Row],[ASER_]],$B:$G,4,0),"")</f>
        <v>JOHAN</v>
      </c>
      <c r="P22" s="6">
        <f>IF(DATA_ENERO_2026[[#This Row],[SUPERVISOR]]="","",VLOOKUP(DATA_ENERO_2026[[#This Row],[ASER_]],$B:$G,6,0))</f>
        <v>28784</v>
      </c>
      <c r="Q22" s="6">
        <f>VLOOKUP(DATA_ENERO_2026[[#This Row],[ASER_]],D1_ENERO_2026[[ASESOR_CRR]:[META]],2,0)</f>
        <v>24500</v>
      </c>
      <c r="R22" t="s">
        <v>97</v>
      </c>
      <c r="S22">
        <v>0</v>
      </c>
      <c r="T22">
        <v>0</v>
      </c>
      <c r="U22">
        <v>5900</v>
      </c>
      <c r="V22">
        <v>400</v>
      </c>
      <c r="W22">
        <v>0</v>
      </c>
      <c r="X22">
        <v>2067</v>
      </c>
      <c r="Y22">
        <v>500</v>
      </c>
      <c r="Z22">
        <v>0</v>
      </c>
      <c r="AA22">
        <v>6100</v>
      </c>
      <c r="AB22">
        <v>0</v>
      </c>
      <c r="AC22">
        <v>3718</v>
      </c>
      <c r="AD22">
        <v>700</v>
      </c>
      <c r="AE22">
        <v>500</v>
      </c>
      <c r="AF22">
        <v>0</v>
      </c>
      <c r="AG22">
        <v>600</v>
      </c>
      <c r="AH22">
        <v>850</v>
      </c>
      <c r="AI22">
        <v>0</v>
      </c>
      <c r="AJ22">
        <v>2700</v>
      </c>
      <c r="AK22">
        <v>250</v>
      </c>
      <c r="AL22">
        <v>908</v>
      </c>
      <c r="AM22">
        <v>2200</v>
      </c>
      <c r="AN22">
        <v>0</v>
      </c>
      <c r="AO22" t="str">
        <f>VLOOKUP($M$3&amp;$N$3&amp;DATA_ENERO_2026[[#This Row],[SUPERVISOR]],TablaMeta[],7,0)</f>
        <v>S2-3-4</v>
      </c>
      <c r="AU22" s="46"/>
      <c r="BI22" s="48"/>
      <c r="BJ22" s="46"/>
      <c r="BM22" s="46"/>
    </row>
    <row r="23" spans="1:68" x14ac:dyDescent="0.25">
      <c r="A23" s="35" t="str">
        <f>IFERROR(VLOOKUP(D1_ENERO_2026[[#This Row],[ASESOR_CRR]],PLANTILLA_ACTUAL[],2,0),"")</f>
        <v>JOHAN</v>
      </c>
      <c r="B23" s="35" t="str" cm="1">
        <f t="array" ref="B2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SARITA GARAY</v>
      </c>
      <c r="C23" s="37">
        <f>IF(D1_ENERO_2026[[#This Row],[RECUPERO]]="","",VLOOKUP($M$3&amp;$N$3&amp;D1_ENERO_2026[[#This Row],[SUPER]],TablaMeta[],6,0))</f>
        <v>24500</v>
      </c>
      <c r="D23" s="36">
        <f>IFERROR(D1_ENERO_2026[[#This Row],[RECUPERO]]/VLOOKUP($M$3&amp;$N$3&amp;D1_ENERO_2026[[#This Row],[SUPER]],TablaMeta[],6,0),"")</f>
        <v>0.71142857142857141</v>
      </c>
      <c r="E23" s="36" t="str">
        <f>IFERROR(VLOOKUP(D1_ENERO_2026[[#This Row],[ASESOR_CRR]],PLANTILLA_ACTUAL[],2,0),"")</f>
        <v>JOHAN</v>
      </c>
      <c r="F23" t="s">
        <v>73</v>
      </c>
      <c r="G23" s="3">
        <v>17430</v>
      </c>
      <c r="H23" t="str">
        <f>VLOOKUP(D1_ENERO_2026[[#This Row],[ASESOR_CRR]],DIM!$C:$E,2,0)</f>
        <v>40318129</v>
      </c>
      <c r="I23" s="59">
        <f>VLOOKUP(D1_ENERO_2026[[#This Row],[ASESOR_CRR]],DIM!$C:$E,3,0)</f>
        <v>45141</v>
      </c>
      <c r="J23" s="59" t="str">
        <f>VLOOKUP(D1_ENERO_2026[[#This Row],[ASESOR_CRR]],PLANTILLA_ACTUAL[],6,0)</f>
        <v>CALL</v>
      </c>
      <c r="K23" s="59"/>
      <c r="L23" s="59"/>
      <c r="M23" s="5">
        <f>IF(DATA_ENERO_2026[[#This Row],[ASER_]]="","",VLOOKUP(DATA_ENERO_2026[[#This Row],[ASER_]],$B:$G,3,0))</f>
        <v>2.0175918367346939</v>
      </c>
      <c r="N23" s="5" t="str" cm="1">
        <f t="array" ref="N23">IF(DATA_ENERO_2026[[#This Row],[ASER_]]="","",IFERROR(_xlfn.IFS(M23&gt;=100%,"&gt;100%",AND(M23&lt;100%,M23&gt;=70%),"&gt;70%",AND(M23&lt;70%,M23&gt;=40%),"&gt;40%",AND(M23&lt;40%,M23&gt;=0%),"&gt;0%"),""))</f>
        <v>&gt;100%</v>
      </c>
      <c r="O23" s="58" t="str">
        <f>IFERROR(VLOOKUP(DATA_ENERO_2026[[#This Row],[ASER_]],$B:$G,4,0),"")</f>
        <v>JOHAN</v>
      </c>
      <c r="P23" s="6">
        <f>IF(DATA_ENERO_2026[[#This Row],[SUPERVISOR]]="","",VLOOKUP(DATA_ENERO_2026[[#This Row],[ASER_]],$B:$G,6,0))</f>
        <v>49431</v>
      </c>
      <c r="Q23" s="6">
        <f>VLOOKUP(DATA_ENERO_2026[[#This Row],[ASER_]],D1_ENERO_2026[[ASESOR_CRR]:[META]],2,0)</f>
        <v>24500</v>
      </c>
      <c r="R23" t="s">
        <v>58</v>
      </c>
      <c r="S23">
        <v>1000</v>
      </c>
      <c r="T23">
        <v>0</v>
      </c>
      <c r="U23">
        <v>1650</v>
      </c>
      <c r="V23">
        <v>205</v>
      </c>
      <c r="W23">
        <v>11100</v>
      </c>
      <c r="X23">
        <v>0</v>
      </c>
      <c r="Y23">
        <v>500</v>
      </c>
      <c r="Z23">
        <v>0</v>
      </c>
      <c r="AA23">
        <v>2850</v>
      </c>
      <c r="AB23">
        <v>300</v>
      </c>
      <c r="AC23">
        <v>7000</v>
      </c>
      <c r="AD23">
        <v>706</v>
      </c>
      <c r="AE23">
        <v>150</v>
      </c>
      <c r="AF23">
        <v>1750</v>
      </c>
      <c r="AG23">
        <v>1600</v>
      </c>
      <c r="AH23">
        <v>5500</v>
      </c>
      <c r="AI23">
        <v>8500</v>
      </c>
      <c r="AJ23">
        <v>2110</v>
      </c>
      <c r="AK23">
        <v>1700</v>
      </c>
      <c r="AL23">
        <v>1000</v>
      </c>
      <c r="AM23">
        <v>1810</v>
      </c>
      <c r="AN23">
        <v>0</v>
      </c>
      <c r="AO23" t="str">
        <f>VLOOKUP($M$3&amp;$N$3&amp;DATA_ENERO_2026[[#This Row],[SUPERVISOR]],TablaMeta[],7,0)</f>
        <v>S2-3-4</v>
      </c>
      <c r="BI23" s="46"/>
    </row>
    <row r="24" spans="1:68" x14ac:dyDescent="0.25">
      <c r="A24" s="35" t="str">
        <f>IFERROR(VLOOKUP(D1_ENERO_2026[[#This Row],[ASESOR_CRR]],PLANTILLA_ACTUAL[],2,0),"")</f>
        <v>JOHAN</v>
      </c>
      <c r="B24" s="35" t="str" cm="1">
        <f t="array" ref="B2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CHRISTIAN ALVARADO</v>
      </c>
      <c r="C24" s="37">
        <f>IF(D1_ENERO_2026[[#This Row],[RECUPERO]]="","",VLOOKUP($M$3&amp;$N$3&amp;D1_ENERO_2026[[#This Row],[SUPER]],TablaMeta[],6,0))</f>
        <v>24500</v>
      </c>
      <c r="D24" s="36">
        <f>IFERROR(D1_ENERO_2026[[#This Row],[RECUPERO]]/VLOOKUP($M$3&amp;$N$3&amp;D1_ENERO_2026[[#This Row],[SUPER]],TablaMeta[],6,0),"")</f>
        <v>0.65453061224489795</v>
      </c>
      <c r="E24" s="36" t="str">
        <f>IFERROR(VLOOKUP(D1_ENERO_2026[[#This Row],[ASESOR_CRR]],PLANTILLA_ACTUAL[],2,0),"")</f>
        <v>JOHAN</v>
      </c>
      <c r="F24" t="s">
        <v>41</v>
      </c>
      <c r="G24" s="3">
        <v>16036</v>
      </c>
      <c r="H24" t="str">
        <f>VLOOKUP(D1_ENERO_2026[[#This Row],[ASESOR_CRR]],DIM!$C:$E,2,0)</f>
        <v>46461021</v>
      </c>
      <c r="I24" s="59">
        <f>VLOOKUP(D1_ENERO_2026[[#This Row],[ASESOR_CRR]],DIM!$C:$E,3,0)</f>
        <v>45302</v>
      </c>
      <c r="J24" s="59" t="str">
        <f>VLOOKUP(D1_ENERO_2026[[#This Row],[ASESOR_CRR]],PLANTILLA_ACTUAL[],6,0)</f>
        <v>CALL</v>
      </c>
      <c r="K24" s="59"/>
      <c r="L24" s="59"/>
      <c r="M24" s="5">
        <f>IF(DATA_ENERO_2026[[#This Row],[ASER_]]="","",VLOOKUP(DATA_ENERO_2026[[#This Row],[ASER_]],$B:$G,3,0))</f>
        <v>0.20714285714285716</v>
      </c>
      <c r="N24" s="5" t="str" cm="1">
        <f t="array" ref="N24">IF(DATA_ENERO_2026[[#This Row],[ASER_]]="","",IFERROR(_xlfn.IFS(M24&gt;=100%,"&gt;100%",AND(M24&lt;100%,M24&gt;=70%),"&gt;70%",AND(M24&lt;70%,M24&gt;=40%),"&gt;40%",AND(M24&lt;40%,M24&gt;=0%),"&gt;0%"),""))</f>
        <v>&gt;0%</v>
      </c>
      <c r="O24" s="58" t="str">
        <f>IFERROR(VLOOKUP(DATA_ENERO_2026[[#This Row],[ASER_]],$B:$G,4,0),"")</f>
        <v>JOHAN</v>
      </c>
      <c r="P24" s="6">
        <f>IF(DATA_ENERO_2026[[#This Row],[SUPERVISOR]]="","",VLOOKUP(DATA_ENERO_2026[[#This Row],[ASER_]],$B:$G,6,0))</f>
        <v>5075</v>
      </c>
      <c r="Q24" s="6">
        <f>VLOOKUP(DATA_ENERO_2026[[#This Row],[ASER_]],D1_ENERO_2026[[ASESOR_CRR]:[META]],2,0)</f>
        <v>24500</v>
      </c>
      <c r="R24" t="s">
        <v>55</v>
      </c>
      <c r="S24">
        <v>310</v>
      </c>
      <c r="T24">
        <v>280</v>
      </c>
      <c r="U24">
        <v>735</v>
      </c>
      <c r="V24">
        <v>500</v>
      </c>
      <c r="W24">
        <v>0</v>
      </c>
      <c r="X24">
        <v>0</v>
      </c>
      <c r="Y24">
        <v>0</v>
      </c>
      <c r="Z24">
        <v>0</v>
      </c>
      <c r="AA24">
        <v>2250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1000</v>
      </c>
      <c r="AL24">
        <v>0</v>
      </c>
      <c r="AM24">
        <v>0</v>
      </c>
      <c r="AN24">
        <v>0</v>
      </c>
      <c r="AO24" t="str">
        <f>VLOOKUP($M$3&amp;$N$3&amp;DATA_ENERO_2026[[#This Row],[SUPERVISOR]],TablaMeta[],7,0)</f>
        <v>S2-3-4</v>
      </c>
      <c r="BM24" s="46"/>
    </row>
    <row r="25" spans="1:68" x14ac:dyDescent="0.25">
      <c r="A25" s="35" t="str">
        <f>IFERROR(VLOOKUP(D1_ENERO_2026[[#This Row],[ASESOR_CRR]],PLANTILLA_ACTUAL[],2,0),"")</f>
        <v>JOHAN</v>
      </c>
      <c r="B25" s="35" t="str" cm="1">
        <f t="array" ref="B2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PAOLA SANTOS</v>
      </c>
      <c r="C25" s="37">
        <f>IF(D1_ENERO_2026[[#This Row],[RECUPERO]]="","",VLOOKUP($M$3&amp;$N$3&amp;D1_ENERO_2026[[#This Row],[SUPER]],TablaMeta[],6,0))</f>
        <v>24500</v>
      </c>
      <c r="D25" s="36">
        <f>IFERROR(D1_ENERO_2026[[#This Row],[RECUPERO]]/VLOOKUP($M$3&amp;$N$3&amp;D1_ENERO_2026[[#This Row],[SUPER]],TablaMeta[],6,0),"")</f>
        <v>0.58775510204081638</v>
      </c>
      <c r="E25" s="36" t="str">
        <f>IFERROR(VLOOKUP(D1_ENERO_2026[[#This Row],[ASESOR_CRR]],PLANTILLA_ACTUAL[],2,0),"")</f>
        <v>JOHAN</v>
      </c>
      <c r="F25" t="s">
        <v>527</v>
      </c>
      <c r="G25" s="3">
        <v>14400</v>
      </c>
      <c r="H25" t="str">
        <f>VLOOKUP(D1_ENERO_2026[[#This Row],[ASESOR_CRR]],DIM!$C:$E,2,0)</f>
        <v>09668687</v>
      </c>
      <c r="I25" s="59">
        <f>VLOOKUP(D1_ENERO_2026[[#This Row],[ASESOR_CRR]],DIM!$C:$E,3,0)</f>
        <v>46041</v>
      </c>
      <c r="J25" s="59" t="str">
        <f>VLOOKUP(D1_ENERO_2026[[#This Row],[ASESOR_CRR]],PLANTILLA_ACTUAL[],6,0)</f>
        <v>CALL</v>
      </c>
      <c r="K25" s="59"/>
      <c r="L25" s="59"/>
      <c r="M25" s="5">
        <f>IF(DATA_ENERO_2026[[#This Row],[ASER_]]="","",VLOOKUP(DATA_ENERO_2026[[#This Row],[ASER_]],$B:$G,3,0))</f>
        <v>0.65453061224489795</v>
      </c>
      <c r="N25" s="5" t="str" cm="1">
        <f t="array" ref="N25">IF(DATA_ENERO_2026[[#This Row],[ASER_]]="","",IFERROR(_xlfn.IFS(M25&gt;=100%,"&gt;100%",AND(M25&lt;100%,M25&gt;=70%),"&gt;70%",AND(M25&lt;70%,M25&gt;=40%),"&gt;40%",AND(M25&lt;40%,M25&gt;=0%),"&gt;0%"),""))</f>
        <v>&gt;40%</v>
      </c>
      <c r="O25" s="58" t="str">
        <f>IFERROR(VLOOKUP(DATA_ENERO_2026[[#This Row],[ASER_]],$B:$G,4,0),"")</f>
        <v>JOHAN</v>
      </c>
      <c r="P25" s="6">
        <f>IF(DATA_ENERO_2026[[#This Row],[SUPERVISOR]]="","",VLOOKUP(DATA_ENERO_2026[[#This Row],[ASER_]],$B:$G,6,0))</f>
        <v>16036</v>
      </c>
      <c r="Q25" s="6">
        <f>VLOOKUP(DATA_ENERO_2026[[#This Row],[ASER_]],D1_ENERO_2026[[ASESOR_CRR]:[META]],2,0)</f>
        <v>24500</v>
      </c>
      <c r="R25" t="s">
        <v>41</v>
      </c>
      <c r="S25">
        <v>0</v>
      </c>
      <c r="T25">
        <v>1486</v>
      </c>
      <c r="U25">
        <v>0</v>
      </c>
      <c r="V25">
        <v>0</v>
      </c>
      <c r="W25">
        <v>0</v>
      </c>
      <c r="X25">
        <v>200</v>
      </c>
      <c r="Y25">
        <v>2300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10450</v>
      </c>
      <c r="AJ25">
        <v>0</v>
      </c>
      <c r="AK25">
        <v>0</v>
      </c>
      <c r="AL25">
        <v>1000</v>
      </c>
      <c r="AM25">
        <v>0</v>
      </c>
      <c r="AN25">
        <v>0</v>
      </c>
      <c r="AO25" t="str">
        <f>VLOOKUP($M$3&amp;$N$3&amp;DATA_ENERO_2026[[#This Row],[SUPERVISOR]],TablaMeta[],7,0)</f>
        <v>S2-3-4</v>
      </c>
    </row>
    <row r="26" spans="1:68" x14ac:dyDescent="0.25">
      <c r="A26" s="35" t="str">
        <f>IFERROR(VLOOKUP(D1_ENERO_2026[[#This Row],[ASESOR_CRR]],PLANTILLA_ACTUAL[],2,0),"")</f>
        <v>JOHAN</v>
      </c>
      <c r="B26" s="35" t="str" cm="1">
        <f t="array" ref="B2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DARYL FERREL</v>
      </c>
      <c r="C26" s="37">
        <f>IF(D1_ENERO_2026[[#This Row],[RECUPERO]]="","",VLOOKUP($M$3&amp;$N$3&amp;D1_ENERO_2026[[#This Row],[SUPER]],TablaMeta[],6,0))</f>
        <v>24500</v>
      </c>
      <c r="D26" s="36">
        <f>IFERROR(D1_ENERO_2026[[#This Row],[RECUPERO]]/VLOOKUP($M$3&amp;$N$3&amp;D1_ENERO_2026[[#This Row],[SUPER]],TablaMeta[],6,0),"")</f>
        <v>0.43420408163265306</v>
      </c>
      <c r="E26" s="36" t="str">
        <f>IFERROR(VLOOKUP(D1_ENERO_2026[[#This Row],[ASESOR_CRR]],PLANTILLA_ACTUAL[],2,0),"")</f>
        <v>JOHAN</v>
      </c>
      <c r="F26" t="s">
        <v>40</v>
      </c>
      <c r="G26" s="3">
        <v>10638</v>
      </c>
      <c r="H26" t="str">
        <f>VLOOKUP(D1_ENERO_2026[[#This Row],[ASESOR_CRR]],DIM!$C:$E,2,0)</f>
        <v>60976055</v>
      </c>
      <c r="I26" s="59">
        <f>VLOOKUP(D1_ENERO_2026[[#This Row],[ASESOR_CRR]],DIM!$C:$E,3,0)</f>
        <v>45433</v>
      </c>
      <c r="J26" s="59" t="str">
        <f>VLOOKUP(D1_ENERO_2026[[#This Row],[ASESOR_CRR]],PLANTILLA_ACTUAL[],6,0)</f>
        <v>CALL</v>
      </c>
      <c r="K26" s="59"/>
      <c r="L26" s="59"/>
      <c r="M26" s="5">
        <f>IF(DATA_ENERO_2026[[#This Row],[ASER_]]="","",VLOOKUP(DATA_ENERO_2026[[#This Row],[ASER_]],$B:$G,3,0))</f>
        <v>0.71142857142857141</v>
      </c>
      <c r="N26" s="5" t="str" cm="1">
        <f t="array" ref="N26">IF(DATA_ENERO_2026[[#This Row],[ASER_]]="","",IFERROR(_xlfn.IFS(M26&gt;=100%,"&gt;100%",AND(M26&lt;100%,M26&gt;=70%),"&gt;70%",AND(M26&lt;70%,M26&gt;=40%),"&gt;40%",AND(M26&lt;40%,M26&gt;=0%),"&gt;0%"),""))</f>
        <v>&gt;70%</v>
      </c>
      <c r="O26" s="58" t="str">
        <f>IFERROR(VLOOKUP(DATA_ENERO_2026[[#This Row],[ASER_]],$B:$G,4,0),"")</f>
        <v>JOHAN</v>
      </c>
      <c r="P26" s="6">
        <f>IF(DATA_ENERO_2026[[#This Row],[SUPERVISOR]]="","",VLOOKUP(DATA_ENERO_2026[[#This Row],[ASER_]],$B:$G,6,0))</f>
        <v>17430</v>
      </c>
      <c r="Q26" s="6">
        <f>VLOOKUP(DATA_ENERO_2026[[#This Row],[ASER_]],D1_ENERO_2026[[ASESOR_CRR]:[META]],2,0)</f>
        <v>24500</v>
      </c>
      <c r="R26" t="s">
        <v>73</v>
      </c>
      <c r="S26">
        <v>0</v>
      </c>
      <c r="T26">
        <v>600</v>
      </c>
      <c r="U26">
        <v>0</v>
      </c>
      <c r="V26">
        <v>0</v>
      </c>
      <c r="W26">
        <v>0</v>
      </c>
      <c r="X26">
        <v>2500</v>
      </c>
      <c r="Y26">
        <v>1500</v>
      </c>
      <c r="Z26">
        <v>0</v>
      </c>
      <c r="AA26">
        <v>0</v>
      </c>
      <c r="AB26">
        <v>3200</v>
      </c>
      <c r="AC26">
        <v>1600</v>
      </c>
      <c r="AD26">
        <v>250</v>
      </c>
      <c r="AE26">
        <v>0</v>
      </c>
      <c r="AF26">
        <v>600</v>
      </c>
      <c r="AG26">
        <v>2000</v>
      </c>
      <c r="AH26">
        <v>300</v>
      </c>
      <c r="AI26">
        <v>0</v>
      </c>
      <c r="AJ26">
        <v>0</v>
      </c>
      <c r="AK26">
        <v>0</v>
      </c>
      <c r="AL26">
        <v>0</v>
      </c>
      <c r="AM26">
        <v>4880</v>
      </c>
      <c r="AN26">
        <v>0</v>
      </c>
      <c r="AO26" t="str">
        <f>VLOOKUP($M$3&amp;$N$3&amp;DATA_ENERO_2026[[#This Row],[SUPERVISOR]],TablaMeta[],7,0)</f>
        <v>S2-3-4</v>
      </c>
    </row>
    <row r="27" spans="1:68" x14ac:dyDescent="0.25">
      <c r="A27" s="35" t="str">
        <f>IFERROR(VLOOKUP(D1_ENERO_2026[[#This Row],[ASESOR_CRR]],PLANTILLA_ACTUAL[],2,0),"")</f>
        <v>JOHAN</v>
      </c>
      <c r="B27" s="35" t="str" cm="1">
        <f t="array" ref="B2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ELVIS GUERRERA</v>
      </c>
      <c r="C27" s="37">
        <f>IF(D1_ENERO_2026[[#This Row],[RECUPERO]]="","",VLOOKUP($M$3&amp;$N$3&amp;D1_ENERO_2026[[#This Row],[SUPER]],TablaMeta[],6,0))</f>
        <v>24500</v>
      </c>
      <c r="D27" s="36">
        <f>IFERROR(D1_ENERO_2026[[#This Row],[RECUPERO]]/VLOOKUP($M$3&amp;$N$3&amp;D1_ENERO_2026[[#This Row],[SUPER]],TablaMeta[],6,0),"")</f>
        <v>0.27065306122448979</v>
      </c>
      <c r="E27" s="36" t="str">
        <f>IFERROR(VLOOKUP(D1_ENERO_2026[[#This Row],[ASESOR_CRR]],PLANTILLA_ACTUAL[],2,0),"")</f>
        <v>JOHAN</v>
      </c>
      <c r="F27" t="s">
        <v>577</v>
      </c>
      <c r="G27" s="3">
        <v>6631</v>
      </c>
      <c r="H27" t="str">
        <f>VLOOKUP(D1_ENERO_2026[[#This Row],[ASESOR_CRR]],DIM!$C:$E,2,0)</f>
        <v>44883074</v>
      </c>
      <c r="I27" s="59">
        <f>VLOOKUP(D1_ENERO_2026[[#This Row],[ASESOR_CRR]],DIM!$C:$E,3,0)</f>
        <v>46038</v>
      </c>
      <c r="J27" s="59" t="str">
        <f>VLOOKUP(D1_ENERO_2026[[#This Row],[ASESOR_CRR]],PLANTILLA_ACTUAL[],6,0)</f>
        <v>CALL</v>
      </c>
      <c r="K27" s="59"/>
      <c r="L27" s="59"/>
      <c r="M27" s="5">
        <f>IF(DATA_ENERO_2026[[#This Row],[ASER_]]="","",VLOOKUP(DATA_ENERO_2026[[#This Row],[ASER_]],$B:$G,3,0))</f>
        <v>1.0128571428571429</v>
      </c>
      <c r="N27" s="5" t="str" cm="1">
        <f t="array" ref="N27">IF(DATA_ENERO_2026[[#This Row],[ASER_]]="","",IFERROR(_xlfn.IFS(M27&gt;=100%,"&gt;100%",AND(M27&lt;100%,M27&gt;=70%),"&gt;70%",AND(M27&lt;70%,M27&gt;=40%),"&gt;40%",AND(M27&lt;40%,M27&gt;=0%),"&gt;0%"),""))</f>
        <v>&gt;100%</v>
      </c>
      <c r="O27" s="58" t="str">
        <f>IFERROR(VLOOKUP(DATA_ENERO_2026[[#This Row],[ASER_]],$B:$G,4,0),"")</f>
        <v>JOHAN</v>
      </c>
      <c r="P27" s="6">
        <f>IF(DATA_ENERO_2026[[#This Row],[SUPERVISOR]]="","",VLOOKUP(DATA_ENERO_2026[[#This Row],[ASER_]],$B:$G,6,0))</f>
        <v>24815</v>
      </c>
      <c r="Q27" s="6">
        <f>VLOOKUP(DATA_ENERO_2026[[#This Row],[ASER_]],D1_ENERO_2026[[ASESOR_CRR]:[META]],2,0)</f>
        <v>24500</v>
      </c>
      <c r="R27" t="s">
        <v>174</v>
      </c>
      <c r="S27" s="46">
        <v>0</v>
      </c>
      <c r="T27">
        <v>800</v>
      </c>
      <c r="U27">
        <v>1000</v>
      </c>
      <c r="V27">
        <v>0</v>
      </c>
      <c r="W27">
        <v>1500</v>
      </c>
      <c r="X27">
        <v>700</v>
      </c>
      <c r="Y27">
        <v>1000</v>
      </c>
      <c r="Z27">
        <v>500</v>
      </c>
      <c r="AA27">
        <v>0</v>
      </c>
      <c r="AB27">
        <v>5000</v>
      </c>
      <c r="AC27">
        <v>1395</v>
      </c>
      <c r="AD27">
        <v>0</v>
      </c>
      <c r="AE27">
        <v>3500</v>
      </c>
      <c r="AF27">
        <v>0</v>
      </c>
      <c r="AG27">
        <v>230</v>
      </c>
      <c r="AH27">
        <v>0</v>
      </c>
      <c r="AI27">
        <v>6330</v>
      </c>
      <c r="AJ27">
        <v>2000</v>
      </c>
      <c r="AK27">
        <v>200</v>
      </c>
      <c r="AL27">
        <v>0</v>
      </c>
      <c r="AM27">
        <v>660</v>
      </c>
      <c r="AN27">
        <v>0</v>
      </c>
      <c r="AO27" t="str">
        <f>VLOOKUP($M$3&amp;$N$3&amp;DATA_ENERO_2026[[#This Row],[SUPERVISOR]],TablaMeta[],7,0)</f>
        <v>S2-3-4</v>
      </c>
    </row>
    <row r="28" spans="1:68" x14ac:dyDescent="0.25">
      <c r="A28" s="35" t="str">
        <f>IFERROR(VLOOKUP(D1_ENERO_2026[[#This Row],[ASESOR_CRR]],PLANTILLA_ACTUAL[],2,0),"")</f>
        <v>JOHAN</v>
      </c>
      <c r="B28" s="35" t="str" cm="1">
        <f t="array" ref="B2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MAYRA AVALOS</v>
      </c>
      <c r="C28" s="37">
        <f>IF(D1_ENERO_2026[[#This Row],[RECUPERO]]="","",VLOOKUP($M$3&amp;$N$3&amp;D1_ENERO_2026[[#This Row],[SUPER]],TablaMeta[],6,0))</f>
        <v>24500</v>
      </c>
      <c r="D28" s="36">
        <f>IFERROR(D1_ENERO_2026[[#This Row],[RECUPERO]]/VLOOKUP($M$3&amp;$N$3&amp;D1_ENERO_2026[[#This Row],[SUPER]],TablaMeta[],6,0),"")</f>
        <v>0.20714285714285716</v>
      </c>
      <c r="E28" s="36" t="str">
        <f>IFERROR(VLOOKUP(D1_ENERO_2026[[#This Row],[ASESOR_CRR]],PLANTILLA_ACTUAL[],2,0),"")</f>
        <v>JOHAN</v>
      </c>
      <c r="F28" t="s">
        <v>55</v>
      </c>
      <c r="G28" s="3">
        <v>5075</v>
      </c>
      <c r="H28" t="str">
        <f>VLOOKUP(D1_ENERO_2026[[#This Row],[ASESOR_CRR]],DIM!$C:$E,2,0)</f>
        <v>45119892</v>
      </c>
      <c r="I28" s="59">
        <f>VLOOKUP(D1_ENERO_2026[[#This Row],[ASESOR_CRR]],DIM!$C:$E,3,0)</f>
        <v>45813</v>
      </c>
      <c r="J28" s="59" t="str">
        <f>VLOOKUP(D1_ENERO_2026[[#This Row],[ASESOR_CRR]],PLANTILLA_ACTUAL[],6,0)</f>
        <v>CALL</v>
      </c>
      <c r="K28" s="59"/>
      <c r="L28" s="59"/>
      <c r="M28" s="5">
        <f>IF(DATA_ENERO_2026[[#This Row],[ASER_]]="","",VLOOKUP(DATA_ENERO_2026[[#This Row],[ASER_]],$B:$G,3,0))</f>
        <v>1.2057142857142857</v>
      </c>
      <c r="N28" s="5" t="str" cm="1">
        <f t="array" ref="N28">IF(DATA_ENERO_2026[[#This Row],[ASER_]]="","",IFERROR(_xlfn.IFS(M28&gt;=100%,"&gt;100%",AND(M28&lt;100%,M28&gt;=70%),"&gt;70%",AND(M28&lt;70%,M28&gt;=40%),"&gt;40%",AND(M28&lt;40%,M28&gt;=0%),"&gt;0%"),""))</f>
        <v>&gt;100%</v>
      </c>
      <c r="O28" s="58" t="str">
        <f>IFERROR(VLOOKUP(DATA_ENERO_2026[[#This Row],[ASER_]],$B:$G,4,0),"")</f>
        <v>JOHAN</v>
      </c>
      <c r="P28" s="6">
        <f>IF(DATA_ENERO_2026[[#This Row],[SUPERVISOR]]="","",VLOOKUP(DATA_ENERO_2026[[#This Row],[ASER_]],$B:$G,6,0))</f>
        <v>29540</v>
      </c>
      <c r="Q28" s="6">
        <f>VLOOKUP(DATA_ENERO_2026[[#This Row],[ASER_]],D1_ENERO_2026[[ASESOR_CRR]:[META]],2,0)</f>
        <v>24500</v>
      </c>
      <c r="R28" t="s">
        <v>109</v>
      </c>
      <c r="S28" s="46">
        <v>0</v>
      </c>
      <c r="T28">
        <v>1200</v>
      </c>
      <c r="U28">
        <v>2000</v>
      </c>
      <c r="V28">
        <v>4000</v>
      </c>
      <c r="W28">
        <v>0</v>
      </c>
      <c r="X28">
        <v>0</v>
      </c>
      <c r="Y28">
        <v>3000</v>
      </c>
      <c r="Z28">
        <v>1000</v>
      </c>
      <c r="AA28">
        <v>3000</v>
      </c>
      <c r="AB28">
        <v>200</v>
      </c>
      <c r="AC28">
        <v>0</v>
      </c>
      <c r="AD28">
        <v>0</v>
      </c>
      <c r="AE28">
        <v>1000</v>
      </c>
      <c r="AF28">
        <v>3000</v>
      </c>
      <c r="AG28">
        <v>0</v>
      </c>
      <c r="AH28">
        <v>0</v>
      </c>
      <c r="AI28">
        <v>1500</v>
      </c>
      <c r="AJ28">
        <v>3340</v>
      </c>
      <c r="AK28">
        <v>0</v>
      </c>
      <c r="AL28">
        <v>3000</v>
      </c>
      <c r="AM28">
        <v>1300</v>
      </c>
      <c r="AN28">
        <v>0</v>
      </c>
      <c r="AO28" t="str">
        <f>VLOOKUP($M$3&amp;$N$3&amp;DATA_ENERO_2026[[#This Row],[SUPERVISOR]],TablaMeta[],7,0)</f>
        <v>S2-3-4</v>
      </c>
    </row>
    <row r="29" spans="1:68" x14ac:dyDescent="0.25">
      <c r="A29" s="35" t="str">
        <f>IFERROR(VLOOKUP(D1_ENERO_2026[[#This Row],[ASESOR_CRR]],PLANTILLA_ACTUAL[],2,0),"")</f>
        <v>MELINA</v>
      </c>
      <c r="B29" s="35" t="str" cm="1">
        <f t="array" ref="B2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PIERINA TESEN</v>
      </c>
      <c r="C29" s="37">
        <f>IF(D1_ENERO_2026[[#This Row],[RECUPERO]]="","",VLOOKUP($M$3&amp;$N$3&amp;D1_ENERO_2026[[#This Row],[SUPER]],TablaMeta[],6,0))</f>
        <v>48000</v>
      </c>
      <c r="D29" s="36">
        <f>IFERROR(D1_ENERO_2026[[#This Row],[RECUPERO]]/VLOOKUP($M$3&amp;$N$3&amp;D1_ENERO_2026[[#This Row],[SUPER]],TablaMeta[],6,0),"")</f>
        <v>2.0449583333333332</v>
      </c>
      <c r="E29" s="36" t="str">
        <f>IFERROR(VLOOKUP(D1_ENERO_2026[[#This Row],[ASESOR_CRR]],PLANTILLA_ACTUAL[],2,0),"")</f>
        <v>MELINA</v>
      </c>
      <c r="F29" t="s">
        <v>59</v>
      </c>
      <c r="G29" s="3">
        <v>98158</v>
      </c>
      <c r="H29" t="str">
        <f>VLOOKUP(D1_ENERO_2026[[#This Row],[ASESOR_CRR]],DIM!$C:$E,2,0)</f>
        <v>60870839</v>
      </c>
      <c r="I29" s="59">
        <f>VLOOKUP(D1_ENERO_2026[[#This Row],[ASESOR_CRR]],DIM!$C:$E,3,0)</f>
        <v>45344</v>
      </c>
      <c r="J29" s="59" t="str">
        <f>VLOOKUP(D1_ENERO_2026[[#This Row],[ASESOR_CRR]],PLANTILLA_ACTUAL[],6,0)</f>
        <v>CALL</v>
      </c>
      <c r="K29" s="59"/>
      <c r="L29" s="59"/>
      <c r="M29" s="5">
        <f>IF(DATA_ENERO_2026[[#This Row],[ASER_]]="","",VLOOKUP(DATA_ENERO_2026[[#This Row],[ASER_]],$B:$G,3,0))</f>
        <v>1.1670204081632654</v>
      </c>
      <c r="N29" s="5" t="str" cm="1">
        <f t="array" ref="N29">IF(DATA_ENERO_2026[[#This Row],[ASER_]]="","",IFERROR(_xlfn.IFS(M29&gt;=100%,"&gt;100%",AND(M29&lt;100%,M29&gt;=70%),"&gt;70%",AND(M29&lt;70%,M29&gt;=40%),"&gt;40%",AND(M29&lt;40%,M29&gt;=0%),"&gt;0%"),""))</f>
        <v>&gt;100%</v>
      </c>
      <c r="O29" s="58" t="str">
        <f>IFERROR(VLOOKUP(DATA_ENERO_2026[[#This Row],[ASER_]],$B:$G,4,0),"")</f>
        <v>JOHAN</v>
      </c>
      <c r="P29" s="6">
        <f>IF(DATA_ENERO_2026[[#This Row],[SUPERVISOR]]="","",VLOOKUP(DATA_ENERO_2026[[#This Row],[ASER_]],$B:$G,6,0))</f>
        <v>28592</v>
      </c>
      <c r="Q29" s="6">
        <f>VLOOKUP(DATA_ENERO_2026[[#This Row],[ASER_]],D1_ENERO_2026[[ASESOR_CRR]:[META]],2,0)</f>
        <v>24500</v>
      </c>
      <c r="R29" t="s">
        <v>209</v>
      </c>
      <c r="S29" s="46">
        <v>0</v>
      </c>
      <c r="T29">
        <v>0</v>
      </c>
      <c r="U29">
        <v>0</v>
      </c>
      <c r="V29">
        <v>4000</v>
      </c>
      <c r="W29">
        <v>0</v>
      </c>
      <c r="X29">
        <v>0</v>
      </c>
      <c r="Y29">
        <v>0</v>
      </c>
      <c r="Z29">
        <v>1300</v>
      </c>
      <c r="AA29">
        <v>150</v>
      </c>
      <c r="AB29">
        <v>5920</v>
      </c>
      <c r="AC29">
        <v>1000</v>
      </c>
      <c r="AD29">
        <v>1150</v>
      </c>
      <c r="AE29">
        <v>0</v>
      </c>
      <c r="AF29">
        <v>220</v>
      </c>
      <c r="AG29">
        <v>552</v>
      </c>
      <c r="AH29">
        <v>0</v>
      </c>
      <c r="AI29">
        <v>500</v>
      </c>
      <c r="AJ29">
        <v>300</v>
      </c>
      <c r="AK29">
        <v>850</v>
      </c>
      <c r="AL29">
        <v>5000</v>
      </c>
      <c r="AM29">
        <v>7650</v>
      </c>
      <c r="AN29">
        <v>0</v>
      </c>
      <c r="AO29" t="str">
        <f>VLOOKUP($M$3&amp;$N$3&amp;DATA_ENERO_2026[[#This Row],[SUPERVISOR]],TablaMeta[],7,0)</f>
        <v>S2-3-4</v>
      </c>
    </row>
    <row r="30" spans="1:68" x14ac:dyDescent="0.25">
      <c r="A30" s="35" t="str">
        <f>IFERROR(VLOOKUP(D1_ENERO_2026[[#This Row],[ASESOR_CRR]],PLANTILLA_ACTUAL[],2,0),"")</f>
        <v>MELINA</v>
      </c>
      <c r="B30" s="35" t="str" cm="1">
        <f t="array" ref="B3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ANALUCIA PONCE</v>
      </c>
      <c r="C30" s="37">
        <f>IF(D1_ENERO_2026[[#This Row],[RECUPERO]]="","",VLOOKUP($M$3&amp;$N$3&amp;D1_ENERO_2026[[#This Row],[SUPER]],TablaMeta[],6,0))</f>
        <v>48000</v>
      </c>
      <c r="D30" s="36">
        <f>IFERROR(D1_ENERO_2026[[#This Row],[RECUPERO]]/VLOOKUP($M$3&amp;$N$3&amp;D1_ENERO_2026[[#This Row],[SUPER]],TablaMeta[],6,0),"")</f>
        <v>1.3685416666666668</v>
      </c>
      <c r="E30" s="36" t="str">
        <f>IFERROR(VLOOKUP(D1_ENERO_2026[[#This Row],[ASESOR_CRR]],PLANTILLA_ACTUAL[],2,0),"")</f>
        <v>MELINA</v>
      </c>
      <c r="F30" t="s">
        <v>60</v>
      </c>
      <c r="G30" s="3">
        <v>65690</v>
      </c>
      <c r="H30" t="str">
        <f>VLOOKUP(D1_ENERO_2026[[#This Row],[ASESOR_CRR]],DIM!$C:$E,2,0)</f>
        <v>72839865</v>
      </c>
      <c r="I30" s="59">
        <f>VLOOKUP(D1_ENERO_2026[[#This Row],[ASESOR_CRR]],DIM!$C:$E,3,0)</f>
        <v>45854</v>
      </c>
      <c r="J30" s="59" t="str">
        <f>VLOOKUP(D1_ENERO_2026[[#This Row],[ASESOR_CRR]],PLANTILLA_ACTUAL[],6,0)</f>
        <v>CALL</v>
      </c>
      <c r="K30" s="59"/>
      <c r="L30" s="59"/>
      <c r="M30" s="5">
        <f>IF(DATA_ENERO_2026[[#This Row],[ASER_]]="","",VLOOKUP(DATA_ENERO_2026[[#This Row],[ASER_]],$B:$G,3,0))</f>
        <v>0.58775510204081638</v>
      </c>
      <c r="N30" s="5" t="str" cm="1">
        <f t="array" ref="N30">IF(DATA_ENERO_2026[[#This Row],[ASER_]]="","",IFERROR(_xlfn.IFS(M30&gt;=100%,"&gt;100%",AND(M30&lt;100%,M30&gt;=70%),"&gt;70%",AND(M30&lt;70%,M30&gt;=40%),"&gt;40%",AND(M30&lt;40%,M30&gt;=0%),"&gt;0%"),""))</f>
        <v>&gt;40%</v>
      </c>
      <c r="O30" s="58" t="str">
        <f>IFERROR(VLOOKUP(DATA_ENERO_2026[[#This Row],[ASER_]],$B:$G,4,0),"")</f>
        <v>JOHAN</v>
      </c>
      <c r="P30" s="6">
        <f>IF(DATA_ENERO_2026[[#This Row],[SUPERVISOR]]="","",VLOOKUP(DATA_ENERO_2026[[#This Row],[ASER_]],$B:$G,6,0))</f>
        <v>14400</v>
      </c>
      <c r="Q30" s="6">
        <f>VLOOKUP(DATA_ENERO_2026[[#This Row],[ASER_]],D1_ENERO_2026[[ASESOR_CRR]:[META]],2,0)</f>
        <v>24500</v>
      </c>
      <c r="R30" t="s">
        <v>527</v>
      </c>
      <c r="S30" s="46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3300</v>
      </c>
      <c r="AG30">
        <v>0</v>
      </c>
      <c r="AH30">
        <v>2700</v>
      </c>
      <c r="AI30">
        <v>900</v>
      </c>
      <c r="AJ30">
        <v>0</v>
      </c>
      <c r="AK30">
        <v>1500</v>
      </c>
      <c r="AL30">
        <v>5000</v>
      </c>
      <c r="AM30">
        <v>1000</v>
      </c>
      <c r="AN30">
        <v>0</v>
      </c>
      <c r="AO30" t="str">
        <f>VLOOKUP($M$3&amp;$N$3&amp;DATA_ENERO_2026[[#This Row],[SUPERVISOR]],TablaMeta[],7,0)</f>
        <v>S2-3-4</v>
      </c>
    </row>
    <row r="31" spans="1:68" x14ac:dyDescent="0.25">
      <c r="A31" s="35" t="str">
        <f>IFERROR(VLOOKUP(D1_ENERO_2026[[#This Row],[ASESOR_CRR]],PLANTILLA_ACTUAL[],2,0),"")</f>
        <v>MELINA</v>
      </c>
      <c r="B31" s="35" t="str" cm="1">
        <f t="array" ref="B3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VERONICA TASAYCO</v>
      </c>
      <c r="C31" s="37">
        <f>IF(D1_ENERO_2026[[#This Row],[RECUPERO]]="","",VLOOKUP($M$3&amp;$N$3&amp;D1_ENERO_2026[[#This Row],[SUPER]],TablaMeta[],6,0))</f>
        <v>48000</v>
      </c>
      <c r="D31" s="36">
        <f>IFERROR(D1_ENERO_2026[[#This Row],[RECUPERO]]/VLOOKUP($M$3&amp;$N$3&amp;D1_ENERO_2026[[#This Row],[SUPER]],TablaMeta[],6,0),"")</f>
        <v>1.3423750000000001</v>
      </c>
      <c r="E31" s="36" t="str">
        <f>IFERROR(VLOOKUP(D1_ENERO_2026[[#This Row],[ASESOR_CRR]],PLANTILLA_ACTUAL[],2,0),"")</f>
        <v>MELINA</v>
      </c>
      <c r="F31" t="s">
        <v>10</v>
      </c>
      <c r="G31" s="3">
        <v>64434</v>
      </c>
      <c r="H31" t="str">
        <f>VLOOKUP(D1_ENERO_2026[[#This Row],[ASESOR_CRR]],DIM!$C:$E,2,0)</f>
        <v>40980108</v>
      </c>
      <c r="I31" s="59">
        <f>VLOOKUP(D1_ENERO_2026[[#This Row],[ASESOR_CRR]],DIM!$C:$E,3,0)</f>
        <v>44704</v>
      </c>
      <c r="J31" s="59" t="str">
        <f>VLOOKUP(D1_ENERO_2026[[#This Row],[ASESOR_CRR]],PLANTILLA_ACTUAL[],6,0)</f>
        <v>CALL</v>
      </c>
      <c r="K31" s="59"/>
      <c r="L31" s="59"/>
      <c r="M31" s="5">
        <f>IF(DATA_ENERO_2026[[#This Row],[ASER_]]="","",VLOOKUP(DATA_ENERO_2026[[#This Row],[ASER_]],$B:$G,3,0))</f>
        <v>0.27065306122448979</v>
      </c>
      <c r="N31" s="5" t="str" cm="1">
        <f t="array" ref="N31">IF(DATA_ENERO_2026[[#This Row],[ASER_]]="","",IFERROR(_xlfn.IFS(M31&gt;=100%,"&gt;100%",AND(M31&lt;100%,M31&gt;=70%),"&gt;70%",AND(M31&lt;70%,M31&gt;=40%),"&gt;40%",AND(M31&lt;40%,M31&gt;=0%),"&gt;0%"),""))</f>
        <v>&gt;0%</v>
      </c>
      <c r="O31" s="58" t="str">
        <f>IFERROR(VLOOKUP(DATA_ENERO_2026[[#This Row],[ASER_]],$B:$G,4,0),"")</f>
        <v>JOHAN</v>
      </c>
      <c r="P31" s="6">
        <f>IF(DATA_ENERO_2026[[#This Row],[SUPERVISOR]]="","",VLOOKUP(DATA_ENERO_2026[[#This Row],[ASER_]],$B:$G,6,0))</f>
        <v>6631</v>
      </c>
      <c r="Q31" s="6">
        <f>VLOOKUP(DATA_ENERO_2026[[#This Row],[ASER_]],D1_ENERO_2026[[ASESOR_CRR]:[META]],2,0)</f>
        <v>24500</v>
      </c>
      <c r="R31" t="s">
        <v>404</v>
      </c>
      <c r="S31" s="46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1900</v>
      </c>
      <c r="AF31">
        <v>0</v>
      </c>
      <c r="AG31">
        <v>0</v>
      </c>
      <c r="AH31">
        <v>0</v>
      </c>
      <c r="AI31">
        <v>500</v>
      </c>
      <c r="AJ31">
        <v>0</v>
      </c>
      <c r="AK31">
        <v>1300</v>
      </c>
      <c r="AL31">
        <v>231</v>
      </c>
      <c r="AM31">
        <v>1700</v>
      </c>
      <c r="AN31">
        <v>0</v>
      </c>
      <c r="AO31" t="str">
        <f>VLOOKUP($M$3&amp;$N$3&amp;DATA_ENERO_2026[[#This Row],[SUPERVISOR]],TablaMeta[],7,0)</f>
        <v>S2-3-4</v>
      </c>
    </row>
    <row r="32" spans="1:68" x14ac:dyDescent="0.25">
      <c r="A32" s="35" t="str">
        <f>IFERROR(VLOOKUP(D1_ENERO_2026[[#This Row],[ASESOR_CRR]],PLANTILLA_ACTUAL[],2,0),"")</f>
        <v>MELINA</v>
      </c>
      <c r="B32" s="35" t="str" cm="1">
        <f t="array" ref="B3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MARIA TINTAYA</v>
      </c>
      <c r="C32" s="37">
        <f>IF(D1_ENERO_2026[[#This Row],[RECUPERO]]="","",VLOOKUP($M$3&amp;$N$3&amp;D1_ENERO_2026[[#This Row],[SUPER]],TablaMeta[],6,0))</f>
        <v>48000</v>
      </c>
      <c r="D32" s="36">
        <f>IFERROR(D1_ENERO_2026[[#This Row],[RECUPERO]]/VLOOKUP($M$3&amp;$N$3&amp;D1_ENERO_2026[[#This Row],[SUPER]],TablaMeta[],6,0),"")</f>
        <v>1.2305833333333334</v>
      </c>
      <c r="E32" s="36" t="str">
        <f>IFERROR(VLOOKUP(D1_ENERO_2026[[#This Row],[ASESOR_CRR]],PLANTILLA_ACTUAL[],2,0),"")</f>
        <v>MELINA</v>
      </c>
      <c r="F32" t="s">
        <v>75</v>
      </c>
      <c r="G32" s="3">
        <v>59068</v>
      </c>
      <c r="H32" t="str">
        <f>VLOOKUP(D1_ENERO_2026[[#This Row],[ASESOR_CRR]],DIM!$C:$E,2,0)</f>
        <v>71264767</v>
      </c>
      <c r="I32" s="59">
        <f>VLOOKUP(D1_ENERO_2026[[#This Row],[ASESOR_CRR]],DIM!$C:$E,3,0)</f>
        <v>44714</v>
      </c>
      <c r="J32" s="59" t="str">
        <f>VLOOKUP(D1_ENERO_2026[[#This Row],[ASESOR_CRR]],PLANTILLA_ACTUAL[],6,0)</f>
        <v>CALL</v>
      </c>
      <c r="K32" s="59"/>
      <c r="L32" s="59"/>
      <c r="M32" s="5">
        <f>IF(DATA_ENERO_2026[[#This Row],[ASER_]]="","",VLOOKUP(DATA_ENERO_2026[[#This Row],[ASER_]],$B:$G,3,0))</f>
        <v>2.0449583333333332</v>
      </c>
      <c r="N32" s="5" t="str" cm="1">
        <f t="array" ref="N32">IF(DATA_ENERO_2026[[#This Row],[ASER_]]="","",IFERROR(_xlfn.IFS(M32&gt;=100%,"&gt;100%",AND(M32&lt;100%,M32&gt;=70%),"&gt;70%",AND(M32&lt;70%,M32&gt;=40%),"&gt;40%",AND(M32&lt;40%,M32&gt;=0%),"&gt;0%"),""))</f>
        <v>&gt;100%</v>
      </c>
      <c r="O32" s="58" t="str">
        <f>IFERROR(VLOOKUP(DATA_ENERO_2026[[#This Row],[ASER_]],$B:$G,4,0),"")</f>
        <v>MELINA</v>
      </c>
      <c r="P32" s="6">
        <f>IF(DATA_ENERO_2026[[#This Row],[SUPERVISOR]]="","",VLOOKUP(DATA_ENERO_2026[[#This Row],[ASER_]],$B:$G,6,0))</f>
        <v>98158</v>
      </c>
      <c r="Q32" s="6">
        <f>VLOOKUP(DATA_ENERO_2026[[#This Row],[ASER_]],D1_ENERO_2026[[ASESOR_CRR]:[META]],2,0)</f>
        <v>48000</v>
      </c>
      <c r="R32" t="s">
        <v>59</v>
      </c>
      <c r="S32">
        <v>10000</v>
      </c>
      <c r="T32">
        <v>2700</v>
      </c>
      <c r="U32">
        <v>1650</v>
      </c>
      <c r="V32">
        <v>0</v>
      </c>
      <c r="W32">
        <v>0</v>
      </c>
      <c r="X32">
        <v>10596</v>
      </c>
      <c r="Y32">
        <v>1000</v>
      </c>
      <c r="Z32">
        <v>0</v>
      </c>
      <c r="AA32">
        <v>0</v>
      </c>
      <c r="AB32">
        <v>5200</v>
      </c>
      <c r="AC32">
        <v>2500</v>
      </c>
      <c r="AD32">
        <v>0</v>
      </c>
      <c r="AE32">
        <v>11400</v>
      </c>
      <c r="AF32">
        <v>0</v>
      </c>
      <c r="AG32">
        <v>4000</v>
      </c>
      <c r="AH32">
        <v>11500</v>
      </c>
      <c r="AI32">
        <v>12340</v>
      </c>
      <c r="AJ32">
        <v>2000</v>
      </c>
      <c r="AK32">
        <v>7100</v>
      </c>
      <c r="AL32">
        <v>5000</v>
      </c>
      <c r="AM32">
        <v>10530</v>
      </c>
      <c r="AN32">
        <v>642</v>
      </c>
      <c r="AO32" t="str">
        <f>VLOOKUP($M$3&amp;$N$3&amp;DATA_ENERO_2026[[#This Row],[SUPERVISOR]],TablaMeta[],7,0)</f>
        <v>S1</v>
      </c>
    </row>
    <row r="33" spans="1:41" x14ac:dyDescent="0.25">
      <c r="A33" s="35" t="str">
        <f>IFERROR(VLOOKUP(D1_ENERO_2026[[#This Row],[ASESOR_CRR]],PLANTILLA_ACTUAL[],2,0),"")</f>
        <v>MELINA</v>
      </c>
      <c r="B33" s="35" t="str" cm="1">
        <f t="array" ref="B3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GENESIS VICUNA</v>
      </c>
      <c r="C33" s="37">
        <f>IF(D1_ENERO_2026[[#This Row],[RECUPERO]]="","",VLOOKUP($M$3&amp;$N$3&amp;D1_ENERO_2026[[#This Row],[SUPER]],TablaMeta[],6,0))</f>
        <v>48000</v>
      </c>
      <c r="D33" s="36">
        <f>IFERROR(D1_ENERO_2026[[#This Row],[RECUPERO]]/VLOOKUP($M$3&amp;$N$3&amp;D1_ENERO_2026[[#This Row],[SUPER]],TablaMeta[],6,0),"")</f>
        <v>0.81270833333333337</v>
      </c>
      <c r="E33" s="36" t="str">
        <f>IFERROR(VLOOKUP(D1_ENERO_2026[[#This Row],[ASESOR_CRR]],PLANTILLA_ACTUAL[],2,0),"")</f>
        <v>MELINA</v>
      </c>
      <c r="F33" t="s">
        <v>12</v>
      </c>
      <c r="G33" s="3">
        <v>39010</v>
      </c>
      <c r="H33" t="str">
        <f>VLOOKUP(D1_ENERO_2026[[#This Row],[ASESOR_CRR]],DIM!$C:$E,2,0)</f>
        <v>45262585</v>
      </c>
      <c r="I33" s="59">
        <f>VLOOKUP(D1_ENERO_2026[[#This Row],[ASESOR_CRR]],DIM!$C:$E,3,0)</f>
        <v>44868</v>
      </c>
      <c r="J33" s="59" t="str">
        <f>VLOOKUP(D1_ENERO_2026[[#This Row],[ASESOR_CRR]],PLANTILLA_ACTUAL[],6,0)</f>
        <v>CALL</v>
      </c>
      <c r="K33" s="59"/>
      <c r="L33" s="59"/>
      <c r="M33" s="5">
        <f>IF(DATA_ENERO_2026[[#This Row],[ASER_]]="","",VLOOKUP(DATA_ENERO_2026[[#This Row],[ASER_]],$B:$G,3,0))</f>
        <v>1.3685416666666668</v>
      </c>
      <c r="N33" s="5" t="str" cm="1">
        <f t="array" ref="N33">IF(DATA_ENERO_2026[[#This Row],[ASER_]]="","",IFERROR(_xlfn.IFS(M33&gt;=100%,"&gt;100%",AND(M33&lt;100%,M33&gt;=70%),"&gt;70%",AND(M33&lt;70%,M33&gt;=40%),"&gt;40%",AND(M33&lt;40%,M33&gt;=0%),"&gt;0%"),""))</f>
        <v>&gt;100%</v>
      </c>
      <c r="O33" s="58" t="str">
        <f>IFERROR(VLOOKUP(DATA_ENERO_2026[[#This Row],[ASER_]],$B:$G,4,0),"")</f>
        <v>MELINA</v>
      </c>
      <c r="P33" s="6">
        <f>IF(DATA_ENERO_2026[[#This Row],[SUPERVISOR]]="","",VLOOKUP(DATA_ENERO_2026[[#This Row],[ASER_]],$B:$G,6,0))</f>
        <v>65690</v>
      </c>
      <c r="Q33" s="6">
        <f>VLOOKUP(DATA_ENERO_2026[[#This Row],[ASER_]],D1_ENERO_2026[[ASESOR_CRR]:[META]],2,0)</f>
        <v>48000</v>
      </c>
      <c r="R33" t="s">
        <v>60</v>
      </c>
      <c r="S33">
        <v>4000</v>
      </c>
      <c r="T33">
        <v>600</v>
      </c>
      <c r="U33">
        <v>3400</v>
      </c>
      <c r="V33">
        <v>2500</v>
      </c>
      <c r="W33">
        <v>0</v>
      </c>
      <c r="X33">
        <v>0</v>
      </c>
      <c r="Y33">
        <v>0</v>
      </c>
      <c r="Z33">
        <v>2500</v>
      </c>
      <c r="AA33">
        <v>3800</v>
      </c>
      <c r="AB33">
        <v>0</v>
      </c>
      <c r="AC33">
        <v>26801</v>
      </c>
      <c r="AD33">
        <v>956</v>
      </c>
      <c r="AE33">
        <v>0</v>
      </c>
      <c r="AF33">
        <v>9100</v>
      </c>
      <c r="AG33">
        <v>5300</v>
      </c>
      <c r="AH33">
        <v>0</v>
      </c>
      <c r="AI33">
        <v>1750</v>
      </c>
      <c r="AJ33">
        <v>0</v>
      </c>
      <c r="AK33">
        <v>3336</v>
      </c>
      <c r="AL33">
        <v>0</v>
      </c>
      <c r="AM33">
        <v>1647</v>
      </c>
      <c r="AN33">
        <v>0</v>
      </c>
      <c r="AO33" t="str">
        <f>VLOOKUP($M$3&amp;$N$3&amp;DATA_ENERO_2026[[#This Row],[SUPERVISOR]],TablaMeta[],7,0)</f>
        <v>S1</v>
      </c>
    </row>
    <row r="34" spans="1:41" x14ac:dyDescent="0.25">
      <c r="A34" s="35" t="str">
        <f>IFERROR(VLOOKUP(D1_ENERO_2026[[#This Row],[ASESOR_CRR]],PLANTILLA_ACTUAL[],2,0),"")</f>
        <v>MELINA</v>
      </c>
      <c r="B34" s="35" t="str" cm="1">
        <f t="array" ref="B3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ALEIDITH GUEVARA</v>
      </c>
      <c r="C34" s="37">
        <f>IF(D1_ENERO_2026[[#This Row],[RECUPERO]]="","",VLOOKUP($M$3&amp;$N$3&amp;D1_ENERO_2026[[#This Row],[SUPER]],TablaMeta[],6,0))</f>
        <v>48000</v>
      </c>
      <c r="D34" s="36">
        <f>IFERROR(D1_ENERO_2026[[#This Row],[RECUPERO]]/VLOOKUP($M$3&amp;$N$3&amp;D1_ENERO_2026[[#This Row],[SUPER]],TablaMeta[],6,0),"")</f>
        <v>0.73239583333333336</v>
      </c>
      <c r="E34" s="36" t="str">
        <f>IFERROR(VLOOKUP(D1_ENERO_2026[[#This Row],[ASESOR_CRR]],PLANTILLA_ACTUAL[],2,0),"")</f>
        <v>MELINA</v>
      </c>
      <c r="F34" t="s">
        <v>18</v>
      </c>
      <c r="G34" s="3">
        <v>35155</v>
      </c>
      <c r="H34" t="str">
        <f>VLOOKUP(D1_ENERO_2026[[#This Row],[ASESOR_CRR]],DIM!$C:$E,2,0)</f>
        <v>76214436</v>
      </c>
      <c r="I34" s="59">
        <f>VLOOKUP(D1_ENERO_2026[[#This Row],[ASESOR_CRR]],DIM!$C:$E,3,0)</f>
        <v>45132</v>
      </c>
      <c r="J34" s="59" t="str">
        <f>VLOOKUP(D1_ENERO_2026[[#This Row],[ASESOR_CRR]],PLANTILLA_ACTUAL[],6,0)</f>
        <v>CALL</v>
      </c>
      <c r="K34" s="59"/>
      <c r="L34" s="59"/>
      <c r="M34" s="5">
        <f>IF(DATA_ENERO_2026[[#This Row],[ASER_]]="","",VLOOKUP(DATA_ENERO_2026[[#This Row],[ASER_]],$B:$G,3,0))</f>
        <v>1.2305833333333334</v>
      </c>
      <c r="N34" s="5" t="str" cm="1">
        <f t="array" ref="N34">IF(DATA_ENERO_2026[[#This Row],[ASER_]]="","",IFERROR(_xlfn.IFS(M34&gt;=100%,"&gt;100%",AND(M34&lt;100%,M34&gt;=70%),"&gt;70%",AND(M34&lt;70%,M34&gt;=40%),"&gt;40%",AND(M34&lt;40%,M34&gt;=0%),"&gt;0%"),""))</f>
        <v>&gt;100%</v>
      </c>
      <c r="O34" s="58" t="str">
        <f>IFERROR(VLOOKUP(DATA_ENERO_2026[[#This Row],[ASER_]],$B:$G,4,0),"")</f>
        <v>MELINA</v>
      </c>
      <c r="P34" s="6">
        <f>IF(DATA_ENERO_2026[[#This Row],[SUPERVISOR]]="","",VLOOKUP(DATA_ENERO_2026[[#This Row],[ASER_]],$B:$G,6,0))</f>
        <v>59068</v>
      </c>
      <c r="Q34" s="6">
        <f>VLOOKUP(DATA_ENERO_2026[[#This Row],[ASER_]],D1_ENERO_2026[[ASESOR_CRR]:[META]],2,0)</f>
        <v>48000</v>
      </c>
      <c r="R34" t="s">
        <v>75</v>
      </c>
      <c r="S34">
        <v>0</v>
      </c>
      <c r="T34">
        <v>3500</v>
      </c>
      <c r="U34">
        <v>0</v>
      </c>
      <c r="V34">
        <v>0</v>
      </c>
      <c r="W34">
        <v>0</v>
      </c>
      <c r="X34">
        <v>10000</v>
      </c>
      <c r="Y34">
        <v>800</v>
      </c>
      <c r="Z34">
        <v>0</v>
      </c>
      <c r="AA34">
        <v>2000</v>
      </c>
      <c r="AB34">
        <v>3500</v>
      </c>
      <c r="AC34">
        <v>5600</v>
      </c>
      <c r="AD34">
        <v>5500</v>
      </c>
      <c r="AE34">
        <v>0</v>
      </c>
      <c r="AF34">
        <v>5520</v>
      </c>
      <c r="AG34">
        <v>1500</v>
      </c>
      <c r="AH34">
        <v>9137</v>
      </c>
      <c r="AI34">
        <v>4600</v>
      </c>
      <c r="AJ34">
        <v>4430</v>
      </c>
      <c r="AK34">
        <v>0</v>
      </c>
      <c r="AL34">
        <v>0</v>
      </c>
      <c r="AM34">
        <v>2531</v>
      </c>
      <c r="AN34">
        <v>450</v>
      </c>
      <c r="AO34" t="str">
        <f>VLOOKUP($M$3&amp;$N$3&amp;DATA_ENERO_2026[[#This Row],[SUPERVISOR]],TablaMeta[],7,0)</f>
        <v>S1</v>
      </c>
    </row>
    <row r="35" spans="1:41" x14ac:dyDescent="0.25">
      <c r="A35" s="35" t="str">
        <f>IFERROR(VLOOKUP(D1_ENERO_2026[[#This Row],[ASESOR_CRR]],PLANTILLA_ACTUAL[],2,0),"")</f>
        <v>MELINA</v>
      </c>
      <c r="B35" s="35" t="str" cm="1">
        <f t="array" ref="B3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JEREMIAS ROJAS</v>
      </c>
      <c r="C35" s="37">
        <f>IF(D1_ENERO_2026[[#This Row],[RECUPERO]]="","",VLOOKUP($M$3&amp;$N$3&amp;D1_ENERO_2026[[#This Row],[SUPER]],TablaMeta[],6,0))</f>
        <v>48000</v>
      </c>
      <c r="D35" s="36">
        <f>IFERROR(D1_ENERO_2026[[#This Row],[RECUPERO]]/VLOOKUP($M$3&amp;$N$3&amp;D1_ENERO_2026[[#This Row],[SUPER]],TablaMeta[],6,0),"")</f>
        <v>0.70343750000000005</v>
      </c>
      <c r="E35" s="36" t="str">
        <f>IFERROR(VLOOKUP(D1_ENERO_2026[[#This Row],[ASESOR_CRR]],PLANTILLA_ACTUAL[],2,0),"")</f>
        <v>MELINA</v>
      </c>
      <c r="F35" t="s">
        <v>122</v>
      </c>
      <c r="G35" s="3">
        <v>33765</v>
      </c>
      <c r="H35" t="str">
        <f>VLOOKUP(D1_ENERO_2026[[#This Row],[ASESOR_CRR]],DIM!$C:$E,2,0)</f>
        <v>76586998</v>
      </c>
      <c r="I35" s="59">
        <f>VLOOKUP(D1_ENERO_2026[[#This Row],[ASESOR_CRR]],DIM!$C:$E,3,0)</f>
        <v>45971</v>
      </c>
      <c r="J35" s="59" t="str">
        <f>VLOOKUP(D1_ENERO_2026[[#This Row],[ASESOR_CRR]],PLANTILLA_ACTUAL[],6,0)</f>
        <v>CALL</v>
      </c>
      <c r="K35" s="59"/>
      <c r="L35" s="59"/>
      <c r="M35" s="5">
        <f>IF(DATA_ENERO_2026[[#This Row],[ASER_]]="","",VLOOKUP(DATA_ENERO_2026[[#This Row],[ASER_]],$B:$G,3,0))</f>
        <v>1.3423750000000001</v>
      </c>
      <c r="N35" s="5" t="str" cm="1">
        <f t="array" ref="N35">IF(DATA_ENERO_2026[[#This Row],[ASER_]]="","",IFERROR(_xlfn.IFS(M35&gt;=100%,"&gt;100%",AND(M35&lt;100%,M35&gt;=70%),"&gt;70%",AND(M35&lt;70%,M35&gt;=40%),"&gt;40%",AND(M35&lt;40%,M35&gt;=0%),"&gt;0%"),""))</f>
        <v>&gt;100%</v>
      </c>
      <c r="O35" s="58" t="str">
        <f>IFERROR(VLOOKUP(DATA_ENERO_2026[[#This Row],[ASER_]],$B:$G,4,0),"")</f>
        <v>MELINA</v>
      </c>
      <c r="P35" s="6">
        <f>IF(DATA_ENERO_2026[[#This Row],[SUPERVISOR]]="","",VLOOKUP(DATA_ENERO_2026[[#This Row],[ASER_]],$B:$G,6,0))</f>
        <v>64434</v>
      </c>
      <c r="Q35" s="6">
        <f>VLOOKUP(DATA_ENERO_2026[[#This Row],[ASER_]],D1_ENERO_2026[[ASESOR_CRR]:[META]],2,0)</f>
        <v>48000</v>
      </c>
      <c r="R35" t="s">
        <v>10</v>
      </c>
      <c r="S35">
        <v>700</v>
      </c>
      <c r="T35">
        <v>8751</v>
      </c>
      <c r="U35">
        <v>0</v>
      </c>
      <c r="V35">
        <v>7000</v>
      </c>
      <c r="W35">
        <v>0</v>
      </c>
      <c r="X35">
        <v>1300</v>
      </c>
      <c r="Y35">
        <v>16100</v>
      </c>
      <c r="Z35">
        <v>0</v>
      </c>
      <c r="AA35">
        <v>0</v>
      </c>
      <c r="AB35">
        <v>2000</v>
      </c>
      <c r="AC35">
        <v>360</v>
      </c>
      <c r="AD35">
        <v>0</v>
      </c>
      <c r="AE35">
        <v>0</v>
      </c>
      <c r="AF35">
        <v>700</v>
      </c>
      <c r="AG35">
        <v>2200</v>
      </c>
      <c r="AH35">
        <v>688</v>
      </c>
      <c r="AI35">
        <v>0</v>
      </c>
      <c r="AJ35">
        <v>0</v>
      </c>
      <c r="AK35">
        <v>200</v>
      </c>
      <c r="AL35">
        <v>0</v>
      </c>
      <c r="AM35">
        <v>12535</v>
      </c>
      <c r="AN35">
        <v>11900</v>
      </c>
      <c r="AO35" t="str">
        <f>VLOOKUP($M$3&amp;$N$3&amp;DATA_ENERO_2026[[#This Row],[SUPERVISOR]],TablaMeta[],7,0)</f>
        <v>S1</v>
      </c>
    </row>
    <row r="36" spans="1:41" x14ac:dyDescent="0.25">
      <c r="A36" s="35" t="str">
        <f>IFERROR(VLOOKUP(D1_ENERO_2026[[#This Row],[ASESOR_CRR]],PLANTILLA_ACTUAL[],2,0),"")</f>
        <v>MELINA</v>
      </c>
      <c r="B36" s="35" t="str" cm="1">
        <f t="array" ref="B3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MARTIN VARGAS</v>
      </c>
      <c r="C36" s="37">
        <f>IF(D1_ENERO_2026[[#This Row],[RECUPERO]]="","",VLOOKUP($M$3&amp;$N$3&amp;D1_ENERO_2026[[#This Row],[SUPER]],TablaMeta[],6,0))</f>
        <v>48000</v>
      </c>
      <c r="D36" s="36">
        <f>IFERROR(D1_ENERO_2026[[#This Row],[RECUPERO]]/VLOOKUP($M$3&amp;$N$3&amp;D1_ENERO_2026[[#This Row],[SUPER]],TablaMeta[],6,0),"")</f>
        <v>0.55810416666666662</v>
      </c>
      <c r="E36" s="36" t="str">
        <f>IFERROR(VLOOKUP(D1_ENERO_2026[[#This Row],[ASESOR_CRR]],PLANTILLA_ACTUAL[],2,0),"")</f>
        <v>MELINA</v>
      </c>
      <c r="F36" t="s">
        <v>208</v>
      </c>
      <c r="G36" s="3">
        <v>26789</v>
      </c>
      <c r="H36" t="str">
        <f>VLOOKUP(D1_ENERO_2026[[#This Row],[ASESOR_CRR]],DIM!$C:$E,2,0)</f>
        <v>47497410</v>
      </c>
      <c r="I36" s="59">
        <f>VLOOKUP(D1_ENERO_2026[[#This Row],[ASESOR_CRR]],DIM!$C:$E,3,0)</f>
        <v>46024</v>
      </c>
      <c r="J36" s="59" t="str">
        <f>VLOOKUP(D1_ENERO_2026[[#This Row],[ASESOR_CRR]],PLANTILLA_ACTUAL[],6,0)</f>
        <v>CALL</v>
      </c>
      <c r="K36" s="59"/>
      <c r="L36" s="59"/>
      <c r="M36" s="5">
        <f>IF(DATA_ENERO_2026[[#This Row],[ASER_]]="","",VLOOKUP(DATA_ENERO_2026[[#This Row],[ASER_]],$B:$G,3,0))</f>
        <v>0.81270833333333337</v>
      </c>
      <c r="N36" s="5" t="str" cm="1">
        <f t="array" ref="N36">IF(DATA_ENERO_2026[[#This Row],[ASER_]]="","",IFERROR(_xlfn.IFS(M36&gt;=100%,"&gt;100%",AND(M36&lt;100%,M36&gt;=70%),"&gt;70%",AND(M36&lt;70%,M36&gt;=40%),"&gt;40%",AND(M36&lt;40%,M36&gt;=0%),"&gt;0%"),""))</f>
        <v>&gt;70%</v>
      </c>
      <c r="O36" s="58" t="str">
        <f>IFERROR(VLOOKUP(DATA_ENERO_2026[[#This Row],[ASER_]],$B:$G,4,0),"")</f>
        <v>MELINA</v>
      </c>
      <c r="P36" s="6">
        <f>IF(DATA_ENERO_2026[[#This Row],[SUPERVISOR]]="","",VLOOKUP(DATA_ENERO_2026[[#This Row],[ASER_]],$B:$G,6,0))</f>
        <v>39010</v>
      </c>
      <c r="Q36" s="6">
        <f>VLOOKUP(DATA_ENERO_2026[[#This Row],[ASER_]],D1_ENERO_2026[[ASESOR_CRR]:[META]],2,0)</f>
        <v>48000</v>
      </c>
      <c r="R36" t="s">
        <v>12</v>
      </c>
      <c r="S36">
        <v>1700</v>
      </c>
      <c r="T36">
        <v>3230</v>
      </c>
      <c r="U36">
        <v>0</v>
      </c>
      <c r="V36">
        <v>6700</v>
      </c>
      <c r="W36">
        <v>2800</v>
      </c>
      <c r="X36">
        <v>750</v>
      </c>
      <c r="Y36">
        <v>0</v>
      </c>
      <c r="Z36">
        <v>6500</v>
      </c>
      <c r="AA36">
        <v>0</v>
      </c>
      <c r="AB36">
        <v>2500</v>
      </c>
      <c r="AC36">
        <v>750</v>
      </c>
      <c r="AD36">
        <v>0</v>
      </c>
      <c r="AE36">
        <v>0</v>
      </c>
      <c r="AF36">
        <v>315</v>
      </c>
      <c r="AG36">
        <v>0</v>
      </c>
      <c r="AH36">
        <v>5000</v>
      </c>
      <c r="AI36">
        <v>150</v>
      </c>
      <c r="AJ36">
        <v>0</v>
      </c>
      <c r="AK36">
        <v>3000</v>
      </c>
      <c r="AL36">
        <v>2300</v>
      </c>
      <c r="AM36">
        <v>1790</v>
      </c>
      <c r="AN36">
        <v>1525</v>
      </c>
      <c r="AO36" t="str">
        <f>VLOOKUP($M$3&amp;$N$3&amp;DATA_ENERO_2026[[#This Row],[SUPERVISOR]],TablaMeta[],7,0)</f>
        <v>S1</v>
      </c>
    </row>
    <row r="37" spans="1:41" x14ac:dyDescent="0.25">
      <c r="A37" s="35" t="str">
        <f>IFERROR(VLOOKUP(D1_ENERO_2026[[#This Row],[ASESOR_CRR]],PLANTILLA_ACTUAL[],2,0),"")</f>
        <v>MELINA</v>
      </c>
      <c r="B37" s="35" t="str" cm="1">
        <f t="array" ref="B3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ERIKA VILLAR</v>
      </c>
      <c r="C37" s="37">
        <f>IF(D1_ENERO_2026[[#This Row],[RECUPERO]]="","",VLOOKUP($M$3&amp;$N$3&amp;D1_ENERO_2026[[#This Row],[SUPER]],TablaMeta[],6,0))</f>
        <v>48000</v>
      </c>
      <c r="D37" s="36">
        <f>IFERROR(D1_ENERO_2026[[#This Row],[RECUPERO]]/VLOOKUP($M$3&amp;$N$3&amp;D1_ENERO_2026[[#This Row],[SUPER]],TablaMeta[],6,0),"")</f>
        <v>0.34212500000000001</v>
      </c>
      <c r="E37" s="36" t="str">
        <f>IFERROR(VLOOKUP(D1_ENERO_2026[[#This Row],[ASESOR_CRR]],PLANTILLA_ACTUAL[],2,0),"")</f>
        <v>MELINA</v>
      </c>
      <c r="F37" t="s">
        <v>72</v>
      </c>
      <c r="G37" s="3">
        <v>16422</v>
      </c>
      <c r="H37" t="str">
        <f>VLOOKUP(D1_ENERO_2026[[#This Row],[ASESOR_CRR]],DIM!$C:$E,2,0)</f>
        <v>47690367</v>
      </c>
      <c r="I37" s="59">
        <f>VLOOKUP(D1_ENERO_2026[[#This Row],[ASESOR_CRR]],DIM!$C:$E,3,0)</f>
        <v>45691</v>
      </c>
      <c r="J37" s="59" t="str">
        <f>VLOOKUP(D1_ENERO_2026[[#This Row],[ASESOR_CRR]],PLANTILLA_ACTUAL[],6,0)</f>
        <v>CALL</v>
      </c>
      <c r="K37" s="59"/>
      <c r="L37" s="59"/>
      <c r="M37" s="5">
        <f>IF(DATA_ENERO_2026[[#This Row],[ASER_]]="","",VLOOKUP(DATA_ENERO_2026[[#This Row],[ASER_]],$B:$G,3,0))</f>
        <v>0.73239583333333336</v>
      </c>
      <c r="N37" s="5" t="str" cm="1">
        <f t="array" ref="N37">IF(DATA_ENERO_2026[[#This Row],[ASER_]]="","",IFERROR(_xlfn.IFS(M37&gt;=100%,"&gt;100%",AND(M37&lt;100%,M37&gt;=70%),"&gt;70%",AND(M37&lt;70%,M37&gt;=40%),"&gt;40%",AND(M37&lt;40%,M37&gt;=0%),"&gt;0%"),""))</f>
        <v>&gt;70%</v>
      </c>
      <c r="O37" s="58" t="str">
        <f>IFERROR(VLOOKUP(DATA_ENERO_2026[[#This Row],[ASER_]],$B:$G,4,0),"")</f>
        <v>MELINA</v>
      </c>
      <c r="P37" s="6">
        <f>IF(DATA_ENERO_2026[[#This Row],[SUPERVISOR]]="","",VLOOKUP(DATA_ENERO_2026[[#This Row],[ASER_]],$B:$G,6,0))</f>
        <v>35155</v>
      </c>
      <c r="Q37" s="6">
        <f>VLOOKUP(DATA_ENERO_2026[[#This Row],[ASER_]],D1_ENERO_2026[[ASESOR_CRR]:[META]],2,0)</f>
        <v>48000</v>
      </c>
      <c r="R37" t="s">
        <v>18</v>
      </c>
      <c r="S37">
        <v>0</v>
      </c>
      <c r="T37">
        <v>0</v>
      </c>
      <c r="U37">
        <v>1700</v>
      </c>
      <c r="V37">
        <v>2000</v>
      </c>
      <c r="W37">
        <v>2500</v>
      </c>
      <c r="X37">
        <v>0</v>
      </c>
      <c r="Y37">
        <v>0</v>
      </c>
      <c r="Z37">
        <v>600</v>
      </c>
      <c r="AA37">
        <v>0</v>
      </c>
      <c r="AB37">
        <v>1000</v>
      </c>
      <c r="AC37">
        <v>6550</v>
      </c>
      <c r="AD37">
        <v>2000</v>
      </c>
      <c r="AE37">
        <v>0</v>
      </c>
      <c r="AF37">
        <v>5350</v>
      </c>
      <c r="AG37">
        <v>3055</v>
      </c>
      <c r="AH37">
        <v>0</v>
      </c>
      <c r="AI37">
        <v>1700</v>
      </c>
      <c r="AJ37">
        <v>1500</v>
      </c>
      <c r="AK37">
        <v>2700</v>
      </c>
      <c r="AL37">
        <v>3500</v>
      </c>
      <c r="AM37">
        <v>1000</v>
      </c>
      <c r="AN37">
        <v>0</v>
      </c>
      <c r="AO37" t="str">
        <f>VLOOKUP($M$3&amp;$N$3&amp;DATA_ENERO_2026[[#This Row],[SUPERVISOR]],TablaMeta[],7,0)</f>
        <v>S1</v>
      </c>
    </row>
    <row r="38" spans="1:41" x14ac:dyDescent="0.25">
      <c r="A38" s="35" t="str">
        <f>IFERROR(VLOOKUP(D1_ENERO_2026[[#This Row],[ASESOR_CRR]],PLANTILLA_ACTUAL[],2,0),"")</f>
        <v>KENNETH</v>
      </c>
      <c r="B38" s="35" t="str" cm="1">
        <f t="array" ref="B3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DAVID SANCHEZ</v>
      </c>
      <c r="C38" s="37">
        <f>IF(D1_ENERO_2026[[#This Row],[RECUPERO]]="","",VLOOKUP($M$3&amp;$N$3&amp;D1_ENERO_2026[[#This Row],[SUPER]],TablaMeta[],6,0))</f>
        <v>27900</v>
      </c>
      <c r="D38" s="36">
        <f>IFERROR(D1_ENERO_2026[[#This Row],[RECUPERO]]/VLOOKUP($M$3&amp;$N$3&amp;D1_ENERO_2026[[#This Row],[SUPER]],TablaMeta[],6,0),"")</f>
        <v>2.0576344086021505</v>
      </c>
      <c r="E38" s="36" t="str">
        <f>IFERROR(VLOOKUP(D1_ENERO_2026[[#This Row],[ASESOR_CRR]],PLANTILLA_ACTUAL[],2,0),"")</f>
        <v>KENNETH</v>
      </c>
      <c r="F38" t="s">
        <v>81</v>
      </c>
      <c r="G38" s="3">
        <v>57408</v>
      </c>
      <c r="H38" t="str">
        <f>VLOOKUP(D1_ENERO_2026[[#This Row],[ASESOR_CRR]],DIM!$C:$E,2,0)</f>
        <v>72716299</v>
      </c>
      <c r="I38" s="59">
        <f>VLOOKUP(D1_ENERO_2026[[#This Row],[ASESOR_CRR]],DIM!$C:$E,3,0)</f>
        <v>45511</v>
      </c>
      <c r="J38" s="59" t="str">
        <f>VLOOKUP(D1_ENERO_2026[[#This Row],[ASESOR_CRR]],PLANTILLA_ACTUAL[],6,0)</f>
        <v>CALL</v>
      </c>
      <c r="K38" s="59"/>
      <c r="L38" s="59"/>
      <c r="M38" s="5">
        <f>IF(DATA_ENERO_2026[[#This Row],[ASER_]]="","",VLOOKUP(DATA_ENERO_2026[[#This Row],[ASER_]],$B:$G,3,0))</f>
        <v>0.70343750000000005</v>
      </c>
      <c r="N38" s="5" t="str" cm="1">
        <f t="array" ref="N38">IF(DATA_ENERO_2026[[#This Row],[ASER_]]="","",IFERROR(_xlfn.IFS(M38&gt;=100%,"&gt;100%",AND(M38&lt;100%,M38&gt;=70%),"&gt;70%",AND(M38&lt;70%,M38&gt;=40%),"&gt;40%",AND(M38&lt;40%,M38&gt;=0%),"&gt;0%"),""))</f>
        <v>&gt;70%</v>
      </c>
      <c r="O38" s="58" t="str">
        <f>IFERROR(VLOOKUP(DATA_ENERO_2026[[#This Row],[ASER_]],$B:$G,4,0),"")</f>
        <v>MELINA</v>
      </c>
      <c r="P38" s="6">
        <f>IF(DATA_ENERO_2026[[#This Row],[SUPERVISOR]]="","",VLOOKUP(DATA_ENERO_2026[[#This Row],[ASER_]],$B:$G,6,0))</f>
        <v>33765</v>
      </c>
      <c r="Q38" s="6">
        <f>VLOOKUP(DATA_ENERO_2026[[#This Row],[ASER_]],D1_ENERO_2026[[ASESOR_CRR]:[META]],2,0)</f>
        <v>48000</v>
      </c>
      <c r="R38" t="s">
        <v>122</v>
      </c>
      <c r="S38">
        <v>1030</v>
      </c>
      <c r="T38">
        <v>10000</v>
      </c>
      <c r="U38">
        <v>500</v>
      </c>
      <c r="V38">
        <v>0</v>
      </c>
      <c r="W38">
        <v>0</v>
      </c>
      <c r="X38">
        <v>5300</v>
      </c>
      <c r="Y38">
        <v>0</v>
      </c>
      <c r="Z38">
        <v>0</v>
      </c>
      <c r="AA38">
        <v>0</v>
      </c>
      <c r="AB38">
        <v>1900</v>
      </c>
      <c r="AC38">
        <v>0</v>
      </c>
      <c r="AD38">
        <v>0</v>
      </c>
      <c r="AE38">
        <v>535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13000</v>
      </c>
      <c r="AM38">
        <v>1500</v>
      </c>
      <c r="AN38">
        <v>0</v>
      </c>
      <c r="AO38" t="str">
        <f>VLOOKUP($M$3&amp;$N$3&amp;DATA_ENERO_2026[[#This Row],[SUPERVISOR]],TablaMeta[],7,0)</f>
        <v>S1</v>
      </c>
    </row>
    <row r="39" spans="1:41" x14ac:dyDescent="0.25">
      <c r="A39" s="35" t="str">
        <f>IFERROR(VLOOKUP(D1_ENERO_2026[[#This Row],[ASESOR_CRR]],PLANTILLA_ACTUAL[],2,0),"")</f>
        <v>KENNETH</v>
      </c>
      <c r="B39" s="35" t="str" cm="1">
        <f t="array" ref="B3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CARMEN PUMA</v>
      </c>
      <c r="C39" s="37">
        <f>IF(D1_ENERO_2026[[#This Row],[RECUPERO]]="","",VLOOKUP($M$3&amp;$N$3&amp;D1_ENERO_2026[[#This Row],[SUPER]],TablaMeta[],6,0))</f>
        <v>27900</v>
      </c>
      <c r="D39" s="36">
        <f>IFERROR(D1_ENERO_2026[[#This Row],[RECUPERO]]/VLOOKUP($M$3&amp;$N$3&amp;D1_ENERO_2026[[#This Row],[SUPER]],TablaMeta[],6,0),"")</f>
        <v>1.8079928315412186</v>
      </c>
      <c r="E39" s="36" t="str">
        <f>IFERROR(VLOOKUP(D1_ENERO_2026[[#This Row],[ASESOR_CRR]],PLANTILLA_ACTUAL[],2,0),"")</f>
        <v>KENNETH</v>
      </c>
      <c r="F39" t="s">
        <v>19</v>
      </c>
      <c r="G39" s="3">
        <v>50443</v>
      </c>
      <c r="H39" t="str">
        <f>VLOOKUP(D1_ENERO_2026[[#This Row],[ASESOR_CRR]],DIM!$C:$E,2,0)</f>
        <v>76656128</v>
      </c>
      <c r="I39" s="59">
        <f>VLOOKUP(D1_ENERO_2026[[#This Row],[ASESOR_CRR]],DIM!$C:$E,3,0)</f>
        <v>44671</v>
      </c>
      <c r="J39" s="59" t="str">
        <f>VLOOKUP(D1_ENERO_2026[[#This Row],[ASESOR_CRR]],PLANTILLA_ACTUAL[],6,0)</f>
        <v>CALL</v>
      </c>
      <c r="K39" s="59"/>
      <c r="L39" s="59"/>
      <c r="M39" s="5">
        <f>IF(DATA_ENERO_2026[[#This Row],[ASER_]]="","",VLOOKUP(DATA_ENERO_2026[[#This Row],[ASER_]],$B:$G,3,0))</f>
        <v>0.55810416666666662</v>
      </c>
      <c r="N39" s="5" t="str" cm="1">
        <f t="array" ref="N39">IF(DATA_ENERO_2026[[#This Row],[ASER_]]="","",IFERROR(_xlfn.IFS(M39&gt;=100%,"&gt;100%",AND(M39&lt;100%,M39&gt;=70%),"&gt;70%",AND(M39&lt;70%,M39&gt;=40%),"&gt;40%",AND(M39&lt;40%,M39&gt;=0%),"&gt;0%"),""))</f>
        <v>&gt;40%</v>
      </c>
      <c r="O39" s="58" t="str">
        <f>IFERROR(VLOOKUP(DATA_ENERO_2026[[#This Row],[ASER_]],$B:$G,4,0),"")</f>
        <v>MELINA</v>
      </c>
      <c r="P39" s="6">
        <f>IF(DATA_ENERO_2026[[#This Row],[SUPERVISOR]]="","",VLOOKUP(DATA_ENERO_2026[[#This Row],[ASER_]],$B:$G,6,0))</f>
        <v>26789</v>
      </c>
      <c r="Q39" s="6">
        <f>VLOOKUP(DATA_ENERO_2026[[#This Row],[ASER_]],D1_ENERO_2026[[ASESOR_CRR]:[META]],2,0)</f>
        <v>48000</v>
      </c>
      <c r="R39" t="s">
        <v>208</v>
      </c>
      <c r="S39">
        <v>0</v>
      </c>
      <c r="T39">
        <v>750</v>
      </c>
      <c r="U39">
        <v>0</v>
      </c>
      <c r="V39">
        <v>0</v>
      </c>
      <c r="W39">
        <v>0</v>
      </c>
      <c r="X39">
        <v>4400</v>
      </c>
      <c r="Y39">
        <v>0</v>
      </c>
      <c r="Z39">
        <v>300</v>
      </c>
      <c r="AA39">
        <v>0</v>
      </c>
      <c r="AB39">
        <v>5000</v>
      </c>
      <c r="AC39">
        <v>700</v>
      </c>
      <c r="AD39">
        <v>1090</v>
      </c>
      <c r="AE39">
        <v>219</v>
      </c>
      <c r="AF39">
        <v>2000</v>
      </c>
      <c r="AG39">
        <v>4000</v>
      </c>
      <c r="AH39">
        <v>0</v>
      </c>
      <c r="AI39">
        <v>0</v>
      </c>
      <c r="AJ39">
        <v>0</v>
      </c>
      <c r="AK39">
        <v>0</v>
      </c>
      <c r="AL39">
        <v>2500</v>
      </c>
      <c r="AM39">
        <v>5200</v>
      </c>
      <c r="AN39">
        <v>630</v>
      </c>
      <c r="AO39" t="str">
        <f>VLOOKUP($M$3&amp;$N$3&amp;DATA_ENERO_2026[[#This Row],[SUPERVISOR]],TablaMeta[],7,0)</f>
        <v>S1</v>
      </c>
    </row>
    <row r="40" spans="1:41" x14ac:dyDescent="0.25">
      <c r="A40" s="35" t="str">
        <f>IFERROR(VLOOKUP(D1_ENERO_2026[[#This Row],[ASESOR_CRR]],PLANTILLA_ACTUAL[],2,0),"")</f>
        <v>KENNETH</v>
      </c>
      <c r="B40" s="35" t="str" cm="1">
        <f t="array" ref="B4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STWUAR MACURI</v>
      </c>
      <c r="C40" s="37">
        <f>IF(D1_ENERO_2026[[#This Row],[RECUPERO]]="","",VLOOKUP($M$3&amp;$N$3&amp;D1_ENERO_2026[[#This Row],[SUPER]],TablaMeta[],6,0))</f>
        <v>27900</v>
      </c>
      <c r="D40" s="36">
        <f>IFERROR(D1_ENERO_2026[[#This Row],[RECUPERO]]/VLOOKUP($M$3&amp;$N$3&amp;D1_ENERO_2026[[#This Row],[SUPER]],TablaMeta[],6,0),"")</f>
        <v>1.6282437275985664</v>
      </c>
      <c r="E40" s="36" t="str">
        <f>IFERROR(VLOOKUP(D1_ENERO_2026[[#This Row],[ASESOR_CRR]],PLANTILLA_ACTUAL[],2,0),"")</f>
        <v>KENNETH</v>
      </c>
      <c r="F40" t="s">
        <v>34</v>
      </c>
      <c r="G40" s="3">
        <v>45428</v>
      </c>
      <c r="H40" t="str">
        <f>VLOOKUP(D1_ENERO_2026[[#This Row],[ASESOR_CRR]],DIM!$C:$E,2,0)</f>
        <v>76824571</v>
      </c>
      <c r="I40" s="59">
        <f>VLOOKUP(D1_ENERO_2026[[#This Row],[ASESOR_CRR]],DIM!$C:$E,3,0)</f>
        <v>45173</v>
      </c>
      <c r="J40" s="59" t="str">
        <f>VLOOKUP(D1_ENERO_2026[[#This Row],[ASESOR_CRR]],PLANTILLA_ACTUAL[],6,0)</f>
        <v>CALL</v>
      </c>
      <c r="K40" s="59"/>
      <c r="L40" s="59"/>
      <c r="M40" s="5">
        <f>IF(DATA_ENERO_2026[[#This Row],[ASER_]]="","",VLOOKUP(DATA_ENERO_2026[[#This Row],[ASER_]],$B:$G,3,0))</f>
        <v>0.34212500000000001</v>
      </c>
      <c r="N40" s="5" t="str" cm="1">
        <f t="array" ref="N40">IF(DATA_ENERO_2026[[#This Row],[ASER_]]="","",IFERROR(_xlfn.IFS(M40&gt;=100%,"&gt;100%",AND(M40&lt;100%,M40&gt;=70%),"&gt;70%",AND(M40&lt;70%,M40&gt;=40%),"&gt;40%",AND(M40&lt;40%,M40&gt;=0%),"&gt;0%"),""))</f>
        <v>&gt;0%</v>
      </c>
      <c r="O40" s="58" t="str">
        <f>IFERROR(VLOOKUP(DATA_ENERO_2026[[#This Row],[ASER_]],$B:$G,4,0),"")</f>
        <v>MELINA</v>
      </c>
      <c r="P40" s="6">
        <f>IF(DATA_ENERO_2026[[#This Row],[SUPERVISOR]]="","",VLOOKUP(DATA_ENERO_2026[[#This Row],[ASER_]],$B:$G,6,0))</f>
        <v>16422</v>
      </c>
      <c r="Q40" s="6">
        <f>VLOOKUP(DATA_ENERO_2026[[#This Row],[ASER_]],D1_ENERO_2026[[ASESOR_CRR]:[META]],2,0)</f>
        <v>48000</v>
      </c>
      <c r="R40" t="s">
        <v>72</v>
      </c>
      <c r="S40">
        <v>3160</v>
      </c>
      <c r="T40">
        <v>0</v>
      </c>
      <c r="U40">
        <v>2000</v>
      </c>
      <c r="V40">
        <v>0</v>
      </c>
      <c r="W40">
        <v>0</v>
      </c>
      <c r="X40">
        <v>0</v>
      </c>
      <c r="Y40">
        <v>250</v>
      </c>
      <c r="Z40">
        <v>0</v>
      </c>
      <c r="AA40">
        <v>0</v>
      </c>
      <c r="AB40">
        <v>800</v>
      </c>
      <c r="AC40">
        <v>0</v>
      </c>
      <c r="AD40">
        <v>200</v>
      </c>
      <c r="AE40">
        <v>500</v>
      </c>
      <c r="AF40">
        <v>2000</v>
      </c>
      <c r="AG40">
        <v>600</v>
      </c>
      <c r="AH40">
        <v>0</v>
      </c>
      <c r="AI40">
        <v>1850</v>
      </c>
      <c r="AJ40">
        <v>0</v>
      </c>
      <c r="AK40">
        <v>0</v>
      </c>
      <c r="AL40">
        <v>0</v>
      </c>
      <c r="AM40">
        <v>2500</v>
      </c>
      <c r="AN40">
        <v>2562</v>
      </c>
      <c r="AO40" t="str">
        <f>VLOOKUP($M$3&amp;$N$3&amp;DATA_ENERO_2026[[#This Row],[SUPERVISOR]],TablaMeta[],7,0)</f>
        <v>S1</v>
      </c>
    </row>
    <row r="41" spans="1:41" x14ac:dyDescent="0.25">
      <c r="A41" s="35" t="str">
        <f>IFERROR(VLOOKUP(D1_ENERO_2026[[#This Row],[ASESOR_CRR]],PLANTILLA_ACTUAL[],2,0),"")</f>
        <v>KENNETH</v>
      </c>
      <c r="B41" s="35" t="str" cm="1">
        <f t="array" ref="B4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JENY LAZARO</v>
      </c>
      <c r="C41" s="37">
        <f>IF(D1_ENERO_2026[[#This Row],[RECUPERO]]="","",VLOOKUP($M$3&amp;$N$3&amp;D1_ENERO_2026[[#This Row],[SUPER]],TablaMeta[],6,0))</f>
        <v>27900</v>
      </c>
      <c r="D41" s="36">
        <f>IFERROR(D1_ENERO_2026[[#This Row],[RECUPERO]]/VLOOKUP($M$3&amp;$N$3&amp;D1_ENERO_2026[[#This Row],[SUPER]],TablaMeta[],6,0),"")</f>
        <v>1.5908960573476703</v>
      </c>
      <c r="E41" s="36" t="str">
        <f>IFERROR(VLOOKUP(D1_ENERO_2026[[#This Row],[ASESOR_CRR]],PLANTILLA_ACTUAL[],2,0),"")</f>
        <v>KENNETH</v>
      </c>
      <c r="F41" t="s">
        <v>26</v>
      </c>
      <c r="G41" s="3">
        <v>44386</v>
      </c>
      <c r="H41" t="str">
        <f>VLOOKUP(D1_ENERO_2026[[#This Row],[ASESOR_CRR]],DIM!$C:$E,2,0)</f>
        <v>41005089</v>
      </c>
      <c r="I41" s="59">
        <f>VLOOKUP(D1_ENERO_2026[[#This Row],[ASESOR_CRR]],DIM!$C:$E,3,0)</f>
        <v>44257</v>
      </c>
      <c r="J41" s="59" t="str">
        <f>VLOOKUP(D1_ENERO_2026[[#This Row],[ASESOR_CRR]],PLANTILLA_ACTUAL[],6,0)</f>
        <v>CALL</v>
      </c>
      <c r="K41" s="59"/>
      <c r="L41" s="59"/>
      <c r="M41" s="5">
        <f>IF(DATA_ENERO_2026[[#This Row],[ASER_]]="","",VLOOKUP(DATA_ENERO_2026[[#This Row],[ASER_]],$B:$G,3,0))</f>
        <v>0.75376344086021507</v>
      </c>
      <c r="N41" s="5" t="str" cm="1">
        <f t="array" ref="N41">IF(DATA_ENERO_2026[[#This Row],[ASER_]]="","",IFERROR(_xlfn.IFS(M41&gt;=100%,"&gt;100%",AND(M41&lt;100%,M41&gt;=70%),"&gt;70%",AND(M41&lt;70%,M41&gt;=40%),"&gt;40%",AND(M41&lt;40%,M41&gt;=0%),"&gt;0%"),""))</f>
        <v>&gt;70%</v>
      </c>
      <c r="O41" s="58" t="str">
        <f>IFERROR(VLOOKUP(DATA_ENERO_2026[[#This Row],[ASER_]],$B:$G,4,0),"")</f>
        <v>KENNETH</v>
      </c>
      <c r="P41" s="6">
        <f>IF(DATA_ENERO_2026[[#This Row],[SUPERVISOR]]="","",VLOOKUP(DATA_ENERO_2026[[#This Row],[ASER_]],$B:$G,6,0))</f>
        <v>21030</v>
      </c>
      <c r="Q41" s="6">
        <f>VLOOKUP(DATA_ENERO_2026[[#This Row],[ASER_]],D1_ENERO_2026[[ASESOR_CRR]:[META]],2,0)</f>
        <v>27900</v>
      </c>
      <c r="R41" t="s">
        <v>80</v>
      </c>
      <c r="S41" s="46">
        <v>3000</v>
      </c>
      <c r="T41">
        <v>0</v>
      </c>
      <c r="U41">
        <v>8300</v>
      </c>
      <c r="V41">
        <v>0</v>
      </c>
      <c r="W41">
        <v>0</v>
      </c>
      <c r="X41">
        <v>0</v>
      </c>
      <c r="Y41">
        <v>4200</v>
      </c>
      <c r="Z41">
        <v>3710</v>
      </c>
      <c r="AA41">
        <v>0</v>
      </c>
      <c r="AB41">
        <v>700</v>
      </c>
      <c r="AC41">
        <v>270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450</v>
      </c>
      <c r="AL41">
        <v>400</v>
      </c>
      <c r="AM41">
        <v>0</v>
      </c>
      <c r="AN41">
        <v>0</v>
      </c>
      <c r="AO41" t="str">
        <f>VLOOKUP($M$3&amp;$N$3&amp;DATA_ENERO_2026[[#This Row],[SUPERVISOR]],TablaMeta[],7,0)</f>
        <v>S0</v>
      </c>
    </row>
    <row r="42" spans="1:41" x14ac:dyDescent="0.25">
      <c r="A42" s="35" t="str">
        <f>IFERROR(VLOOKUP(D1_ENERO_2026[[#This Row],[ASESOR_CRR]],PLANTILLA_ACTUAL[],2,0),"")</f>
        <v>KENNETH</v>
      </c>
      <c r="B42" s="35" t="str" cm="1">
        <f t="array" ref="B4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FRANK PACORA</v>
      </c>
      <c r="C42" s="37">
        <f>IF(D1_ENERO_2026[[#This Row],[RECUPERO]]="","",VLOOKUP($M$3&amp;$N$3&amp;D1_ENERO_2026[[#This Row],[SUPER]],TablaMeta[],6,0))</f>
        <v>27900</v>
      </c>
      <c r="D42" s="36">
        <f>IFERROR(D1_ENERO_2026[[#This Row],[RECUPERO]]/VLOOKUP($M$3&amp;$N$3&amp;D1_ENERO_2026[[#This Row],[SUPER]],TablaMeta[],6,0),"")</f>
        <v>1.4598566308243728</v>
      </c>
      <c r="E42" s="36" t="str">
        <f>IFERROR(VLOOKUP(D1_ENERO_2026[[#This Row],[ASESOR_CRR]],PLANTILLA_ACTUAL[],2,0),"")</f>
        <v>KENNETH</v>
      </c>
      <c r="F42" t="s">
        <v>105</v>
      </c>
      <c r="G42" s="3">
        <v>40730</v>
      </c>
      <c r="H42" t="str">
        <f>VLOOKUP(D1_ENERO_2026[[#This Row],[ASESOR_CRR]],DIM!$C:$E,2,0)</f>
        <v>48344037</v>
      </c>
      <c r="I42" s="59">
        <f>VLOOKUP(D1_ENERO_2026[[#This Row],[ASESOR_CRR]],DIM!$C:$E,3,0)</f>
        <v>46027</v>
      </c>
      <c r="J42" s="59" t="str">
        <f>VLOOKUP(D1_ENERO_2026[[#This Row],[ASESOR_CRR]],PLANTILLA_ACTUAL[],6,0)</f>
        <v>CALL</v>
      </c>
      <c r="K42" s="59"/>
      <c r="L42" s="59"/>
      <c r="M42" s="5">
        <f>IF(DATA_ENERO_2026[[#This Row],[ASER_]]="","",VLOOKUP(DATA_ENERO_2026[[#This Row],[ASER_]],$B:$G,3,0))</f>
        <v>0.21985663082437276</v>
      </c>
      <c r="N42" s="5" t="str" cm="1">
        <f t="array" ref="N42">IF(DATA_ENERO_2026[[#This Row],[ASER_]]="","",IFERROR(_xlfn.IFS(M42&gt;=100%,"&gt;100%",AND(M42&lt;100%,M42&gt;=70%),"&gt;70%",AND(M42&lt;70%,M42&gt;=40%),"&gt;40%",AND(M42&lt;40%,M42&gt;=0%),"&gt;0%"),""))</f>
        <v>&gt;0%</v>
      </c>
      <c r="O42" s="58" t="str">
        <f>IFERROR(VLOOKUP(DATA_ENERO_2026[[#This Row],[ASER_]],$B:$G,4,0),"")</f>
        <v>KENNETH</v>
      </c>
      <c r="P42" s="6">
        <f>IF(DATA_ENERO_2026[[#This Row],[SUPERVISOR]]="","",VLOOKUP(DATA_ENERO_2026[[#This Row],[ASER_]],$B:$G,6,0))</f>
        <v>6134</v>
      </c>
      <c r="Q42" s="6">
        <f>VLOOKUP(DATA_ENERO_2026[[#This Row],[ASER_]],D1_ENERO_2026[[ASESOR_CRR]:[META]],2,0)</f>
        <v>27900</v>
      </c>
      <c r="R42" t="s">
        <v>37</v>
      </c>
      <c r="S42" s="46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148</v>
      </c>
      <c r="AA42">
        <v>286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3000</v>
      </c>
      <c r="AK42">
        <v>0</v>
      </c>
      <c r="AL42">
        <v>2400</v>
      </c>
      <c r="AM42">
        <v>0</v>
      </c>
      <c r="AN42">
        <v>300</v>
      </c>
      <c r="AO42" t="str">
        <f>VLOOKUP($M$3&amp;$N$3&amp;DATA_ENERO_2026[[#This Row],[SUPERVISOR]],TablaMeta[],7,0)</f>
        <v>S0</v>
      </c>
    </row>
    <row r="43" spans="1:41" x14ac:dyDescent="0.25">
      <c r="A43" s="35" t="str">
        <f>IFERROR(VLOOKUP(D1_ENERO_2026[[#This Row],[ASESOR_CRR]],PLANTILLA_ACTUAL[],2,0),"")</f>
        <v>KENNETH</v>
      </c>
      <c r="B43" s="35" t="str" cm="1">
        <f t="array" ref="B4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MILAGROS QUIO</v>
      </c>
      <c r="C43" s="37">
        <f>IF(D1_ENERO_2026[[#This Row],[RECUPERO]]="","",VLOOKUP($M$3&amp;$N$3&amp;D1_ENERO_2026[[#This Row],[SUPER]],TablaMeta[],6,0))</f>
        <v>27900</v>
      </c>
      <c r="D43" s="36">
        <f>IFERROR(D1_ENERO_2026[[#This Row],[RECUPERO]]/VLOOKUP($M$3&amp;$N$3&amp;D1_ENERO_2026[[#This Row],[SUPER]],TablaMeta[],6,0),"")</f>
        <v>1.38584229390681</v>
      </c>
      <c r="E43" s="36" t="str">
        <f>IFERROR(VLOOKUP(D1_ENERO_2026[[#This Row],[ASESOR_CRR]],PLANTILLA_ACTUAL[],2,0),"")</f>
        <v>KENNETH</v>
      </c>
      <c r="F43" t="s">
        <v>11</v>
      </c>
      <c r="G43" s="3">
        <v>38665</v>
      </c>
      <c r="H43" t="str">
        <f>VLOOKUP(D1_ENERO_2026[[#This Row],[ASESOR_CRR]],DIM!$C:$E,2,0)</f>
        <v>45139159</v>
      </c>
      <c r="I43" s="59">
        <f>VLOOKUP(D1_ENERO_2026[[#This Row],[ASESOR_CRR]],DIM!$C:$E,3,0)</f>
        <v>45369</v>
      </c>
      <c r="J43" s="59" t="str">
        <f>VLOOKUP(D1_ENERO_2026[[#This Row],[ASESOR_CRR]],PLANTILLA_ACTUAL[],6,0)</f>
        <v>CALL</v>
      </c>
      <c r="K43" s="59"/>
      <c r="L43" s="59"/>
      <c r="M43" s="5">
        <f>IF(DATA_ENERO_2026[[#This Row],[ASER_]]="","",VLOOKUP(DATA_ENERO_2026[[#This Row],[ASER_]],$B:$G,3,0))</f>
        <v>1.6282437275985664</v>
      </c>
      <c r="N43" s="5" t="str" cm="1">
        <f t="array" ref="N43">IF(DATA_ENERO_2026[[#This Row],[ASER_]]="","",IFERROR(_xlfn.IFS(M43&gt;=100%,"&gt;100%",AND(M43&lt;100%,M43&gt;=70%),"&gt;70%",AND(M43&lt;70%,M43&gt;=40%),"&gt;40%",AND(M43&lt;40%,M43&gt;=0%),"&gt;0%"),""))</f>
        <v>&gt;100%</v>
      </c>
      <c r="O43" s="58" t="str">
        <f>IFERROR(VLOOKUP(DATA_ENERO_2026[[#This Row],[ASER_]],$B:$G,4,0),"")</f>
        <v>KENNETH</v>
      </c>
      <c r="P43" s="6">
        <f>IF(DATA_ENERO_2026[[#This Row],[SUPERVISOR]]="","",VLOOKUP(DATA_ENERO_2026[[#This Row],[ASER_]],$B:$G,6,0))</f>
        <v>45428</v>
      </c>
      <c r="Q43" s="6">
        <f>VLOOKUP(DATA_ENERO_2026[[#This Row],[ASER_]],D1_ENERO_2026[[ASESOR_CRR]:[META]],2,0)</f>
        <v>27900</v>
      </c>
      <c r="R43" t="s">
        <v>34</v>
      </c>
      <c r="S43">
        <v>500</v>
      </c>
      <c r="T43">
        <v>5500</v>
      </c>
      <c r="U43">
        <v>8500</v>
      </c>
      <c r="V43">
        <v>3313</v>
      </c>
      <c r="W43">
        <v>0</v>
      </c>
      <c r="X43">
        <v>0</v>
      </c>
      <c r="Y43">
        <v>0</v>
      </c>
      <c r="Z43">
        <v>500</v>
      </c>
      <c r="AA43">
        <v>4500</v>
      </c>
      <c r="AB43">
        <v>575</v>
      </c>
      <c r="AC43">
        <v>0</v>
      </c>
      <c r="AD43">
        <v>8300</v>
      </c>
      <c r="AE43">
        <v>200</v>
      </c>
      <c r="AF43">
        <v>5000</v>
      </c>
      <c r="AG43">
        <v>500</v>
      </c>
      <c r="AH43">
        <v>2000</v>
      </c>
      <c r="AI43">
        <v>0</v>
      </c>
      <c r="AJ43">
        <v>0</v>
      </c>
      <c r="AK43">
        <v>3240</v>
      </c>
      <c r="AL43">
        <v>600</v>
      </c>
      <c r="AM43">
        <v>500</v>
      </c>
      <c r="AN43">
        <v>1700</v>
      </c>
      <c r="AO43" t="str">
        <f>VLOOKUP($M$3&amp;$N$3&amp;DATA_ENERO_2026[[#This Row],[SUPERVISOR]],TablaMeta[],7,0)</f>
        <v>S0</v>
      </c>
    </row>
    <row r="44" spans="1:41" x14ac:dyDescent="0.25">
      <c r="A44" s="35" t="str">
        <f>IFERROR(VLOOKUP(D1_ENERO_2026[[#This Row],[ASESOR_CRR]],PLANTILLA_ACTUAL[],2,0),"")</f>
        <v>KENNETH</v>
      </c>
      <c r="B44" s="35" t="str" cm="1">
        <f t="array" ref="B4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KIARA CANEPA</v>
      </c>
      <c r="C44" s="37">
        <f>IF(D1_ENERO_2026[[#This Row],[RECUPERO]]="","",VLOOKUP($M$3&amp;$N$3&amp;D1_ENERO_2026[[#This Row],[SUPER]],TablaMeta[],6,0))</f>
        <v>27900</v>
      </c>
      <c r="D44" s="36">
        <f>IFERROR(D1_ENERO_2026[[#This Row],[RECUPERO]]/VLOOKUP($M$3&amp;$N$3&amp;D1_ENERO_2026[[#This Row],[SUPER]],TablaMeta[],6,0),"")</f>
        <v>1.2897132616487454</v>
      </c>
      <c r="E44" s="36" t="str">
        <f>IFERROR(VLOOKUP(D1_ENERO_2026[[#This Row],[ASESOR_CRR]],PLANTILLA_ACTUAL[],2,0),"")</f>
        <v>KENNETH</v>
      </c>
      <c r="F44" t="s">
        <v>50</v>
      </c>
      <c r="G44" s="3">
        <v>35983</v>
      </c>
      <c r="H44" t="str">
        <f>VLOOKUP(D1_ENERO_2026[[#This Row],[ASESOR_CRR]],DIM!$C:$E,2,0)</f>
        <v>72733809</v>
      </c>
      <c r="I44" s="59">
        <f>VLOOKUP(D1_ENERO_2026[[#This Row],[ASESOR_CRR]],DIM!$C:$E,3,0)</f>
        <v>45789</v>
      </c>
      <c r="J44" s="59" t="str">
        <f>VLOOKUP(D1_ENERO_2026[[#This Row],[ASESOR_CRR]],PLANTILLA_ACTUAL[],6,0)</f>
        <v>CALL</v>
      </c>
      <c r="K44" s="59"/>
      <c r="L44" s="59"/>
      <c r="M44" s="5">
        <f>IF(DATA_ENERO_2026[[#This Row],[ASER_]]="","",VLOOKUP(DATA_ENERO_2026[[#This Row],[ASER_]],$B:$G,3,0))</f>
        <v>0.40724014336917563</v>
      </c>
      <c r="N44" s="5" t="str" cm="1">
        <f t="array" ref="N44">IF(DATA_ENERO_2026[[#This Row],[ASER_]]="","",IFERROR(_xlfn.IFS(M44&gt;=100%,"&gt;100%",AND(M44&lt;100%,M44&gt;=70%),"&gt;70%",AND(M44&lt;70%,M44&gt;=40%),"&gt;40%",AND(M44&lt;40%,M44&gt;=0%),"&gt;0%"),""))</f>
        <v>&gt;40%</v>
      </c>
      <c r="O44" s="58" t="str">
        <f>IFERROR(VLOOKUP(DATA_ENERO_2026[[#This Row],[ASER_]],$B:$G,4,0),"")</f>
        <v>KENNETH</v>
      </c>
      <c r="P44" s="6">
        <f>IF(DATA_ENERO_2026[[#This Row],[SUPERVISOR]]="","",VLOOKUP(DATA_ENERO_2026[[#This Row],[ASER_]],$B:$G,6,0))</f>
        <v>11362</v>
      </c>
      <c r="Q44" s="6">
        <f>VLOOKUP(DATA_ENERO_2026[[#This Row],[ASER_]],D1_ENERO_2026[[ASESOR_CRR]:[META]],2,0)</f>
        <v>27900</v>
      </c>
      <c r="R44" t="s">
        <v>35</v>
      </c>
      <c r="S44">
        <v>0</v>
      </c>
      <c r="T44">
        <v>800</v>
      </c>
      <c r="U44">
        <v>350</v>
      </c>
      <c r="V44">
        <v>0</v>
      </c>
      <c r="W44">
        <v>0</v>
      </c>
      <c r="X44">
        <v>257</v>
      </c>
      <c r="Y44">
        <v>370</v>
      </c>
      <c r="Z44">
        <v>500</v>
      </c>
      <c r="AA44">
        <v>115</v>
      </c>
      <c r="AB44">
        <v>0</v>
      </c>
      <c r="AC44">
        <v>0</v>
      </c>
      <c r="AD44">
        <v>0</v>
      </c>
      <c r="AE44">
        <v>0</v>
      </c>
      <c r="AF44">
        <v>50</v>
      </c>
      <c r="AG44">
        <v>3960</v>
      </c>
      <c r="AH44">
        <v>0</v>
      </c>
      <c r="AI44">
        <v>1000</v>
      </c>
      <c r="AJ44">
        <v>0</v>
      </c>
      <c r="AK44">
        <v>500</v>
      </c>
      <c r="AL44">
        <v>1960</v>
      </c>
      <c r="AM44">
        <v>1500</v>
      </c>
      <c r="AN44">
        <v>0</v>
      </c>
      <c r="AO44" t="str">
        <f>VLOOKUP($M$3&amp;$N$3&amp;DATA_ENERO_2026[[#This Row],[SUPERVISOR]],TablaMeta[],7,0)</f>
        <v>S0</v>
      </c>
    </row>
    <row r="45" spans="1:41" x14ac:dyDescent="0.25">
      <c r="A45" s="35" t="str">
        <f>IFERROR(VLOOKUP(D1_ENERO_2026[[#This Row],[ASESOR_CRR]],PLANTILLA_ACTUAL[],2,0),"")</f>
        <v>KENNETH</v>
      </c>
      <c r="B45" s="35" t="str" cm="1">
        <f t="array" ref="B4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DANIEL ZAPATA</v>
      </c>
      <c r="C45" s="37">
        <f>IF(D1_ENERO_2026[[#This Row],[RECUPERO]]="","",VLOOKUP($M$3&amp;$N$3&amp;D1_ENERO_2026[[#This Row],[SUPER]],TablaMeta[],6,0))</f>
        <v>27900</v>
      </c>
      <c r="D45" s="36">
        <f>IFERROR(D1_ENERO_2026[[#This Row],[RECUPERO]]/VLOOKUP($M$3&amp;$N$3&amp;D1_ENERO_2026[[#This Row],[SUPER]],TablaMeta[],6,0),"")</f>
        <v>0.75376344086021507</v>
      </c>
      <c r="E45" s="36" t="str">
        <f>IFERROR(VLOOKUP(D1_ENERO_2026[[#This Row],[ASESOR_CRR]],PLANTILLA_ACTUAL[],2,0),"")</f>
        <v>KENNETH</v>
      </c>
      <c r="F45" t="s">
        <v>80</v>
      </c>
      <c r="G45" s="3">
        <v>21030</v>
      </c>
      <c r="H45" t="str">
        <f>VLOOKUP(D1_ENERO_2026[[#This Row],[ASESOR_CRR]],DIM!$C:$E,2,0)</f>
        <v>45084594</v>
      </c>
      <c r="I45" s="59">
        <f>VLOOKUP(D1_ENERO_2026[[#This Row],[ASESOR_CRR]],DIM!$C:$E,3,0)</f>
        <v>45281</v>
      </c>
      <c r="J45" s="59" t="str">
        <f>VLOOKUP(D1_ENERO_2026[[#This Row],[ASESOR_CRR]],PLANTILLA_ACTUAL[],6,0)</f>
        <v>CALL</v>
      </c>
      <c r="K45" s="59"/>
      <c r="L45" s="59"/>
      <c r="M45" s="5">
        <f>IF(DATA_ENERO_2026[[#This Row],[ASER_]]="","",VLOOKUP(DATA_ENERO_2026[[#This Row],[ASER_]],$B:$G,3,0))</f>
        <v>1.8079928315412186</v>
      </c>
      <c r="N45" s="5" t="str" cm="1">
        <f t="array" ref="N45">IF(DATA_ENERO_2026[[#This Row],[ASER_]]="","",IFERROR(_xlfn.IFS(M45&gt;=100%,"&gt;100%",AND(M45&lt;100%,M45&gt;=70%),"&gt;70%",AND(M45&lt;70%,M45&gt;=40%),"&gt;40%",AND(M45&lt;40%,M45&gt;=0%),"&gt;0%"),""))</f>
        <v>&gt;100%</v>
      </c>
      <c r="O45" s="58" t="str">
        <f>IFERROR(VLOOKUP(DATA_ENERO_2026[[#This Row],[ASER_]],$B:$G,4,0),"")</f>
        <v>KENNETH</v>
      </c>
      <c r="P45" s="6">
        <f>IF(DATA_ENERO_2026[[#This Row],[SUPERVISOR]]="","",VLOOKUP(DATA_ENERO_2026[[#This Row],[ASER_]],$B:$G,6,0))</f>
        <v>50443</v>
      </c>
      <c r="Q45" s="6">
        <f>VLOOKUP(DATA_ENERO_2026[[#This Row],[ASER_]],D1_ENERO_2026[[ASESOR_CRR]:[META]],2,0)</f>
        <v>27900</v>
      </c>
      <c r="R45" t="s">
        <v>19</v>
      </c>
      <c r="S45">
        <v>0</v>
      </c>
      <c r="T45">
        <v>0</v>
      </c>
      <c r="U45">
        <v>0</v>
      </c>
      <c r="V45">
        <v>3200</v>
      </c>
      <c r="W45">
        <v>500</v>
      </c>
      <c r="X45">
        <v>2000</v>
      </c>
      <c r="Y45">
        <v>7000</v>
      </c>
      <c r="Z45">
        <v>5000</v>
      </c>
      <c r="AA45">
        <v>3250</v>
      </c>
      <c r="AB45">
        <v>0</v>
      </c>
      <c r="AC45">
        <v>2495</v>
      </c>
      <c r="AD45">
        <v>250</v>
      </c>
      <c r="AE45">
        <v>3000</v>
      </c>
      <c r="AF45">
        <v>8000</v>
      </c>
      <c r="AG45">
        <v>250</v>
      </c>
      <c r="AH45">
        <v>0</v>
      </c>
      <c r="AI45">
        <v>0</v>
      </c>
      <c r="AJ45">
        <v>0</v>
      </c>
      <c r="AK45">
        <v>1500</v>
      </c>
      <c r="AL45">
        <v>0</v>
      </c>
      <c r="AM45">
        <v>13998</v>
      </c>
      <c r="AN45">
        <v>0</v>
      </c>
      <c r="AO45" t="str">
        <f>VLOOKUP($M$3&amp;$N$3&amp;DATA_ENERO_2026[[#This Row],[SUPERVISOR]],TablaMeta[],7,0)</f>
        <v>S0</v>
      </c>
    </row>
    <row r="46" spans="1:41" x14ac:dyDescent="0.25">
      <c r="A46" s="35" t="str">
        <f>IFERROR(VLOOKUP(D1_ENERO_2026[[#This Row],[ASESOR_CRR]],PLANTILLA_ACTUAL[],2,0),"")</f>
        <v>KENNETH</v>
      </c>
      <c r="B46" s="35" t="str" cm="1">
        <f t="array" ref="B4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JUAN LOZA</v>
      </c>
      <c r="C46" s="37">
        <f>IF(D1_ENERO_2026[[#This Row],[RECUPERO]]="","",VLOOKUP($M$3&amp;$N$3&amp;D1_ENERO_2026[[#This Row],[SUPER]],TablaMeta[],6,0))</f>
        <v>27900</v>
      </c>
      <c r="D46" s="36">
        <f>IFERROR(D1_ENERO_2026[[#This Row],[RECUPERO]]/VLOOKUP($M$3&amp;$N$3&amp;D1_ENERO_2026[[#This Row],[SUPER]],TablaMeta[],6,0),"")</f>
        <v>0.40724014336917563</v>
      </c>
      <c r="E46" s="36" t="str">
        <f>IFERROR(VLOOKUP(D1_ENERO_2026[[#This Row],[ASESOR_CRR]],PLANTILLA_ACTUAL[],2,0),"")</f>
        <v>KENNETH</v>
      </c>
      <c r="F46" t="s">
        <v>35</v>
      </c>
      <c r="G46" s="3">
        <v>11362</v>
      </c>
      <c r="H46" t="str">
        <f>VLOOKUP(D1_ENERO_2026[[#This Row],[ASESOR_CRR]],DIM!$C:$E,2,0)</f>
        <v>10491198</v>
      </c>
      <c r="I46" s="59">
        <f>VLOOKUP(D1_ENERO_2026[[#This Row],[ASESOR_CRR]],DIM!$C:$E,3,0)</f>
        <v>44746</v>
      </c>
      <c r="J46" s="59" t="str">
        <f>VLOOKUP(D1_ENERO_2026[[#This Row],[ASESOR_CRR]],PLANTILLA_ACTUAL[],6,0)</f>
        <v>CALL</v>
      </c>
      <c r="K46" s="59"/>
      <c r="L46" s="59"/>
      <c r="M46" s="5">
        <f>IF(DATA_ENERO_2026[[#This Row],[ASER_]]="","",VLOOKUP(DATA_ENERO_2026[[#This Row],[ASER_]],$B:$G,3,0))</f>
        <v>2.0576344086021505</v>
      </c>
      <c r="N46" s="5" t="str" cm="1">
        <f t="array" ref="N46">IF(DATA_ENERO_2026[[#This Row],[ASER_]]="","",IFERROR(_xlfn.IFS(M46&gt;=100%,"&gt;100%",AND(M46&lt;100%,M46&gt;=70%),"&gt;70%",AND(M46&lt;70%,M46&gt;=40%),"&gt;40%",AND(M46&lt;40%,M46&gt;=0%),"&gt;0%"),""))</f>
        <v>&gt;100%</v>
      </c>
      <c r="O46" s="58" t="str">
        <f>IFERROR(VLOOKUP(DATA_ENERO_2026[[#This Row],[ASER_]],$B:$G,4,0),"")</f>
        <v>KENNETH</v>
      </c>
      <c r="P46" s="6">
        <f>IF(DATA_ENERO_2026[[#This Row],[SUPERVISOR]]="","",VLOOKUP(DATA_ENERO_2026[[#This Row],[ASER_]],$B:$G,6,0))</f>
        <v>57408</v>
      </c>
      <c r="Q46" s="6">
        <f>VLOOKUP(DATA_ENERO_2026[[#This Row],[ASER_]],D1_ENERO_2026[[ASESOR_CRR]:[META]],2,0)</f>
        <v>27900</v>
      </c>
      <c r="R46" t="s">
        <v>81</v>
      </c>
      <c r="S46">
        <v>0</v>
      </c>
      <c r="T46">
        <v>0</v>
      </c>
      <c r="U46">
        <v>0</v>
      </c>
      <c r="V46">
        <v>0</v>
      </c>
      <c r="W46">
        <v>0</v>
      </c>
      <c r="X46">
        <v>28574</v>
      </c>
      <c r="Y46">
        <v>0</v>
      </c>
      <c r="Z46">
        <v>3925</v>
      </c>
      <c r="AA46">
        <v>0</v>
      </c>
      <c r="AB46">
        <v>500</v>
      </c>
      <c r="AC46">
        <v>1400</v>
      </c>
      <c r="AD46">
        <v>0</v>
      </c>
      <c r="AE46">
        <v>93</v>
      </c>
      <c r="AF46">
        <v>172</v>
      </c>
      <c r="AG46">
        <v>2500</v>
      </c>
      <c r="AH46">
        <v>0</v>
      </c>
      <c r="AI46">
        <v>4000</v>
      </c>
      <c r="AJ46">
        <v>0</v>
      </c>
      <c r="AK46">
        <v>5300</v>
      </c>
      <c r="AL46">
        <v>5000</v>
      </c>
      <c r="AM46">
        <v>4791</v>
      </c>
      <c r="AN46">
        <v>1153</v>
      </c>
      <c r="AO46" t="str">
        <f>VLOOKUP($M$3&amp;$N$3&amp;DATA_ENERO_2026[[#This Row],[SUPERVISOR]],TablaMeta[],7,0)</f>
        <v>S0</v>
      </c>
    </row>
    <row r="47" spans="1:41" x14ac:dyDescent="0.25">
      <c r="A47" s="35" t="str">
        <f>IFERROR(VLOOKUP(D1_ENERO_2026[[#This Row],[ASESOR_CRR]],PLANTILLA_ACTUAL[],2,0),"")</f>
        <v>KENNETH</v>
      </c>
      <c r="B47" s="35" t="str" cm="1">
        <f t="array" ref="B4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JIMENA MEDINA</v>
      </c>
      <c r="C47" s="37">
        <f>IF(D1_ENERO_2026[[#This Row],[RECUPERO]]="","",VLOOKUP($M$3&amp;$N$3&amp;D1_ENERO_2026[[#This Row],[SUPER]],TablaMeta[],6,0))</f>
        <v>27900</v>
      </c>
      <c r="D47" s="36">
        <f>IFERROR(D1_ENERO_2026[[#This Row],[RECUPERO]]/VLOOKUP($M$3&amp;$N$3&amp;D1_ENERO_2026[[#This Row],[SUPER]],TablaMeta[],6,0),"")</f>
        <v>0.21985663082437276</v>
      </c>
      <c r="E47" s="36" t="str">
        <f>IFERROR(VLOOKUP(D1_ENERO_2026[[#This Row],[ASESOR_CRR]],PLANTILLA_ACTUAL[],2,0),"")</f>
        <v>KENNETH</v>
      </c>
      <c r="F47" t="s">
        <v>37</v>
      </c>
      <c r="G47" s="3">
        <v>6134</v>
      </c>
      <c r="H47" t="str">
        <f>VLOOKUP(D1_ENERO_2026[[#This Row],[ASESOR_CRR]],DIM!$C:$E,2,0)</f>
        <v>70988976</v>
      </c>
      <c r="I47" s="59">
        <f>VLOOKUP(D1_ENERO_2026[[#This Row],[ASESOR_CRR]],DIM!$C:$E,3,0)</f>
        <v>45112</v>
      </c>
      <c r="J47" s="59" t="str">
        <f>VLOOKUP(D1_ENERO_2026[[#This Row],[ASESOR_CRR]],PLANTILLA_ACTUAL[],6,0)</f>
        <v>CALL</v>
      </c>
      <c r="K47" s="59"/>
      <c r="L47" s="59"/>
      <c r="M47" s="5">
        <f>IF(DATA_ENERO_2026[[#This Row],[ASER_]]="","",VLOOKUP(DATA_ENERO_2026[[#This Row],[ASER_]],$B:$G,3,0))</f>
        <v>1.2897132616487454</v>
      </c>
      <c r="N47" s="5" t="str" cm="1">
        <f t="array" ref="N47">IF(DATA_ENERO_2026[[#This Row],[ASER_]]="","",IFERROR(_xlfn.IFS(M47&gt;=100%,"&gt;100%",AND(M47&lt;100%,M47&gt;=70%),"&gt;70%",AND(M47&lt;70%,M47&gt;=40%),"&gt;40%",AND(M47&lt;40%,M47&gt;=0%),"&gt;0%"),""))</f>
        <v>&gt;100%</v>
      </c>
      <c r="O47" s="58" t="str">
        <f>IFERROR(VLOOKUP(DATA_ENERO_2026[[#This Row],[ASER_]],$B:$G,4,0),"")</f>
        <v>KENNETH</v>
      </c>
      <c r="P47" s="6">
        <f>IF(DATA_ENERO_2026[[#This Row],[SUPERVISOR]]="","",VLOOKUP(DATA_ENERO_2026[[#This Row],[ASER_]],$B:$G,6,0))</f>
        <v>35983</v>
      </c>
      <c r="Q47" s="6">
        <f>VLOOKUP(DATA_ENERO_2026[[#This Row],[ASER_]],D1_ENERO_2026[[ASESOR_CRR]:[META]],2,0)</f>
        <v>27900</v>
      </c>
      <c r="R47" t="s">
        <v>50</v>
      </c>
      <c r="S47">
        <v>13500</v>
      </c>
      <c r="T47">
        <v>350</v>
      </c>
      <c r="U47" s="46">
        <v>0</v>
      </c>
      <c r="V47">
        <v>0</v>
      </c>
      <c r="W47">
        <v>0</v>
      </c>
      <c r="X47">
        <v>0</v>
      </c>
      <c r="Y47">
        <v>8485</v>
      </c>
      <c r="Z47">
        <v>6750</v>
      </c>
      <c r="AA47">
        <v>4500</v>
      </c>
      <c r="AB47">
        <v>648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1750</v>
      </c>
      <c r="AL47">
        <v>0</v>
      </c>
      <c r="AM47">
        <v>0</v>
      </c>
      <c r="AN47">
        <v>0</v>
      </c>
      <c r="AO47" t="str">
        <f>VLOOKUP($M$3&amp;$N$3&amp;DATA_ENERO_2026[[#This Row],[SUPERVISOR]],TablaMeta[],7,0)</f>
        <v>S0</v>
      </c>
    </row>
    <row r="48" spans="1:41" x14ac:dyDescent="0.25">
      <c r="A48" s="35" t="str">
        <f>IFERROR(VLOOKUP(D1_ENERO_2026[[#This Row],[ASESOR_CRR]],PLANTILLA_ACTUAL[],2,0),"")</f>
        <v>JORGE</v>
      </c>
      <c r="B48" s="35" t="str" cm="1">
        <f t="array" ref="B4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LUCERO JORDAN</v>
      </c>
      <c r="C48" s="37">
        <f>IF(D1_ENERO_2026[[#This Row],[RECUPERO]]="","",VLOOKUP($M$3&amp;$N$3&amp;D1_ENERO_2026[[#This Row],[SUPER]],TablaMeta[],6,0))</f>
        <v>32600</v>
      </c>
      <c r="D48" s="36">
        <f>IFERROR(D1_ENERO_2026[[#This Row],[RECUPERO]]/VLOOKUP($M$3&amp;$N$3&amp;D1_ENERO_2026[[#This Row],[SUPER]],TablaMeta[],6,0),"")</f>
        <v>1.851717791411043</v>
      </c>
      <c r="E48" s="36" t="str">
        <f>IFERROR(VLOOKUP(D1_ENERO_2026[[#This Row],[ASESOR_CRR]],PLANTILLA_ACTUAL[],2,0),"")</f>
        <v>JORGE</v>
      </c>
      <c r="F48" t="s">
        <v>68</v>
      </c>
      <c r="G48" s="3">
        <v>60366</v>
      </c>
      <c r="H48" t="str">
        <f>VLOOKUP(D1_ENERO_2026[[#This Row],[ASESOR_CRR]],DIM!$C:$E,2,0)</f>
        <v>73257316</v>
      </c>
      <c r="I48" s="59">
        <f>VLOOKUP(D1_ENERO_2026[[#This Row],[ASESOR_CRR]],DIM!$C:$E,3,0)</f>
        <v>45363</v>
      </c>
      <c r="J48" s="59" t="str">
        <f>VLOOKUP(D1_ENERO_2026[[#This Row],[ASESOR_CRR]],PLANTILLA_ACTUAL[],6,0)</f>
        <v>CALL</v>
      </c>
      <c r="K48" s="59"/>
      <c r="L48" s="59"/>
      <c r="M48" s="5">
        <f>IF(DATA_ENERO_2026[[#This Row],[ASER_]]="","",VLOOKUP(DATA_ENERO_2026[[#This Row],[ASER_]],$B:$G,3,0))</f>
        <v>1.4598566308243728</v>
      </c>
      <c r="N48" s="5" t="str" cm="1">
        <f t="array" ref="N48">IF(DATA_ENERO_2026[[#This Row],[ASER_]]="","",IFERROR(_xlfn.IFS(M48&gt;=100%,"&gt;100%",AND(M48&lt;100%,M48&gt;=70%),"&gt;70%",AND(M48&lt;70%,M48&gt;=40%),"&gt;40%",AND(M48&lt;40%,M48&gt;=0%),"&gt;0%"),""))</f>
        <v>&gt;100%</v>
      </c>
      <c r="O48" s="58" t="str">
        <f>IFERROR(VLOOKUP(DATA_ENERO_2026[[#This Row],[ASER_]],$B:$G,4,0),"")</f>
        <v>KENNETH</v>
      </c>
      <c r="P48" s="6">
        <f>IF(DATA_ENERO_2026[[#This Row],[SUPERVISOR]]="","",VLOOKUP(DATA_ENERO_2026[[#This Row],[ASER_]],$B:$G,6,0))</f>
        <v>40730</v>
      </c>
      <c r="Q48" s="6">
        <f>VLOOKUP(DATA_ENERO_2026[[#This Row],[ASER_]],D1_ENERO_2026[[ASESOR_CRR]:[META]],2,0)</f>
        <v>27900</v>
      </c>
      <c r="R48" t="s">
        <v>105</v>
      </c>
      <c r="U48">
        <v>0</v>
      </c>
      <c r="V48">
        <v>0</v>
      </c>
      <c r="W48">
        <v>20000</v>
      </c>
      <c r="X48">
        <v>600</v>
      </c>
      <c r="Y48">
        <v>0</v>
      </c>
      <c r="Z48">
        <v>0</v>
      </c>
      <c r="AA48">
        <v>0</v>
      </c>
      <c r="AB48">
        <v>605</v>
      </c>
      <c r="AC48">
        <v>0</v>
      </c>
      <c r="AD48">
        <v>1000</v>
      </c>
      <c r="AE48">
        <v>0</v>
      </c>
      <c r="AF48">
        <v>0</v>
      </c>
      <c r="AG48">
        <v>0</v>
      </c>
      <c r="AH48">
        <v>0</v>
      </c>
      <c r="AI48">
        <v>200</v>
      </c>
      <c r="AJ48">
        <v>10000</v>
      </c>
      <c r="AK48">
        <v>0</v>
      </c>
      <c r="AL48">
        <v>3000</v>
      </c>
      <c r="AM48">
        <v>5325</v>
      </c>
      <c r="AN48">
        <v>0</v>
      </c>
      <c r="AO48" t="str">
        <f>VLOOKUP($M$3&amp;$N$3&amp;DATA_ENERO_2026[[#This Row],[SUPERVISOR]],TablaMeta[],7,0)</f>
        <v>S0</v>
      </c>
    </row>
    <row r="49" spans="1:41" x14ac:dyDescent="0.25">
      <c r="A49" s="35" t="str">
        <f>IFERROR(VLOOKUP(D1_ENERO_2026[[#This Row],[ASESOR_CRR]],PLANTILLA_ACTUAL[],2,0),"")</f>
        <v>JORGE</v>
      </c>
      <c r="B49" s="35" t="str" cm="1">
        <f t="array" ref="B4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VICTOR RAMIREZ</v>
      </c>
      <c r="C49" s="37">
        <f>IF(D1_ENERO_2026[[#This Row],[RECUPERO]]="","",VLOOKUP($M$3&amp;$N$3&amp;D1_ENERO_2026[[#This Row],[SUPER]],TablaMeta[],6,0))</f>
        <v>32600</v>
      </c>
      <c r="D49" s="36">
        <f>IFERROR(D1_ENERO_2026[[#This Row],[RECUPERO]]/VLOOKUP($M$3&amp;$N$3&amp;D1_ENERO_2026[[#This Row],[SUPER]],TablaMeta[],6,0),"")</f>
        <v>1.6673312883435583</v>
      </c>
      <c r="E49" s="36" t="str">
        <f>IFERROR(VLOOKUP(D1_ENERO_2026[[#This Row],[ASESOR_CRR]],PLANTILLA_ACTUAL[],2,0),"")</f>
        <v>JORGE</v>
      </c>
      <c r="F49" t="s">
        <v>76</v>
      </c>
      <c r="G49" s="3">
        <v>54355</v>
      </c>
      <c r="H49" t="str">
        <f>VLOOKUP(D1_ENERO_2026[[#This Row],[ASESOR_CRR]],DIM!$C:$E,2,0)</f>
        <v>60914051</v>
      </c>
      <c r="I49" s="59">
        <f>VLOOKUP(D1_ENERO_2026[[#This Row],[ASESOR_CRR]],DIM!$C:$E,3,0)</f>
        <v>44817</v>
      </c>
      <c r="J49" s="59" t="str">
        <f>VLOOKUP(D1_ENERO_2026[[#This Row],[ASESOR_CRR]],PLANTILLA_ACTUAL[],6,0)</f>
        <v>CALL</v>
      </c>
      <c r="K49" s="59"/>
      <c r="L49" s="59"/>
      <c r="M49" s="5">
        <f>IF(DATA_ENERO_2026[[#This Row],[ASER_]]="","",VLOOKUP(DATA_ENERO_2026[[#This Row],[ASER_]],$B:$G,3,0))</f>
        <v>1.5908960573476703</v>
      </c>
      <c r="N49" s="5" t="str" cm="1">
        <f t="array" ref="N49">IF(DATA_ENERO_2026[[#This Row],[ASER_]]="","",IFERROR(_xlfn.IFS(M49&gt;=100%,"&gt;100%",AND(M49&lt;100%,M49&gt;=70%),"&gt;70%",AND(M49&lt;70%,M49&gt;=40%),"&gt;40%",AND(M49&lt;40%,M49&gt;=0%),"&gt;0%"),""))</f>
        <v>&gt;100%</v>
      </c>
      <c r="O49" s="58" t="str">
        <f>IFERROR(VLOOKUP(DATA_ENERO_2026[[#This Row],[ASER_]],$B:$G,4,0),"")</f>
        <v>KENNETH</v>
      </c>
      <c r="P49" s="6">
        <f>IF(DATA_ENERO_2026[[#This Row],[SUPERVISOR]]="","",VLOOKUP(DATA_ENERO_2026[[#This Row],[ASER_]],$B:$G,6,0))</f>
        <v>44386</v>
      </c>
      <c r="Q49" s="6">
        <f>VLOOKUP(DATA_ENERO_2026[[#This Row],[ASER_]],D1_ENERO_2026[[ASESOR_CRR]:[META]],2,0)</f>
        <v>27900</v>
      </c>
      <c r="R49" t="s">
        <v>26</v>
      </c>
      <c r="S49">
        <v>1500</v>
      </c>
      <c r="T49">
        <v>0</v>
      </c>
      <c r="U49">
        <v>3500</v>
      </c>
      <c r="V49">
        <v>950</v>
      </c>
      <c r="W49">
        <v>0</v>
      </c>
      <c r="X49">
        <v>0</v>
      </c>
      <c r="Y49">
        <v>0</v>
      </c>
      <c r="Z49">
        <v>0</v>
      </c>
      <c r="AA49">
        <v>0</v>
      </c>
      <c r="AB49">
        <v>1263</v>
      </c>
      <c r="AC49">
        <v>2000</v>
      </c>
      <c r="AD49">
        <v>0</v>
      </c>
      <c r="AE49">
        <v>0</v>
      </c>
      <c r="AF49">
        <v>5850</v>
      </c>
      <c r="AG49">
        <v>3300</v>
      </c>
      <c r="AH49">
        <v>0</v>
      </c>
      <c r="AI49">
        <v>0</v>
      </c>
      <c r="AJ49">
        <v>17023</v>
      </c>
      <c r="AK49">
        <v>5000</v>
      </c>
      <c r="AL49">
        <v>0</v>
      </c>
      <c r="AM49">
        <v>4000</v>
      </c>
      <c r="AN49">
        <v>0</v>
      </c>
      <c r="AO49" t="str">
        <f>VLOOKUP($M$3&amp;$N$3&amp;DATA_ENERO_2026[[#This Row],[SUPERVISOR]],TablaMeta[],7,0)</f>
        <v>S0</v>
      </c>
    </row>
    <row r="50" spans="1:41" x14ac:dyDescent="0.25">
      <c r="A50" s="35" t="str">
        <f>IFERROR(VLOOKUP(D1_ENERO_2026[[#This Row],[ASESOR_CRR]],PLANTILLA_ACTUAL[],2,0),"")</f>
        <v>JORGE</v>
      </c>
      <c r="B50" s="35" t="str" cm="1">
        <f t="array" ref="B5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MALORY MONTEBLANCO</v>
      </c>
      <c r="C50" s="37">
        <f>IF(D1_ENERO_2026[[#This Row],[RECUPERO]]="","",VLOOKUP($M$3&amp;$N$3&amp;D1_ENERO_2026[[#This Row],[SUPER]],TablaMeta[],6,0))</f>
        <v>32600</v>
      </c>
      <c r="D50" s="36">
        <f>IFERROR(D1_ENERO_2026[[#This Row],[RECUPERO]]/VLOOKUP($M$3&amp;$N$3&amp;D1_ENERO_2026[[#This Row],[SUPER]],TablaMeta[],6,0),"")</f>
        <v>1.6223312883435583</v>
      </c>
      <c r="E50" s="36" t="str">
        <f>IFERROR(VLOOKUP(D1_ENERO_2026[[#This Row],[ASESOR_CRR]],PLANTILLA_ACTUAL[],2,0),"")</f>
        <v>JORGE</v>
      </c>
      <c r="F50" t="s">
        <v>25</v>
      </c>
      <c r="G50" s="3">
        <v>52888</v>
      </c>
      <c r="H50" t="str">
        <f>VLOOKUP(D1_ENERO_2026[[#This Row],[ASESOR_CRR]],DIM!$C:$E,2,0)</f>
        <v>72373931</v>
      </c>
      <c r="I50" s="59">
        <f>VLOOKUP(D1_ENERO_2026[[#This Row],[ASESOR_CRR]],DIM!$C:$E,3,0)</f>
        <v>44818</v>
      </c>
      <c r="J50" s="59" t="str">
        <f>VLOOKUP(D1_ENERO_2026[[#This Row],[ASESOR_CRR]],PLANTILLA_ACTUAL[],6,0)</f>
        <v>CALL</v>
      </c>
      <c r="K50" s="59"/>
      <c r="L50" s="59"/>
      <c r="M50" s="5">
        <f>IF(DATA_ENERO_2026[[#This Row],[ASER_]]="","",VLOOKUP(DATA_ENERO_2026[[#This Row],[ASER_]],$B:$G,3,0))</f>
        <v>1.38584229390681</v>
      </c>
      <c r="N50" s="5" t="str" cm="1">
        <f t="array" ref="N50">IF(DATA_ENERO_2026[[#This Row],[ASER_]]="","",IFERROR(_xlfn.IFS(M50&gt;=100%,"&gt;100%",AND(M50&lt;100%,M50&gt;=70%),"&gt;70%",AND(M50&lt;70%,M50&gt;=40%),"&gt;40%",AND(M50&lt;40%,M50&gt;=0%),"&gt;0%"),""))</f>
        <v>&gt;100%</v>
      </c>
      <c r="O50" s="58" t="str">
        <f>IFERROR(VLOOKUP(DATA_ENERO_2026[[#This Row],[ASER_]],$B:$G,4,0),"")</f>
        <v>KENNETH</v>
      </c>
      <c r="P50" s="6">
        <f>IF(DATA_ENERO_2026[[#This Row],[SUPERVISOR]]="","",VLOOKUP(DATA_ENERO_2026[[#This Row],[ASER_]],$B:$G,6,0))</f>
        <v>38665</v>
      </c>
      <c r="Q50" s="6">
        <f>VLOOKUP(DATA_ENERO_2026[[#This Row],[ASER_]],D1_ENERO_2026[[ASESOR_CRR]:[META]],2,0)</f>
        <v>27900</v>
      </c>
      <c r="R50" t="s">
        <v>11</v>
      </c>
      <c r="S50">
        <v>3300</v>
      </c>
      <c r="T50">
        <v>1500</v>
      </c>
      <c r="U50">
        <v>0</v>
      </c>
      <c r="V50">
        <v>0</v>
      </c>
      <c r="W50">
        <v>675</v>
      </c>
      <c r="X50">
        <v>0</v>
      </c>
      <c r="Y50">
        <v>0</v>
      </c>
      <c r="Z50">
        <v>0</v>
      </c>
      <c r="AA50">
        <v>13500</v>
      </c>
      <c r="AB50">
        <v>2150</v>
      </c>
      <c r="AC50">
        <v>1720</v>
      </c>
      <c r="AD50">
        <v>0</v>
      </c>
      <c r="AE50">
        <v>0</v>
      </c>
      <c r="AF50">
        <v>500</v>
      </c>
      <c r="AG50">
        <v>0</v>
      </c>
      <c r="AH50">
        <v>1000</v>
      </c>
      <c r="AI50">
        <v>0</v>
      </c>
      <c r="AJ50">
        <v>3550</v>
      </c>
      <c r="AK50">
        <v>0</v>
      </c>
      <c r="AL50">
        <v>0</v>
      </c>
      <c r="AM50">
        <v>5770</v>
      </c>
      <c r="AN50">
        <v>5000</v>
      </c>
      <c r="AO50" t="str">
        <f>VLOOKUP($M$3&amp;$N$3&amp;DATA_ENERO_2026[[#This Row],[SUPERVISOR]],TablaMeta[],7,0)</f>
        <v>S0</v>
      </c>
    </row>
    <row r="51" spans="1:41" x14ac:dyDescent="0.25">
      <c r="A51" s="35" t="str">
        <f>IFERROR(VLOOKUP(D1_ENERO_2026[[#This Row],[ASESOR_CRR]],PLANTILLA_ACTUAL[],2,0),"")</f>
        <v>JORGE</v>
      </c>
      <c r="B51" s="35" t="str" cm="1">
        <f t="array" ref="B5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MARIA HUARCAYA</v>
      </c>
      <c r="C51" s="37">
        <f>IF(D1_ENERO_2026[[#This Row],[RECUPERO]]="","",VLOOKUP($M$3&amp;$N$3&amp;D1_ENERO_2026[[#This Row],[SUPER]],TablaMeta[],6,0))</f>
        <v>32600</v>
      </c>
      <c r="D51" s="36">
        <f>IFERROR(D1_ENERO_2026[[#This Row],[RECUPERO]]/VLOOKUP($M$3&amp;$N$3&amp;D1_ENERO_2026[[#This Row],[SUPER]],TablaMeta[],6,0),"")</f>
        <v>1.5676073619631903</v>
      </c>
      <c r="E51" s="36" t="str">
        <f>IFERROR(VLOOKUP(D1_ENERO_2026[[#This Row],[ASESOR_CRR]],PLANTILLA_ACTUAL[],2,0),"")</f>
        <v>JORGE</v>
      </c>
      <c r="F51" t="s">
        <v>38</v>
      </c>
      <c r="G51" s="3">
        <v>51104</v>
      </c>
      <c r="H51" t="str">
        <f>VLOOKUP(D1_ENERO_2026[[#This Row],[ASESOR_CRR]],DIM!$C:$E,2,0)</f>
        <v>47411966</v>
      </c>
      <c r="I51" s="59">
        <f>VLOOKUP(D1_ENERO_2026[[#This Row],[ASESOR_CRR]],DIM!$C:$E,3,0)</f>
        <v>45800</v>
      </c>
      <c r="J51" s="59" t="str">
        <f>VLOOKUP(D1_ENERO_2026[[#This Row],[ASESOR_CRR]],PLANTILLA_ACTUAL[],6,0)</f>
        <v>CALL</v>
      </c>
      <c r="K51" s="59"/>
      <c r="L51" s="59"/>
      <c r="M51" s="5">
        <f>IF(DATA_ENERO_2026[[#This Row],[ASER_]]="","",VLOOKUP(DATA_ENERO_2026[[#This Row],[ASER_]],$B:$G,3,0))</f>
        <v>1.5676073619631903</v>
      </c>
      <c r="N51" s="5" t="str" cm="1">
        <f t="array" ref="N51">IF(DATA_ENERO_2026[[#This Row],[ASER_]]="","",IFERROR(_xlfn.IFS(M51&gt;=100%,"&gt;100%",AND(M51&lt;100%,M51&gt;=70%),"&gt;70%",AND(M51&lt;70%,M51&gt;=40%),"&gt;40%",AND(M51&lt;40%,M51&gt;=0%),"&gt;0%"),""))</f>
        <v>&gt;100%</v>
      </c>
      <c r="O51" s="58" t="str">
        <f>IFERROR(VLOOKUP(DATA_ENERO_2026[[#This Row],[ASER_]],$B:$G,4,0),"")</f>
        <v>JORGE</v>
      </c>
      <c r="P51" s="6">
        <f>IF(DATA_ENERO_2026[[#This Row],[SUPERVISOR]]="","",VLOOKUP(DATA_ENERO_2026[[#This Row],[ASER_]],$B:$G,6,0))</f>
        <v>51104</v>
      </c>
      <c r="Q51" s="6">
        <f>VLOOKUP(DATA_ENERO_2026[[#This Row],[ASER_]],D1_ENERO_2026[[ASESOR_CRR]:[META]],2,0)</f>
        <v>32600</v>
      </c>
      <c r="R51" t="s">
        <v>38</v>
      </c>
      <c r="S51">
        <v>0</v>
      </c>
      <c r="T51">
        <v>0</v>
      </c>
      <c r="U51">
        <v>0</v>
      </c>
      <c r="V51">
        <v>0</v>
      </c>
      <c r="W51">
        <v>0</v>
      </c>
      <c r="X51">
        <v>8573</v>
      </c>
      <c r="Y51">
        <v>18000</v>
      </c>
      <c r="Z51">
        <v>0</v>
      </c>
      <c r="AA51">
        <v>910</v>
      </c>
      <c r="AB51">
        <v>6200</v>
      </c>
      <c r="AC51">
        <v>700</v>
      </c>
      <c r="AD51">
        <v>1000</v>
      </c>
      <c r="AE51">
        <v>300</v>
      </c>
      <c r="AF51">
        <v>260</v>
      </c>
      <c r="AG51">
        <v>8200</v>
      </c>
      <c r="AH51">
        <v>1650</v>
      </c>
      <c r="AI51">
        <v>0</v>
      </c>
      <c r="AJ51">
        <v>2600</v>
      </c>
      <c r="AK51">
        <v>500</v>
      </c>
      <c r="AL51">
        <v>580</v>
      </c>
      <c r="AM51">
        <v>501</v>
      </c>
      <c r="AN51">
        <v>1130</v>
      </c>
      <c r="AO51" t="str">
        <f>VLOOKUP($M$3&amp;$N$3&amp;DATA_ENERO_2026[[#This Row],[SUPERVISOR]],TablaMeta[],7,0)</f>
        <v>S0</v>
      </c>
    </row>
    <row r="52" spans="1:41" x14ac:dyDescent="0.25">
      <c r="A52" s="35" t="str">
        <f>IFERROR(VLOOKUP(D1_ENERO_2026[[#This Row],[ASESOR_CRR]],PLANTILLA_ACTUAL[],2,0),"")</f>
        <v>JORGE</v>
      </c>
      <c r="B52" s="35" t="str" cm="1">
        <f t="array" ref="B5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ANDERSON RODRIGUEZ</v>
      </c>
      <c r="C52" s="37">
        <f>IF(D1_ENERO_2026[[#This Row],[RECUPERO]]="","",VLOOKUP($M$3&amp;$N$3&amp;D1_ENERO_2026[[#This Row],[SUPER]],TablaMeta[],6,0))</f>
        <v>32600</v>
      </c>
      <c r="D52" s="36">
        <f>IFERROR(D1_ENERO_2026[[#This Row],[RECUPERO]]/VLOOKUP($M$3&amp;$N$3&amp;D1_ENERO_2026[[#This Row],[SUPER]],TablaMeta[],6,0),"")</f>
        <v>1.1276687116564417</v>
      </c>
      <c r="E52" s="36" t="str">
        <f>IFERROR(VLOOKUP(D1_ENERO_2026[[#This Row],[ASESOR_CRR]],PLANTILLA_ACTUAL[],2,0),"")</f>
        <v>JORGE</v>
      </c>
      <c r="F52" t="s">
        <v>15</v>
      </c>
      <c r="G52" s="3">
        <v>36762</v>
      </c>
      <c r="H52" t="str">
        <f>VLOOKUP(D1_ENERO_2026[[#This Row],[ASESOR_CRR]],DIM!$C:$E,2,0)</f>
        <v>47587400</v>
      </c>
      <c r="I52" s="59">
        <f>VLOOKUP(D1_ENERO_2026[[#This Row],[ASESOR_CRR]],DIM!$C:$E,3,0)</f>
        <v>44733</v>
      </c>
      <c r="J52" s="59" t="str">
        <f>VLOOKUP(D1_ENERO_2026[[#This Row],[ASESOR_CRR]],PLANTILLA_ACTUAL[],6,0)</f>
        <v>CALL</v>
      </c>
      <c r="K52" s="59"/>
      <c r="L52" s="59"/>
      <c r="M52" s="5">
        <f>IF(DATA_ENERO_2026[[#This Row],[ASER_]]="","",VLOOKUP(DATA_ENERO_2026[[#This Row],[ASER_]],$B:$G,3,0))</f>
        <v>1.851717791411043</v>
      </c>
      <c r="N52" s="5" t="str" cm="1">
        <f t="array" ref="N52">IF(DATA_ENERO_2026[[#This Row],[ASER_]]="","",IFERROR(_xlfn.IFS(M52&gt;=100%,"&gt;100%",AND(M52&lt;100%,M52&gt;=70%),"&gt;70%",AND(M52&lt;70%,M52&gt;=40%),"&gt;40%",AND(M52&lt;40%,M52&gt;=0%),"&gt;0%"),""))</f>
        <v>&gt;100%</v>
      </c>
      <c r="O52" s="58" t="str">
        <f>IFERROR(VLOOKUP(DATA_ENERO_2026[[#This Row],[ASER_]],$B:$G,4,0),"")</f>
        <v>JORGE</v>
      </c>
      <c r="P52" s="6">
        <f>IF(DATA_ENERO_2026[[#This Row],[SUPERVISOR]]="","",VLOOKUP(DATA_ENERO_2026[[#This Row],[ASER_]],$B:$G,6,0))</f>
        <v>60366</v>
      </c>
      <c r="Q52" s="6">
        <f>VLOOKUP(DATA_ENERO_2026[[#This Row],[ASER_]],D1_ENERO_2026[[ASESOR_CRR]:[META]],2,0)</f>
        <v>32600</v>
      </c>
      <c r="R52" t="s">
        <v>68</v>
      </c>
      <c r="S52">
        <v>0</v>
      </c>
      <c r="T52">
        <v>0</v>
      </c>
      <c r="U52">
        <v>0</v>
      </c>
      <c r="V52">
        <v>0</v>
      </c>
      <c r="W52">
        <v>6000</v>
      </c>
      <c r="X52">
        <v>0</v>
      </c>
      <c r="Y52">
        <v>1400</v>
      </c>
      <c r="Z52">
        <v>3250</v>
      </c>
      <c r="AA52">
        <v>0</v>
      </c>
      <c r="AB52">
        <v>3000</v>
      </c>
      <c r="AC52">
        <v>1716</v>
      </c>
      <c r="AD52">
        <v>7400</v>
      </c>
      <c r="AE52">
        <v>0</v>
      </c>
      <c r="AF52">
        <v>0</v>
      </c>
      <c r="AG52">
        <v>4200</v>
      </c>
      <c r="AH52">
        <v>0</v>
      </c>
      <c r="AI52">
        <v>3000</v>
      </c>
      <c r="AJ52">
        <v>20400</v>
      </c>
      <c r="AK52">
        <v>10000</v>
      </c>
      <c r="AL52">
        <v>0</v>
      </c>
      <c r="AM52">
        <v>0</v>
      </c>
      <c r="AN52">
        <v>0</v>
      </c>
      <c r="AO52" t="str">
        <f>VLOOKUP($M$3&amp;$N$3&amp;DATA_ENERO_2026[[#This Row],[SUPERVISOR]],TablaMeta[],7,0)</f>
        <v>S0</v>
      </c>
    </row>
    <row r="53" spans="1:41" x14ac:dyDescent="0.25">
      <c r="A53" s="35" t="str">
        <f>IFERROR(VLOOKUP(D1_ENERO_2026[[#This Row],[ASESOR_CRR]],PLANTILLA_ACTUAL[],2,0),"")</f>
        <v>JORGE</v>
      </c>
      <c r="B53" s="35" t="str" cm="1">
        <f t="array" ref="B5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HAROLD FLORES</v>
      </c>
      <c r="C53" s="37">
        <f>IF(D1_ENERO_2026[[#This Row],[RECUPERO]]="","",VLOOKUP($M$3&amp;$N$3&amp;D1_ENERO_2026[[#This Row],[SUPER]],TablaMeta[],6,0))</f>
        <v>32600</v>
      </c>
      <c r="D53" s="36">
        <f>IFERROR(D1_ENERO_2026[[#This Row],[RECUPERO]]/VLOOKUP($M$3&amp;$N$3&amp;D1_ENERO_2026[[#This Row],[SUPER]],TablaMeta[],6,0),"")</f>
        <v>0.9349119631901841</v>
      </c>
      <c r="E53" s="36" t="str">
        <f>IFERROR(VLOOKUP(D1_ENERO_2026[[#This Row],[ASESOR_CRR]],PLANTILLA_ACTUAL[],2,0),"")</f>
        <v>JORGE</v>
      </c>
      <c r="F53" t="s">
        <v>42</v>
      </c>
      <c r="G53" s="3">
        <v>30478.13</v>
      </c>
      <c r="H53" t="str">
        <f>VLOOKUP(D1_ENERO_2026[[#This Row],[ASESOR_CRR]],DIM!$C:$E,2,0)</f>
        <v>73725129</v>
      </c>
      <c r="I53" s="59">
        <f>VLOOKUP(D1_ENERO_2026[[#This Row],[ASESOR_CRR]],DIM!$C:$E,3,0)</f>
        <v>45398</v>
      </c>
      <c r="J53" s="59" t="str">
        <f>VLOOKUP(D1_ENERO_2026[[#This Row],[ASESOR_CRR]],PLANTILLA_ACTUAL[],6,0)</f>
        <v>CALL</v>
      </c>
      <c r="K53" s="59"/>
      <c r="L53" s="59"/>
      <c r="M53" s="5">
        <f>IF(DATA_ENERO_2026[[#This Row],[ASER_]]="","",VLOOKUP(DATA_ENERO_2026[[#This Row],[ASER_]],$B:$G,3,0))</f>
        <v>0.86219018404907977</v>
      </c>
      <c r="N53" s="5" t="str" cm="1">
        <f t="array" ref="N53">IF(DATA_ENERO_2026[[#This Row],[ASER_]]="","",IFERROR(_xlfn.IFS(M53&gt;=100%,"&gt;100%",AND(M53&lt;100%,M53&gt;=70%),"&gt;70%",AND(M53&lt;70%,M53&gt;=40%),"&gt;40%",AND(M53&lt;40%,M53&gt;=0%),"&gt;0%"),""))</f>
        <v>&gt;70%</v>
      </c>
      <c r="O53" s="58" t="str">
        <f>IFERROR(VLOOKUP(DATA_ENERO_2026[[#This Row],[ASER_]],$B:$G,4,0),"")</f>
        <v>JORGE</v>
      </c>
      <c r="P53" s="6">
        <f>IF(DATA_ENERO_2026[[#This Row],[SUPERVISOR]]="","",VLOOKUP(DATA_ENERO_2026[[#This Row],[ASER_]],$B:$G,6,0))</f>
        <v>28107.4</v>
      </c>
      <c r="Q53" s="6">
        <f>VLOOKUP(DATA_ENERO_2026[[#This Row],[ASER_]],D1_ENERO_2026[[ASESOR_CRR]:[META]],2,0)</f>
        <v>32600</v>
      </c>
      <c r="R53" t="s">
        <v>29</v>
      </c>
      <c r="S53">
        <v>1108.4000000000001</v>
      </c>
      <c r="T53">
        <v>0</v>
      </c>
      <c r="U53">
        <v>250</v>
      </c>
      <c r="V53">
        <v>380</v>
      </c>
      <c r="W53">
        <v>0</v>
      </c>
      <c r="X53">
        <v>1656.5</v>
      </c>
      <c r="Y53">
        <v>0</v>
      </c>
      <c r="Z53">
        <v>0</v>
      </c>
      <c r="AA53">
        <v>3815</v>
      </c>
      <c r="AB53">
        <v>1000</v>
      </c>
      <c r="AC53">
        <v>5364.5</v>
      </c>
      <c r="AD53">
        <v>0</v>
      </c>
      <c r="AE53">
        <v>519</v>
      </c>
      <c r="AF53">
        <v>637</v>
      </c>
      <c r="AG53">
        <v>250</v>
      </c>
      <c r="AH53">
        <v>1180</v>
      </c>
      <c r="AI53">
        <v>3265</v>
      </c>
      <c r="AJ53">
        <v>2500</v>
      </c>
      <c r="AK53">
        <v>450</v>
      </c>
      <c r="AL53">
        <v>5732</v>
      </c>
      <c r="AM53">
        <v>0</v>
      </c>
      <c r="AN53">
        <v>0</v>
      </c>
      <c r="AO53" t="str">
        <f>VLOOKUP($M$3&amp;$N$3&amp;DATA_ENERO_2026[[#This Row],[SUPERVISOR]],TablaMeta[],7,0)</f>
        <v>S0</v>
      </c>
    </row>
    <row r="54" spans="1:41" x14ac:dyDescent="0.25">
      <c r="A54" s="35" t="str">
        <f>IFERROR(VLOOKUP(D1_ENERO_2026[[#This Row],[ASESOR_CRR]],PLANTILLA_ACTUAL[],2,0),"")</f>
        <v>JORGE</v>
      </c>
      <c r="B54" s="35" t="str" cm="1">
        <f t="array" ref="B5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NATALIA MARIN</v>
      </c>
      <c r="C54" s="37">
        <f>IF(D1_ENERO_2026[[#This Row],[RECUPERO]]="","",VLOOKUP($M$3&amp;$N$3&amp;D1_ENERO_2026[[#This Row],[SUPER]],TablaMeta[],6,0))</f>
        <v>32600</v>
      </c>
      <c r="D54" s="36">
        <f>IFERROR(D1_ENERO_2026[[#This Row],[RECUPERO]]/VLOOKUP($M$3&amp;$N$3&amp;D1_ENERO_2026[[#This Row],[SUPER]],TablaMeta[],6,0),"")</f>
        <v>0.89745398773006135</v>
      </c>
      <c r="E54" s="36" t="str">
        <f>IFERROR(VLOOKUP(D1_ENERO_2026[[#This Row],[ASESOR_CRR]],PLANTILLA_ACTUAL[],2,0),"")</f>
        <v>JORGE</v>
      </c>
      <c r="F54" t="s">
        <v>79</v>
      </c>
      <c r="G54" s="3">
        <v>29257</v>
      </c>
      <c r="H54" t="str">
        <f>VLOOKUP(D1_ENERO_2026[[#This Row],[ASESOR_CRR]],DIM!$C:$E,2,0)</f>
        <v>71262377</v>
      </c>
      <c r="I54" s="59">
        <f>VLOOKUP(D1_ENERO_2026[[#This Row],[ASESOR_CRR]],DIM!$C:$E,3,0)</f>
        <v>45145</v>
      </c>
      <c r="J54" s="59" t="str">
        <f>VLOOKUP(D1_ENERO_2026[[#This Row],[ASESOR_CRR]],PLANTILLA_ACTUAL[],6,0)</f>
        <v>CALL</v>
      </c>
      <c r="K54" s="59"/>
      <c r="M54" s="5">
        <f>IF(DATA_ENERO_2026[[#This Row],[ASER_]]="","",VLOOKUP(DATA_ENERO_2026[[#This Row],[ASER_]],$B:$G,3,0))</f>
        <v>0.9349119631901841</v>
      </c>
      <c r="N54" s="5" t="str" cm="1">
        <f t="array" ref="N54">IF(DATA_ENERO_2026[[#This Row],[ASER_]]="","",IFERROR(_xlfn.IFS(M54&gt;=100%,"&gt;100%",AND(M54&lt;100%,M54&gt;=70%),"&gt;70%",AND(M54&lt;70%,M54&gt;=40%),"&gt;40%",AND(M54&lt;40%,M54&gt;=0%),"&gt;0%"),""))</f>
        <v>&gt;70%</v>
      </c>
      <c r="O54" s="58" t="str">
        <f>IFERROR(VLOOKUP(DATA_ENERO_2026[[#This Row],[ASER_]],$B:$G,4,0),"")</f>
        <v>JORGE</v>
      </c>
      <c r="P54" s="6">
        <f>IF(DATA_ENERO_2026[[#This Row],[SUPERVISOR]]="","",VLOOKUP(DATA_ENERO_2026[[#This Row],[ASER_]],$B:$G,6,0))</f>
        <v>30478.13</v>
      </c>
      <c r="Q54" s="6">
        <f>VLOOKUP(DATA_ENERO_2026[[#This Row],[ASER_]],D1_ENERO_2026[[ASESOR_CRR]:[META]],2,0)</f>
        <v>32600</v>
      </c>
      <c r="R54" t="s">
        <v>42</v>
      </c>
      <c r="S54">
        <v>0</v>
      </c>
      <c r="T54">
        <v>1650</v>
      </c>
      <c r="U54">
        <v>0</v>
      </c>
      <c r="V54">
        <v>1825</v>
      </c>
      <c r="W54">
        <v>0</v>
      </c>
      <c r="X54">
        <v>0</v>
      </c>
      <c r="Y54">
        <v>0</v>
      </c>
      <c r="Z54">
        <v>5000</v>
      </c>
      <c r="AA54">
        <v>4631.13</v>
      </c>
      <c r="AB54">
        <v>125</v>
      </c>
      <c r="AC54">
        <v>1215</v>
      </c>
      <c r="AD54">
        <v>0</v>
      </c>
      <c r="AE54">
        <v>0</v>
      </c>
      <c r="AF54">
        <v>3860</v>
      </c>
      <c r="AG54">
        <v>5200</v>
      </c>
      <c r="AH54">
        <v>0</v>
      </c>
      <c r="AI54">
        <v>4910</v>
      </c>
      <c r="AJ54">
        <v>232</v>
      </c>
      <c r="AK54">
        <v>0</v>
      </c>
      <c r="AL54">
        <v>0</v>
      </c>
      <c r="AM54">
        <v>350</v>
      </c>
      <c r="AN54">
        <v>1480</v>
      </c>
      <c r="AO54" t="str">
        <f>VLOOKUP($M$3&amp;$N$3&amp;DATA_ENERO_2026[[#This Row],[SUPERVISOR]],TablaMeta[],7,0)</f>
        <v>S0</v>
      </c>
    </row>
    <row r="55" spans="1:41" x14ac:dyDescent="0.25">
      <c r="A55" s="35" t="str">
        <f>IFERROR(VLOOKUP(D1_ENERO_2026[[#This Row],[ASESOR_CRR]],PLANTILLA_ACTUAL[],2,0),"")</f>
        <v>JORGE</v>
      </c>
      <c r="B55" s="35" t="str" cm="1">
        <f t="array" ref="B5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LUIS VALLADARES</v>
      </c>
      <c r="C55" s="37">
        <f>IF(D1_ENERO_2026[[#This Row],[RECUPERO]]="","",VLOOKUP($M$3&amp;$N$3&amp;D1_ENERO_2026[[#This Row],[SUPER]],TablaMeta[],6,0))</f>
        <v>32600</v>
      </c>
      <c r="D55" s="36">
        <f>IFERROR(D1_ENERO_2026[[#This Row],[RECUPERO]]/VLOOKUP($M$3&amp;$N$3&amp;D1_ENERO_2026[[#This Row],[SUPER]],TablaMeta[],6,0),"")</f>
        <v>0.86219018404907977</v>
      </c>
      <c r="E55" s="36" t="str">
        <f>IFERROR(VLOOKUP(D1_ENERO_2026[[#This Row],[ASESOR_CRR]],PLANTILLA_ACTUAL[],2,0),"")</f>
        <v>JORGE</v>
      </c>
      <c r="F55" t="s">
        <v>29</v>
      </c>
      <c r="G55" s="3">
        <v>28107.4</v>
      </c>
      <c r="H55" t="str">
        <f>VLOOKUP(D1_ENERO_2026[[#This Row],[ASESOR_CRR]],DIM!$C:$E,2,0)</f>
        <v>72758956</v>
      </c>
      <c r="I55" s="59">
        <f>VLOOKUP(D1_ENERO_2026[[#This Row],[ASESOR_CRR]],DIM!$C:$E,3,0)</f>
        <v>44685</v>
      </c>
      <c r="J55" s="59" t="str">
        <f>VLOOKUP(D1_ENERO_2026[[#This Row],[ASESOR_CRR]],PLANTILLA_ACTUAL[],6,0)</f>
        <v>CALL</v>
      </c>
      <c r="K55" s="59"/>
      <c r="M55" s="5">
        <f>IF(DATA_ENERO_2026[[#This Row],[ASER_]]="","",VLOOKUP(DATA_ENERO_2026[[#This Row],[ASER_]],$B:$G,3,0))</f>
        <v>1.1276687116564417</v>
      </c>
      <c r="N55" s="5" t="str" cm="1">
        <f t="array" ref="N55">IF(DATA_ENERO_2026[[#This Row],[ASER_]]="","",IFERROR(_xlfn.IFS(M55&gt;=100%,"&gt;100%",AND(M55&lt;100%,M55&gt;=70%),"&gt;70%",AND(M55&lt;70%,M55&gt;=40%),"&gt;40%",AND(M55&lt;40%,M55&gt;=0%),"&gt;0%"),""))</f>
        <v>&gt;100%</v>
      </c>
      <c r="O55" s="58" t="str">
        <f>IFERROR(VLOOKUP(DATA_ENERO_2026[[#This Row],[ASER_]],$B:$G,4,0),"")</f>
        <v>JORGE</v>
      </c>
      <c r="P55" s="6">
        <f>IF(DATA_ENERO_2026[[#This Row],[SUPERVISOR]]="","",VLOOKUP(DATA_ENERO_2026[[#This Row],[ASER_]],$B:$G,6,0))</f>
        <v>36762</v>
      </c>
      <c r="Q55" s="6">
        <f>VLOOKUP(DATA_ENERO_2026[[#This Row],[ASER_]],D1_ENERO_2026[[ASESOR_CRR]:[META]],2,0)</f>
        <v>32600</v>
      </c>
      <c r="R55" t="s">
        <v>15</v>
      </c>
      <c r="S55">
        <v>0</v>
      </c>
      <c r="T55">
        <v>0</v>
      </c>
      <c r="U55">
        <v>0</v>
      </c>
      <c r="V55">
        <v>0</v>
      </c>
      <c r="W55">
        <v>351</v>
      </c>
      <c r="X55">
        <v>340</v>
      </c>
      <c r="Y55">
        <v>0</v>
      </c>
      <c r="Z55">
        <v>3130</v>
      </c>
      <c r="AA55">
        <v>0</v>
      </c>
      <c r="AB55">
        <v>3000</v>
      </c>
      <c r="AC55">
        <v>0</v>
      </c>
      <c r="AD55">
        <v>0</v>
      </c>
      <c r="AE55">
        <v>0</v>
      </c>
      <c r="AF55">
        <v>0</v>
      </c>
      <c r="AG55">
        <v>320</v>
      </c>
      <c r="AH55">
        <v>0</v>
      </c>
      <c r="AI55">
        <v>0</v>
      </c>
      <c r="AJ55">
        <v>3781</v>
      </c>
      <c r="AK55">
        <v>11000</v>
      </c>
      <c r="AL55">
        <v>0</v>
      </c>
      <c r="AM55">
        <v>11500</v>
      </c>
      <c r="AN55">
        <v>3340</v>
      </c>
      <c r="AO55" t="str">
        <f>VLOOKUP($M$3&amp;$N$3&amp;DATA_ENERO_2026[[#This Row],[SUPERVISOR]],TablaMeta[],7,0)</f>
        <v>S0</v>
      </c>
    </row>
    <row r="56" spans="1:41" x14ac:dyDescent="0.25">
      <c r="A56" s="35" t="str">
        <f>IFERROR(VLOOKUP(D1_ENERO_2026[[#This Row],[ASESOR_CRR]],PLANTILLA_ACTUAL[],2,0),"")</f>
        <v>JORGE</v>
      </c>
      <c r="B56" s="35" t="str" cm="1">
        <f t="array" ref="B5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URSULA CENTENO</v>
      </c>
      <c r="C56" s="37">
        <f>IF(D1_ENERO_2026[[#This Row],[RECUPERO]]="","",VLOOKUP($M$3&amp;$N$3&amp;D1_ENERO_2026[[#This Row],[SUPER]],TablaMeta[],6,0))</f>
        <v>32600</v>
      </c>
      <c r="D56" s="36">
        <f>IFERROR(D1_ENERO_2026[[#This Row],[RECUPERO]]/VLOOKUP($M$3&amp;$N$3&amp;D1_ENERO_2026[[#This Row],[SUPER]],TablaMeta[],6,0),"")</f>
        <v>0.5134355828220859</v>
      </c>
      <c r="E56" s="36" t="str">
        <f>IFERROR(VLOOKUP(D1_ENERO_2026[[#This Row],[ASESOR_CRR]],PLANTILLA_ACTUAL[],2,0),"")</f>
        <v>JORGE</v>
      </c>
      <c r="F56" t="s">
        <v>78</v>
      </c>
      <c r="G56" s="3">
        <v>16738</v>
      </c>
      <c r="H56" t="str">
        <f>VLOOKUP(D1_ENERO_2026[[#This Row],[ASESOR_CRR]],DIM!$C:$E,2,0)</f>
        <v>10706451</v>
      </c>
      <c r="I56" s="59">
        <f>VLOOKUP(D1_ENERO_2026[[#This Row],[ASESOR_CRR]],DIM!$C:$E,3,0)</f>
        <v>44943</v>
      </c>
      <c r="J56" s="59" t="str">
        <f>VLOOKUP(D1_ENERO_2026[[#This Row],[ASESOR_CRR]],PLANTILLA_ACTUAL[],6,0)</f>
        <v>CALL</v>
      </c>
      <c r="K56" s="59"/>
      <c r="M56" s="5">
        <f>IF(DATA_ENERO_2026[[#This Row],[ASER_]]="","",VLOOKUP(DATA_ENERO_2026[[#This Row],[ASER_]],$B:$G,3,0))</f>
        <v>1.6223312883435583</v>
      </c>
      <c r="N56" s="57" t="str" cm="1">
        <f t="array" ref="N56">IF(DATA_ENERO_2026[[#This Row],[ASER_]]="","",IFERROR(_xlfn.IFS(M56&gt;=100%,"&gt;100%",AND(M56&lt;100%,M56&gt;=70%),"&gt;70%",AND(M56&lt;70%,M56&gt;=40%),"&gt;40%",AND(M56&lt;40%,M56&gt;=0%),"&gt;0%"),""))</f>
        <v>&gt;100%</v>
      </c>
      <c r="O56" s="58" t="str">
        <f>IFERROR(VLOOKUP(DATA_ENERO_2026[[#This Row],[ASER_]],$B:$G,4,0),"")</f>
        <v>JORGE</v>
      </c>
      <c r="P56" s="6">
        <f>IF(DATA_ENERO_2026[[#This Row],[SUPERVISOR]]="","",VLOOKUP(DATA_ENERO_2026[[#This Row],[ASER_]],$B:$G,6,0))</f>
        <v>52888</v>
      </c>
      <c r="Q56" s="6">
        <f>VLOOKUP(DATA_ENERO_2026[[#This Row],[ASER_]],D1_ENERO_2026[[ASESOR_CRR]:[META]],2,0)</f>
        <v>32600</v>
      </c>
      <c r="R56" t="s">
        <v>25</v>
      </c>
      <c r="S56">
        <v>0</v>
      </c>
      <c r="T56">
        <v>458</v>
      </c>
      <c r="U56">
        <v>0</v>
      </c>
      <c r="V56">
        <v>0</v>
      </c>
      <c r="W56">
        <v>10500</v>
      </c>
      <c r="X56">
        <v>0</v>
      </c>
      <c r="Y56">
        <v>2500</v>
      </c>
      <c r="Z56">
        <v>4780</v>
      </c>
      <c r="AA56">
        <v>10000</v>
      </c>
      <c r="AB56">
        <v>0</v>
      </c>
      <c r="AC56">
        <v>2250</v>
      </c>
      <c r="AD56">
        <v>0</v>
      </c>
      <c r="AE56">
        <v>0</v>
      </c>
      <c r="AF56">
        <v>10000</v>
      </c>
      <c r="AG56">
        <v>11000</v>
      </c>
      <c r="AH56">
        <v>0</v>
      </c>
      <c r="AI56">
        <v>0</v>
      </c>
      <c r="AJ56">
        <v>400</v>
      </c>
      <c r="AK56">
        <v>0</v>
      </c>
      <c r="AL56">
        <v>600</v>
      </c>
      <c r="AM56">
        <v>200</v>
      </c>
      <c r="AN56">
        <v>200</v>
      </c>
      <c r="AO56" t="str">
        <f>VLOOKUP($M$3&amp;$N$3&amp;DATA_ENERO_2026[[#This Row],[SUPERVISOR]],TablaMeta[],7,0)</f>
        <v>S0</v>
      </c>
    </row>
    <row r="57" spans="1:41" x14ac:dyDescent="0.25">
      <c r="H57"/>
      <c r="M57" s="5">
        <f>IF(DATA_ENERO_2026[[#This Row],[ASER_]]="","",VLOOKUP(DATA_ENERO_2026[[#This Row],[ASER_]],$B:$G,3,0))</f>
        <v>1.6673312883435583</v>
      </c>
      <c r="N57" s="57" t="str" cm="1">
        <f t="array" ref="N57">IF(DATA_ENERO_2026[[#This Row],[ASER_]]="","",IFERROR(_xlfn.IFS(M57&gt;=100%,"&gt;100%",AND(M57&lt;100%,M57&gt;=70%),"&gt;70%",AND(M57&lt;70%,M57&gt;=40%),"&gt;40%",AND(M57&lt;40%,M57&gt;=0%),"&gt;0%"),""))</f>
        <v>&gt;100%</v>
      </c>
      <c r="O57" s="58" t="str">
        <f>IFERROR(VLOOKUP(DATA_ENERO_2026[[#This Row],[ASER_]],$B:$G,4,0),"")</f>
        <v>JORGE</v>
      </c>
      <c r="P57" s="6">
        <f>IF(DATA_ENERO_2026[[#This Row],[SUPERVISOR]]="","",VLOOKUP(DATA_ENERO_2026[[#This Row],[ASER_]],$B:$G,6,0))</f>
        <v>54355</v>
      </c>
      <c r="Q57" s="6">
        <f>VLOOKUP(DATA_ENERO_2026[[#This Row],[ASER_]],D1_ENERO_2026[[ASESOR_CRR]:[META]],2,0)</f>
        <v>32600</v>
      </c>
      <c r="R57" t="s">
        <v>76</v>
      </c>
      <c r="S57">
        <v>0</v>
      </c>
      <c r="T57">
        <v>8000</v>
      </c>
      <c r="U57">
        <v>0</v>
      </c>
      <c r="V57">
        <v>800</v>
      </c>
      <c r="W57">
        <v>0</v>
      </c>
      <c r="X57">
        <v>4000</v>
      </c>
      <c r="Y57">
        <v>4200</v>
      </c>
      <c r="Z57">
        <v>8050</v>
      </c>
      <c r="AA57">
        <v>0</v>
      </c>
      <c r="AB57">
        <v>5105</v>
      </c>
      <c r="AC57">
        <v>250</v>
      </c>
      <c r="AD57">
        <v>450</v>
      </c>
      <c r="AE57">
        <v>450</v>
      </c>
      <c r="AF57">
        <v>2000</v>
      </c>
      <c r="AG57">
        <v>300</v>
      </c>
      <c r="AH57">
        <v>250</v>
      </c>
      <c r="AI57">
        <v>0</v>
      </c>
      <c r="AJ57">
        <v>0</v>
      </c>
      <c r="AK57">
        <v>0</v>
      </c>
      <c r="AL57">
        <v>0</v>
      </c>
      <c r="AM57">
        <v>10500</v>
      </c>
      <c r="AN57">
        <v>10000</v>
      </c>
      <c r="AO57" t="str">
        <f>VLOOKUP($M$3&amp;$N$3&amp;DATA_ENERO_2026[[#This Row],[SUPERVISOR]],TablaMeta[],7,0)</f>
        <v>S0</v>
      </c>
    </row>
    <row r="58" spans="1:41" x14ac:dyDescent="0.25">
      <c r="H58"/>
      <c r="M58" s="5">
        <f>IF(DATA_ENERO_2026[[#This Row],[ASER_]]="","",VLOOKUP(DATA_ENERO_2026[[#This Row],[ASER_]],$B:$G,3,0))</f>
        <v>0.89745398773006135</v>
      </c>
      <c r="N58" s="57" t="str" cm="1">
        <f t="array" ref="N58">IF(DATA_ENERO_2026[[#This Row],[ASER_]]="","",IFERROR(_xlfn.IFS(M58&gt;=100%,"&gt;100%",AND(M58&lt;100%,M58&gt;=70%),"&gt;70%",AND(M58&lt;70%,M58&gt;=40%),"&gt;40%",AND(M58&lt;40%,M58&gt;=0%),"&gt;0%"),""))</f>
        <v>&gt;70%</v>
      </c>
      <c r="O58" s="58" t="str">
        <f>IFERROR(VLOOKUP(DATA_ENERO_2026[[#This Row],[ASER_]],$B:$G,4,0),"")</f>
        <v>JORGE</v>
      </c>
      <c r="P58" s="6">
        <f>IF(DATA_ENERO_2026[[#This Row],[SUPERVISOR]]="","",VLOOKUP(DATA_ENERO_2026[[#This Row],[ASER_]],$B:$G,6,0))</f>
        <v>29257</v>
      </c>
      <c r="Q58" s="6">
        <f>VLOOKUP(DATA_ENERO_2026[[#This Row],[ASER_]],D1_ENERO_2026[[ASESOR_CRR]:[META]],2,0)</f>
        <v>32600</v>
      </c>
      <c r="R58" t="s">
        <v>79</v>
      </c>
      <c r="S58">
        <v>0</v>
      </c>
      <c r="T58">
        <v>0</v>
      </c>
      <c r="U58">
        <v>400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250</v>
      </c>
      <c r="AD58">
        <v>3500</v>
      </c>
      <c r="AE58">
        <v>0</v>
      </c>
      <c r="AF58">
        <v>7150</v>
      </c>
      <c r="AG58">
        <v>5637</v>
      </c>
      <c r="AH58">
        <v>3000</v>
      </c>
      <c r="AI58">
        <v>0</v>
      </c>
      <c r="AJ58">
        <v>0</v>
      </c>
      <c r="AK58">
        <v>0</v>
      </c>
      <c r="AL58">
        <v>500</v>
      </c>
      <c r="AM58">
        <v>8520</v>
      </c>
      <c r="AN58">
        <v>300</v>
      </c>
      <c r="AO58" t="str">
        <f>VLOOKUP($M$3&amp;$N$3&amp;DATA_ENERO_2026[[#This Row],[SUPERVISOR]],TablaMeta[],7,0)</f>
        <v>S0</v>
      </c>
    </row>
    <row r="59" spans="1:41" x14ac:dyDescent="0.25">
      <c r="H59"/>
      <c r="M59" s="5">
        <f>IF(DATA_ENERO_2026[[#This Row],[ASER_]]="","",VLOOKUP(DATA_ENERO_2026[[#This Row],[ASER_]],$B:$G,3,0))</f>
        <v>0.5134355828220859</v>
      </c>
      <c r="N59" s="57" t="str" cm="1">
        <f t="array" ref="N59">IF(DATA_ENERO_2026[[#This Row],[ASER_]]="","",IFERROR(_xlfn.IFS(M59&gt;=100%,"&gt;100%",AND(M59&lt;100%,M59&gt;=70%),"&gt;70%",AND(M59&lt;70%,M59&gt;=40%),"&gt;40%",AND(M59&lt;40%,M59&gt;=0%),"&gt;0%"),""))</f>
        <v>&gt;40%</v>
      </c>
      <c r="O59" s="58" t="str">
        <f>IFERROR(VLOOKUP(DATA_ENERO_2026[[#This Row],[ASER_]],$B:$G,4,0),"")</f>
        <v>JORGE</v>
      </c>
      <c r="P59" s="6">
        <f>IF(DATA_ENERO_2026[[#This Row],[SUPERVISOR]]="","",VLOOKUP(DATA_ENERO_2026[[#This Row],[ASER_]],$B:$G,6,0))</f>
        <v>16738</v>
      </c>
      <c r="Q59" s="6">
        <f>VLOOKUP(DATA_ENERO_2026[[#This Row],[ASER_]],D1_ENERO_2026[[ASESOR_CRR]:[META]],2,0)</f>
        <v>32600</v>
      </c>
      <c r="R59" t="s">
        <v>78</v>
      </c>
      <c r="S59">
        <v>500</v>
      </c>
      <c r="T59">
        <v>0</v>
      </c>
      <c r="U59">
        <v>0</v>
      </c>
      <c r="V59">
        <v>0</v>
      </c>
      <c r="W59">
        <v>0</v>
      </c>
      <c r="X59">
        <v>1640</v>
      </c>
      <c r="Y59">
        <v>450</v>
      </c>
      <c r="Z59">
        <v>0</v>
      </c>
      <c r="AA59">
        <v>3500</v>
      </c>
      <c r="AB59">
        <v>2000</v>
      </c>
      <c r="AC59">
        <v>0</v>
      </c>
      <c r="AD59">
        <v>4810</v>
      </c>
      <c r="AE59">
        <v>0</v>
      </c>
      <c r="AF59">
        <v>0</v>
      </c>
      <c r="AG59">
        <v>0</v>
      </c>
      <c r="AH59">
        <v>200</v>
      </c>
      <c r="AI59">
        <v>0</v>
      </c>
      <c r="AJ59">
        <v>300</v>
      </c>
      <c r="AK59">
        <v>0</v>
      </c>
      <c r="AL59">
        <v>451</v>
      </c>
      <c r="AM59">
        <v>1887</v>
      </c>
      <c r="AN59">
        <v>1000</v>
      </c>
      <c r="AO59" t="str">
        <f>VLOOKUP($M$3&amp;$N$3&amp;DATA_ENERO_2026[[#This Row],[SUPERVISOR]],TablaMeta[],7,0)</f>
        <v>S0</v>
      </c>
    </row>
    <row r="60" spans="1:41" x14ac:dyDescent="0.25">
      <c r="H60"/>
    </row>
    <row r="61" spans="1:41" x14ac:dyDescent="0.25">
      <c r="H61"/>
    </row>
    <row r="62" spans="1:41" x14ac:dyDescent="0.25">
      <c r="H62"/>
    </row>
    <row r="63" spans="1:41" x14ac:dyDescent="0.25">
      <c r="H63"/>
    </row>
    <row r="64" spans="1:41" x14ac:dyDescent="0.25">
      <c r="H64"/>
    </row>
    <row r="65" spans="6:41" x14ac:dyDescent="0.25">
      <c r="H65"/>
    </row>
    <row r="66" spans="6:41" x14ac:dyDescent="0.25">
      <c r="F66" s="3"/>
      <c r="G66" s="1"/>
      <c r="H66"/>
    </row>
    <row r="67" spans="6:41" x14ac:dyDescent="0.25">
      <c r="F67" s="3"/>
      <c r="G67" s="1"/>
      <c r="H67"/>
    </row>
    <row r="68" spans="6:41" x14ac:dyDescent="0.25">
      <c r="F68" s="3"/>
      <c r="G68" s="1"/>
    </row>
    <row r="69" spans="6:41" x14ac:dyDescent="0.25">
      <c r="F69" s="3"/>
      <c r="G69" s="1"/>
    </row>
    <row r="70" spans="6:41" x14ac:dyDescent="0.25">
      <c r="G70" s="3"/>
      <c r="Y70" s="4"/>
      <c r="Z70" s="4"/>
      <c r="AA70" s="4"/>
      <c r="AB70" s="4"/>
      <c r="AC70" s="4"/>
      <c r="AD70" s="4"/>
      <c r="AE70" s="4"/>
      <c r="AF70" s="4"/>
      <c r="AH70" s="4"/>
      <c r="AI70" s="4"/>
      <c r="AJ70" s="4"/>
      <c r="AK70" s="4"/>
      <c r="AL70" s="4"/>
      <c r="AM70" s="4"/>
      <c r="AN70" s="4"/>
      <c r="AO70" s="4"/>
    </row>
    <row r="71" spans="6:41" x14ac:dyDescent="0.25">
      <c r="G71" s="3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</row>
    <row r="72" spans="6:41" x14ac:dyDescent="0.25">
      <c r="G72" s="3"/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</row>
    <row r="73" spans="6:41" x14ac:dyDescent="0.25">
      <c r="G73" s="3"/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</row>
    <row r="74" spans="6:41" x14ac:dyDescent="0.25">
      <c r="G74" s="3"/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</row>
    <row r="75" spans="6:41" x14ac:dyDescent="0.25">
      <c r="G75" s="3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</row>
    <row r="76" spans="6:41" x14ac:dyDescent="0.25">
      <c r="G76" s="3"/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</row>
    <row r="77" spans="6:41" x14ac:dyDescent="0.25">
      <c r="G77" s="3"/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</row>
    <row r="78" spans="6:41" x14ac:dyDescent="0.25">
      <c r="G78" s="3"/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</row>
    <row r="79" spans="6:41" x14ac:dyDescent="0.25"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</row>
    <row r="80" spans="6:41" x14ac:dyDescent="0.25"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</row>
    <row r="81" spans="24:42" x14ac:dyDescent="0.25"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</row>
    <row r="82" spans="24:42" x14ac:dyDescent="0.25"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</row>
    <row r="83" spans="24:42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4"/>
    </row>
    <row r="84" spans="24:42" x14ac:dyDescent="0.25">
      <c r="X84" s="5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</row>
    <row r="85" spans="24:42" x14ac:dyDescent="0.25">
      <c r="X85" s="5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</row>
    <row r="86" spans="24:42" x14ac:dyDescent="0.25">
      <c r="X86" s="5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</row>
    <row r="87" spans="24:42" x14ac:dyDescent="0.25">
      <c r="X87" s="5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</row>
    <row r="88" spans="24:42" x14ac:dyDescent="0.25">
      <c r="X88" s="5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</row>
    <row r="89" spans="24:42" x14ac:dyDescent="0.25">
      <c r="X89" s="5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</row>
    <row r="90" spans="24:42" x14ac:dyDescent="0.25">
      <c r="X90" s="5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</row>
    <row r="91" spans="24:42" x14ac:dyDescent="0.25"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</row>
    <row r="92" spans="24:42" x14ac:dyDescent="0.25">
      <c r="X92" s="5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</row>
    <row r="93" spans="24:42" x14ac:dyDescent="0.25">
      <c r="X93" s="5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</row>
    <row r="94" spans="24:42" x14ac:dyDescent="0.25">
      <c r="X94" s="5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</row>
    <row r="95" spans="24:42" x14ac:dyDescent="0.25">
      <c r="X95" s="5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</row>
    <row r="96" spans="24:42" x14ac:dyDescent="0.25">
      <c r="X96" s="5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</row>
    <row r="97" spans="24:42" x14ac:dyDescent="0.25">
      <c r="X97" s="5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</row>
    <row r="98" spans="24:42" x14ac:dyDescent="0.25">
      <c r="X98" s="5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</row>
    <row r="99" spans="24:42" x14ac:dyDescent="0.25">
      <c r="X99" s="5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</row>
    <row r="100" spans="24:42" x14ac:dyDescent="0.25">
      <c r="X100" s="5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</row>
    <row r="101" spans="24:42" x14ac:dyDescent="0.25">
      <c r="X101" s="5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</row>
    <row r="102" spans="24:42" x14ac:dyDescent="0.25">
      <c r="X102" s="5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</row>
    <row r="103" spans="24:42" x14ac:dyDescent="0.25">
      <c r="X103" s="5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</row>
    <row r="104" spans="24:42" x14ac:dyDescent="0.25">
      <c r="X104" s="5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</row>
    <row r="105" spans="24:42" x14ac:dyDescent="0.25">
      <c r="X105" s="5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</row>
    <row r="106" spans="24:42" x14ac:dyDescent="0.25">
      <c r="X106" s="5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</row>
    <row r="107" spans="24:42" x14ac:dyDescent="0.25">
      <c r="X107" s="5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</row>
    <row r="108" spans="24:42" x14ac:dyDescent="0.25">
      <c r="X108" s="5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</row>
    <row r="109" spans="24:42" x14ac:dyDescent="0.25">
      <c r="X109" s="5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</row>
    <row r="110" spans="24:42" x14ac:dyDescent="0.25">
      <c r="X110" s="5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</row>
    <row r="111" spans="24:42" x14ac:dyDescent="0.25">
      <c r="X111" s="5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</row>
    <row r="112" spans="24:42" x14ac:dyDescent="0.25">
      <c r="X112" s="5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</row>
    <row r="113" spans="24:43" x14ac:dyDescent="0.25">
      <c r="X113" s="5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</row>
    <row r="114" spans="24:43" x14ac:dyDescent="0.25">
      <c r="X114" s="5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7"/>
    </row>
    <row r="115" spans="24:43" x14ac:dyDescent="0.25">
      <c r="X115" s="5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7"/>
    </row>
    <row r="116" spans="24:43" x14ac:dyDescent="0.25">
      <c r="X116" s="5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7"/>
    </row>
    <row r="117" spans="24:43" x14ac:dyDescent="0.25">
      <c r="X117" s="5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7"/>
    </row>
    <row r="118" spans="24:43" x14ac:dyDescent="0.25">
      <c r="X118" s="5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7"/>
    </row>
    <row r="119" spans="24:43" x14ac:dyDescent="0.25">
      <c r="X119" s="5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7"/>
    </row>
    <row r="120" spans="24:43" x14ac:dyDescent="0.25">
      <c r="X120" s="5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7"/>
    </row>
    <row r="121" spans="24:43" x14ac:dyDescent="0.25">
      <c r="X121" s="5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7"/>
    </row>
    <row r="122" spans="24:43" x14ac:dyDescent="0.25">
      <c r="X122" s="5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7"/>
    </row>
    <row r="123" spans="24:43" x14ac:dyDescent="0.25">
      <c r="X123" s="5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7"/>
    </row>
    <row r="124" spans="24:43" x14ac:dyDescent="0.25">
      <c r="X124" s="5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7"/>
    </row>
    <row r="125" spans="24:43" x14ac:dyDescent="0.25">
      <c r="X125" s="5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7"/>
    </row>
    <row r="126" spans="24:43" x14ac:dyDescent="0.25">
      <c r="X126" s="5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7"/>
    </row>
    <row r="127" spans="24:43" x14ac:dyDescent="0.25">
      <c r="X127" s="5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7"/>
    </row>
    <row r="128" spans="24:43" x14ac:dyDescent="0.25">
      <c r="X128" s="5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7"/>
    </row>
    <row r="129" spans="24:43" x14ac:dyDescent="0.25">
      <c r="X129" s="5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7"/>
    </row>
    <row r="130" spans="24:43" x14ac:dyDescent="0.25">
      <c r="X130" s="5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7"/>
    </row>
    <row r="131" spans="24:43" x14ac:dyDescent="0.25">
      <c r="X131" s="5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7"/>
    </row>
    <row r="132" spans="24:43" x14ac:dyDescent="0.25">
      <c r="AP132" s="6"/>
      <c r="AQ132" s="7"/>
    </row>
    <row r="133" spans="24:43" x14ac:dyDescent="0.25">
      <c r="AP133" s="6"/>
      <c r="AQ133" s="7"/>
    </row>
    <row r="134" spans="24:43" x14ac:dyDescent="0.25">
      <c r="AP134" s="6"/>
      <c r="AQ134" s="7"/>
    </row>
    <row r="135" spans="24:43" x14ac:dyDescent="0.25">
      <c r="AP135" s="6"/>
      <c r="AQ135" s="7"/>
    </row>
    <row r="136" spans="24:43" x14ac:dyDescent="0.25">
      <c r="AP136" s="6"/>
      <c r="AQ136" s="7"/>
    </row>
    <row r="137" spans="24:43" x14ac:dyDescent="0.25">
      <c r="AP137" s="6"/>
      <c r="AQ137" s="7"/>
    </row>
    <row r="138" spans="24:43" x14ac:dyDescent="0.25">
      <c r="AP138" s="6"/>
      <c r="AQ138" s="7"/>
    </row>
    <row r="139" spans="24:43" x14ac:dyDescent="0.25">
      <c r="AP139" s="6"/>
      <c r="AQ139" s="7"/>
    </row>
    <row r="140" spans="24:43" x14ac:dyDescent="0.25">
      <c r="AP140" s="6"/>
      <c r="AQ140" s="7"/>
    </row>
    <row r="141" spans="24:43" x14ac:dyDescent="0.25">
      <c r="AP141" s="6"/>
      <c r="AQ141" s="7"/>
    </row>
    <row r="142" spans="24:43" x14ac:dyDescent="0.25">
      <c r="AP142" s="6"/>
      <c r="AQ142" s="7"/>
    </row>
    <row r="143" spans="24:43" x14ac:dyDescent="0.25">
      <c r="AP143" s="6"/>
      <c r="AQ143" s="7"/>
    </row>
    <row r="144" spans="24:43" x14ac:dyDescent="0.25">
      <c r="AP144" s="6"/>
      <c r="AQ144" s="7"/>
    </row>
    <row r="145" spans="43:43" x14ac:dyDescent="0.25">
      <c r="AQ145" s="7"/>
    </row>
    <row r="146" spans="43:43" x14ac:dyDescent="0.25">
      <c r="AQ146" s="7"/>
    </row>
    <row r="147" spans="43:43" x14ac:dyDescent="0.25">
      <c r="AQ147" s="7"/>
    </row>
    <row r="148" spans="43:43" x14ac:dyDescent="0.25">
      <c r="AQ148" s="7"/>
    </row>
    <row r="149" spans="43:43" x14ac:dyDescent="0.25">
      <c r="AQ149" s="7"/>
    </row>
    <row r="150" spans="43:43" x14ac:dyDescent="0.25">
      <c r="AQ150" s="7"/>
    </row>
    <row r="151" spans="43:43" x14ac:dyDescent="0.25">
      <c r="AQ151" s="7"/>
    </row>
    <row r="152" spans="43:43" x14ac:dyDescent="0.25">
      <c r="AQ152" s="7"/>
    </row>
    <row r="153" spans="43:43" x14ac:dyDescent="0.25">
      <c r="AQ153" s="7"/>
    </row>
    <row r="154" spans="43:43" x14ac:dyDescent="0.25">
      <c r="AQ154" s="7"/>
    </row>
    <row r="155" spans="43:43" x14ac:dyDescent="0.25">
      <c r="AQ155" s="7"/>
    </row>
    <row r="156" spans="43:43" x14ac:dyDescent="0.25">
      <c r="AQ156" s="7"/>
    </row>
    <row r="157" spans="43:43" x14ac:dyDescent="0.25">
      <c r="AQ157" s="7"/>
    </row>
    <row r="158" spans="43:43" x14ac:dyDescent="0.25">
      <c r="AQ158" s="7"/>
    </row>
    <row r="159" spans="43:43" x14ac:dyDescent="0.25">
      <c r="AQ159" s="7"/>
    </row>
    <row r="160" spans="43:43" x14ac:dyDescent="0.25">
      <c r="AQ160" s="7"/>
    </row>
    <row r="161" spans="43:43" x14ac:dyDescent="0.25">
      <c r="AQ161" s="7"/>
    </row>
    <row r="162" spans="43:43" x14ac:dyDescent="0.25">
      <c r="AQ162" s="7"/>
    </row>
    <row r="163" spans="43:43" x14ac:dyDescent="0.25">
      <c r="AQ163" s="7"/>
    </row>
    <row r="164" spans="43:43" x14ac:dyDescent="0.25">
      <c r="AQ164" s="7"/>
    </row>
    <row r="165" spans="43:43" x14ac:dyDescent="0.25">
      <c r="AQ165" s="7"/>
    </row>
    <row r="166" spans="43:43" x14ac:dyDescent="0.25">
      <c r="AQ166" s="7"/>
    </row>
    <row r="167" spans="43:43" x14ac:dyDescent="0.25">
      <c r="AQ167" s="7"/>
    </row>
    <row r="168" spans="43:43" x14ac:dyDescent="0.25">
      <c r="AQ168" s="7"/>
    </row>
    <row r="169" spans="43:43" x14ac:dyDescent="0.25">
      <c r="AQ169" s="7"/>
    </row>
    <row r="170" spans="43:43" x14ac:dyDescent="0.25">
      <c r="AQ170" s="7"/>
    </row>
    <row r="171" spans="43:43" x14ac:dyDescent="0.25">
      <c r="AQ171" s="7"/>
    </row>
    <row r="172" spans="43:43" x14ac:dyDescent="0.25">
      <c r="AQ172" s="7"/>
    </row>
    <row r="173" spans="43:43" x14ac:dyDescent="0.25">
      <c r="AQ173" s="7"/>
    </row>
    <row r="174" spans="43:43" x14ac:dyDescent="0.25">
      <c r="AQ174" s="7"/>
    </row>
  </sheetData>
  <phoneticPr fontId="2" type="noConversion"/>
  <conditionalFormatting sqref="R9:R59">
    <cfRule type="duplicateValues" dxfId="0" priority="2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5"/>
  <sheetViews>
    <sheetView workbookViewId="0">
      <selection activeCell="D8" sqref="D8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212</v>
      </c>
      <c r="B1" t="s">
        <v>364</v>
      </c>
      <c r="C1" t="s">
        <v>356</v>
      </c>
      <c r="D1" t="s">
        <v>355</v>
      </c>
      <c r="E1" t="s">
        <v>362</v>
      </c>
      <c r="F1" t="s">
        <v>136</v>
      </c>
      <c r="G1" t="s">
        <v>363</v>
      </c>
    </row>
    <row r="2" spans="1:7" x14ac:dyDescent="0.25">
      <c r="A2" t="s">
        <v>58</v>
      </c>
      <c r="B2" t="s">
        <v>365</v>
      </c>
      <c r="C2" s="59">
        <v>34110</v>
      </c>
      <c r="D2" t="s">
        <v>218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21</v>
      </c>
    </row>
    <row r="3" spans="1:7" x14ac:dyDescent="0.25">
      <c r="A3" t="s">
        <v>23</v>
      </c>
      <c r="B3" t="s">
        <v>365</v>
      </c>
      <c r="C3" s="59">
        <v>35504</v>
      </c>
      <c r="D3" t="s">
        <v>213</v>
      </c>
      <c r="E3" t="s">
        <v>0</v>
      </c>
      <c r="F3" t="str">
        <f>UPPER(TEXT(pbi_ListaEmpleadosExpertis[[#This Row],[FEC_NAC]],"mmmm"))</f>
        <v>MARZO</v>
      </c>
      <c r="G3">
        <f>DAY(pbi_ListaEmpleadosExpertis[[#This Row],[FEC_NAC]])</f>
        <v>15</v>
      </c>
    </row>
    <row r="4" spans="1:7" x14ac:dyDescent="0.25">
      <c r="A4" t="s">
        <v>236</v>
      </c>
      <c r="B4" t="s">
        <v>366</v>
      </c>
      <c r="C4" s="59">
        <v>34917</v>
      </c>
      <c r="D4" t="s">
        <v>237</v>
      </c>
      <c r="E4" t="s">
        <v>357</v>
      </c>
      <c r="F4" t="str">
        <f>UPPER(TEXT(pbi_ListaEmpleadosExpertis[[#This Row],[FEC_NAC]],"mmmm"))</f>
        <v>AGOSTO</v>
      </c>
      <c r="G4">
        <f>DAY(pbi_ListaEmpleadosExpertis[[#This Row],[FEC_NAC]])</f>
        <v>6</v>
      </c>
    </row>
    <row r="5" spans="1:7" x14ac:dyDescent="0.25">
      <c r="A5" t="s">
        <v>214</v>
      </c>
      <c r="B5" t="s">
        <v>133</v>
      </c>
      <c r="C5" s="59">
        <v>34332</v>
      </c>
      <c r="D5" t="s">
        <v>215</v>
      </c>
      <c r="E5" t="s">
        <v>357</v>
      </c>
      <c r="F5" t="str">
        <f>UPPER(TEXT(pbi_ListaEmpleadosExpertis[[#This Row],[FEC_NAC]],"mmmm"))</f>
        <v>DICIEMBRE</v>
      </c>
      <c r="G5">
        <f>DAY(pbi_ListaEmpleadosExpertis[[#This Row],[FEC_NAC]])</f>
        <v>29</v>
      </c>
    </row>
    <row r="6" spans="1:7" x14ac:dyDescent="0.25">
      <c r="A6" t="s">
        <v>216</v>
      </c>
      <c r="B6" t="s">
        <v>133</v>
      </c>
      <c r="C6" s="59">
        <v>32748</v>
      </c>
      <c r="D6" t="s">
        <v>217</v>
      </c>
      <c r="E6" t="s">
        <v>357</v>
      </c>
      <c r="F6" t="str">
        <f>UPPER(TEXT(pbi_ListaEmpleadosExpertis[[#This Row],[FEC_NAC]],"mmmm"))</f>
        <v>AGOSTO</v>
      </c>
      <c r="G6">
        <f>DAY(pbi_ListaEmpleadosExpertis[[#This Row],[FEC_NAC]])</f>
        <v>28</v>
      </c>
    </row>
    <row r="7" spans="1:7" x14ac:dyDescent="0.25">
      <c r="A7" t="s">
        <v>238</v>
      </c>
      <c r="B7" t="s">
        <v>367</v>
      </c>
      <c r="C7" s="59">
        <v>32523</v>
      </c>
      <c r="D7" t="s">
        <v>239</v>
      </c>
      <c r="E7" t="s">
        <v>357</v>
      </c>
      <c r="F7" t="str">
        <f>UPPER(TEXT(pbi_ListaEmpleadosExpertis[[#This Row],[FEC_NAC]],"mmmm"))</f>
        <v>ENERO</v>
      </c>
      <c r="G7">
        <f>DAY(pbi_ListaEmpleadosExpertis[[#This Row],[FEC_NAC]])</f>
        <v>15</v>
      </c>
    </row>
    <row r="8" spans="1:7" x14ac:dyDescent="0.25">
      <c r="A8" t="s">
        <v>242</v>
      </c>
      <c r="B8" t="s">
        <v>368</v>
      </c>
      <c r="C8" s="59">
        <v>31700</v>
      </c>
      <c r="D8" t="s">
        <v>243</v>
      </c>
      <c r="E8" t="s">
        <v>357</v>
      </c>
      <c r="F8" t="str">
        <f>UPPER(TEXT(pbi_ListaEmpleadosExpertis[[#This Row],[FEC_NAC]],"mmmm"))</f>
        <v>OCTUBRE</v>
      </c>
      <c r="G8">
        <f>DAY(pbi_ListaEmpleadosExpertis[[#This Row],[FEC_NAC]])</f>
        <v>15</v>
      </c>
    </row>
    <row r="9" spans="1:7" x14ac:dyDescent="0.25">
      <c r="A9" t="s">
        <v>49</v>
      </c>
      <c r="B9" t="s">
        <v>365</v>
      </c>
      <c r="C9" s="59">
        <v>29446</v>
      </c>
      <c r="D9" t="s">
        <v>219</v>
      </c>
      <c r="E9" t="s">
        <v>0</v>
      </c>
      <c r="F9" t="str">
        <f>UPPER(TEXT(pbi_ListaEmpleadosExpertis[[#This Row],[FEC_NAC]],"mmmm"))</f>
        <v>AGOSTO</v>
      </c>
      <c r="G9">
        <f>DAY(pbi_ListaEmpleadosExpertis[[#This Row],[FEC_NAC]])</f>
        <v>13</v>
      </c>
    </row>
    <row r="10" spans="1:7" x14ac:dyDescent="0.25">
      <c r="A10" t="s">
        <v>240</v>
      </c>
      <c r="B10" t="s">
        <v>369</v>
      </c>
      <c r="C10" s="59">
        <v>30884</v>
      </c>
      <c r="D10" t="s">
        <v>241</v>
      </c>
      <c r="E10" t="s">
        <v>357</v>
      </c>
      <c r="F10" t="str">
        <f>UPPER(TEXT(pbi_ListaEmpleadosExpertis[[#This Row],[FEC_NAC]],"mmmm"))</f>
        <v>JULIO</v>
      </c>
      <c r="G10">
        <f>DAY(pbi_ListaEmpleadosExpertis[[#This Row],[FEC_NAC]])</f>
        <v>21</v>
      </c>
    </row>
    <row r="11" spans="1:7" x14ac:dyDescent="0.25">
      <c r="A11" t="s">
        <v>37</v>
      </c>
      <c r="B11" t="s">
        <v>365</v>
      </c>
      <c r="C11" s="59">
        <v>36072</v>
      </c>
      <c r="D11" t="s">
        <v>220</v>
      </c>
      <c r="E11" t="s">
        <v>0</v>
      </c>
      <c r="F11" t="str">
        <f>UPPER(TEXT(pbi_ListaEmpleadosExpertis[[#This Row],[FEC_NAC]],"mmmm"))</f>
        <v>OCTUBRE</v>
      </c>
      <c r="G11">
        <f>DAY(pbi_ListaEmpleadosExpertis[[#This Row],[FEC_NAC]])</f>
        <v>4</v>
      </c>
    </row>
    <row r="12" spans="1:7" x14ac:dyDescent="0.25">
      <c r="A12" t="s">
        <v>26</v>
      </c>
      <c r="B12" t="s">
        <v>365</v>
      </c>
      <c r="C12" s="59">
        <v>29802</v>
      </c>
      <c r="D12" t="s">
        <v>223</v>
      </c>
      <c r="E12" t="s">
        <v>0</v>
      </c>
      <c r="F12" t="str">
        <f>UPPER(TEXT(pbi_ListaEmpleadosExpertis[[#This Row],[FEC_NAC]],"mmmm"))</f>
        <v>AGOSTO</v>
      </c>
      <c r="G12">
        <f>DAY(pbi_ListaEmpleadosExpertis[[#This Row],[FEC_NAC]])</f>
        <v>4</v>
      </c>
    </row>
    <row r="13" spans="1:7" x14ac:dyDescent="0.25">
      <c r="A13" t="s">
        <v>221</v>
      </c>
      <c r="B13" t="s">
        <v>133</v>
      </c>
      <c r="C13" s="59">
        <v>35909</v>
      </c>
      <c r="D13" t="s">
        <v>222</v>
      </c>
      <c r="E13" t="s">
        <v>357</v>
      </c>
      <c r="F13" t="str">
        <f>UPPER(TEXT(pbi_ListaEmpleadosExpertis[[#This Row],[FEC_NAC]],"mmmm"))</f>
        <v>ABRIL</v>
      </c>
      <c r="G13">
        <f>DAY(pbi_ListaEmpleadosExpertis[[#This Row],[FEC_NAC]])</f>
        <v>24</v>
      </c>
    </row>
    <row r="14" spans="1:7" x14ac:dyDescent="0.25">
      <c r="A14" t="s">
        <v>224</v>
      </c>
      <c r="B14" t="s">
        <v>133</v>
      </c>
      <c r="C14" s="59">
        <v>37410</v>
      </c>
      <c r="D14" t="s">
        <v>225</v>
      </c>
      <c r="E14" t="s">
        <v>357</v>
      </c>
      <c r="F14" t="str">
        <f>UPPER(TEXT(pbi_ListaEmpleadosExpertis[[#This Row],[FEC_NAC]],"mmmm"))</f>
        <v>JUNIO</v>
      </c>
      <c r="G14">
        <f>DAY(pbi_ListaEmpleadosExpertis[[#This Row],[FEC_NAC]])</f>
        <v>3</v>
      </c>
    </row>
    <row r="15" spans="1:7" x14ac:dyDescent="0.25">
      <c r="A15" t="s">
        <v>234</v>
      </c>
      <c r="B15" t="s">
        <v>370</v>
      </c>
      <c r="C15" s="59">
        <v>35013</v>
      </c>
      <c r="D15" t="s">
        <v>235</v>
      </c>
      <c r="E15" t="s">
        <v>357</v>
      </c>
      <c r="F15" t="str">
        <f>UPPER(TEXT(pbi_ListaEmpleadosExpertis[[#This Row],[FEC_NAC]],"mmmm"))</f>
        <v>NOVIEMBRE</v>
      </c>
      <c r="G15">
        <f>DAY(pbi_ListaEmpleadosExpertis[[#This Row],[FEC_NAC]])</f>
        <v>10</v>
      </c>
    </row>
    <row r="16" spans="1:7" x14ac:dyDescent="0.25">
      <c r="A16" t="s">
        <v>230</v>
      </c>
      <c r="B16" t="s">
        <v>371</v>
      </c>
      <c r="C16" s="59">
        <v>32507</v>
      </c>
      <c r="D16" t="s">
        <v>231</v>
      </c>
      <c r="E16" t="s">
        <v>357</v>
      </c>
      <c r="F16" t="str">
        <f>UPPER(TEXT(pbi_ListaEmpleadosExpertis[[#This Row],[FEC_NAC]],"mmmm"))</f>
        <v>DICIEMBRE</v>
      </c>
      <c r="G16">
        <f>DAY(pbi_ListaEmpleadosExpertis[[#This Row],[FEC_NAC]])</f>
        <v>30</v>
      </c>
    </row>
    <row r="17" spans="1:7" x14ac:dyDescent="0.25">
      <c r="A17" t="s">
        <v>226</v>
      </c>
      <c r="B17" t="s">
        <v>133</v>
      </c>
      <c r="C17" s="59">
        <v>34369</v>
      </c>
      <c r="D17" t="s">
        <v>227</v>
      </c>
      <c r="E17" t="s">
        <v>357</v>
      </c>
      <c r="F17" t="str">
        <f>UPPER(TEXT(pbi_ListaEmpleadosExpertis[[#This Row],[FEC_NAC]],"mmmm"))</f>
        <v>FEBRERO</v>
      </c>
      <c r="G17">
        <f>DAY(pbi_ListaEmpleadosExpertis[[#This Row],[FEC_NAC]])</f>
        <v>4</v>
      </c>
    </row>
    <row r="18" spans="1:7" x14ac:dyDescent="0.25">
      <c r="A18" t="s">
        <v>228</v>
      </c>
      <c r="B18" t="s">
        <v>133</v>
      </c>
      <c r="C18" s="59">
        <v>34159</v>
      </c>
      <c r="D18" t="s">
        <v>229</v>
      </c>
      <c r="E18" t="s">
        <v>357</v>
      </c>
      <c r="F18" t="str">
        <f>UPPER(TEXT(pbi_ListaEmpleadosExpertis[[#This Row],[FEC_NAC]],"mmmm"))</f>
        <v>JULIO</v>
      </c>
      <c r="G18">
        <f>DAY(pbi_ListaEmpleadosExpertis[[#This Row],[FEC_NAC]])</f>
        <v>9</v>
      </c>
    </row>
    <row r="19" spans="1:7" x14ac:dyDescent="0.25">
      <c r="A19" t="s">
        <v>232</v>
      </c>
      <c r="B19" t="s">
        <v>372</v>
      </c>
      <c r="C19" s="59">
        <v>32245</v>
      </c>
      <c r="D19" t="s">
        <v>233</v>
      </c>
      <c r="E19" t="s">
        <v>357</v>
      </c>
      <c r="F19" t="str">
        <f>UPPER(TEXT(pbi_ListaEmpleadosExpertis[[#This Row],[FEC_NAC]],"mmmm"))</f>
        <v>ABRIL</v>
      </c>
      <c r="G19">
        <f>DAY(pbi_ListaEmpleadosExpertis[[#This Row],[FEC_NAC]])</f>
        <v>12</v>
      </c>
    </row>
    <row r="20" spans="1:7" x14ac:dyDescent="0.25">
      <c r="A20" t="s">
        <v>244</v>
      </c>
      <c r="B20" t="s">
        <v>373</v>
      </c>
      <c r="C20" s="59">
        <v>28072</v>
      </c>
      <c r="D20" t="s">
        <v>245</v>
      </c>
      <c r="E20" t="s">
        <v>357</v>
      </c>
      <c r="F20" t="str">
        <f>UPPER(TEXT(pbi_ListaEmpleadosExpertis[[#This Row],[FEC_NAC]],"mmmm"))</f>
        <v>NOVIEMBRE</v>
      </c>
      <c r="G20">
        <f>DAY(pbi_ListaEmpleadosExpertis[[#This Row],[FEC_NAC]])</f>
        <v>8</v>
      </c>
    </row>
    <row r="21" spans="1:7" x14ac:dyDescent="0.25">
      <c r="A21" t="s">
        <v>79</v>
      </c>
      <c r="B21" t="s">
        <v>365</v>
      </c>
      <c r="C21" s="59">
        <v>35268</v>
      </c>
      <c r="D21" t="s">
        <v>246</v>
      </c>
      <c r="E21" t="s">
        <v>0</v>
      </c>
      <c r="F21" t="str">
        <f>UPPER(TEXT(pbi_ListaEmpleadosExpertis[[#This Row],[FEC_NAC]],"mmmm"))</f>
        <v>JULIO</v>
      </c>
      <c r="G21">
        <f>DAY(pbi_ListaEmpleadosExpertis[[#This Row],[FEC_NAC]])</f>
        <v>22</v>
      </c>
    </row>
    <row r="22" spans="1:7" x14ac:dyDescent="0.25">
      <c r="A22" t="s">
        <v>41</v>
      </c>
      <c r="B22" t="s">
        <v>365</v>
      </c>
      <c r="C22" s="59">
        <v>32742</v>
      </c>
      <c r="D22" t="s">
        <v>247</v>
      </c>
      <c r="E22" t="s">
        <v>0</v>
      </c>
      <c r="F22" t="str">
        <f>UPPER(TEXT(pbi_ListaEmpleadosExpertis[[#This Row],[FEC_NAC]],"mmmm"))</f>
        <v>AGOSTO</v>
      </c>
      <c r="G22">
        <f>DAY(pbi_ListaEmpleadosExpertis[[#This Row],[FEC_NAC]])</f>
        <v>22</v>
      </c>
    </row>
    <row r="23" spans="1:7" x14ac:dyDescent="0.25">
      <c r="A23" t="s">
        <v>105</v>
      </c>
      <c r="B23" t="s">
        <v>365</v>
      </c>
      <c r="C23" s="59">
        <v>34138</v>
      </c>
      <c r="D23" t="s">
        <v>248</v>
      </c>
      <c r="E23" t="s">
        <v>0</v>
      </c>
      <c r="F23" t="str">
        <f>UPPER(TEXT(pbi_ListaEmpleadosExpertis[[#This Row],[FEC_NAC]],"mmmm"))</f>
        <v>JUNIO</v>
      </c>
      <c r="G23">
        <f>DAY(pbi_ListaEmpleadosExpertis[[#This Row],[FEC_NAC]])</f>
        <v>18</v>
      </c>
    </row>
    <row r="24" spans="1:7" x14ac:dyDescent="0.25">
      <c r="A24" t="s">
        <v>19</v>
      </c>
      <c r="B24" t="s">
        <v>365</v>
      </c>
      <c r="C24" s="59">
        <v>35905</v>
      </c>
      <c r="D24" t="s">
        <v>249</v>
      </c>
      <c r="E24" t="s">
        <v>0</v>
      </c>
      <c r="F24" t="str">
        <f>UPPER(TEXT(pbi_ListaEmpleadosExpertis[[#This Row],[FEC_NAC]],"mmmm"))</f>
        <v>ABRIL</v>
      </c>
      <c r="G24">
        <f>DAY(pbi_ListaEmpleadosExpertis[[#This Row],[FEC_NAC]])</f>
        <v>20</v>
      </c>
    </row>
    <row r="25" spans="1:7" x14ac:dyDescent="0.25">
      <c r="A25" t="s">
        <v>250</v>
      </c>
      <c r="B25" t="s">
        <v>133</v>
      </c>
      <c r="C25" s="59">
        <v>31900</v>
      </c>
      <c r="D25" t="s">
        <v>251</v>
      </c>
      <c r="E25" t="s">
        <v>357</v>
      </c>
      <c r="F25" t="str">
        <f>UPPER(TEXT(pbi_ListaEmpleadosExpertis[[#This Row],[FEC_NAC]],"mmmm"))</f>
        <v>MAYO</v>
      </c>
      <c r="G25">
        <f>DAY(pbi_ListaEmpleadosExpertis[[#This Row],[FEC_NAC]])</f>
        <v>3</v>
      </c>
    </row>
    <row r="26" spans="1:7" x14ac:dyDescent="0.25">
      <c r="A26" t="s">
        <v>29</v>
      </c>
      <c r="B26" t="s">
        <v>365</v>
      </c>
      <c r="C26" s="59">
        <v>34083</v>
      </c>
      <c r="D26" t="s">
        <v>252</v>
      </c>
      <c r="E26" t="s">
        <v>0</v>
      </c>
      <c r="F26" t="str">
        <f>UPPER(TEXT(pbi_ListaEmpleadosExpertis[[#This Row],[FEC_NAC]],"mmmm"))</f>
        <v>ABRIL</v>
      </c>
      <c r="G26">
        <f>DAY(pbi_ListaEmpleadosExpertis[[#This Row],[FEC_NAC]])</f>
        <v>24</v>
      </c>
    </row>
    <row r="27" spans="1:7" x14ac:dyDescent="0.25">
      <c r="A27" t="s">
        <v>10</v>
      </c>
      <c r="B27" t="s">
        <v>365</v>
      </c>
      <c r="C27" s="59">
        <v>29662</v>
      </c>
      <c r="D27" t="s">
        <v>253</v>
      </c>
      <c r="E27" t="s">
        <v>0</v>
      </c>
      <c r="F27" t="str">
        <f>UPPER(TEXT(pbi_ListaEmpleadosExpertis[[#This Row],[FEC_NAC]],"mmmm"))</f>
        <v>MARZO</v>
      </c>
      <c r="G27">
        <f>DAY(pbi_ListaEmpleadosExpertis[[#This Row],[FEC_NAC]])</f>
        <v>17</v>
      </c>
    </row>
    <row r="28" spans="1:7" x14ac:dyDescent="0.25">
      <c r="A28" t="s">
        <v>75</v>
      </c>
      <c r="B28" t="s">
        <v>365</v>
      </c>
      <c r="C28" s="59">
        <v>34563</v>
      </c>
      <c r="D28" t="s">
        <v>254</v>
      </c>
      <c r="E28" t="s">
        <v>0</v>
      </c>
      <c r="F28" t="str">
        <f>UPPER(TEXT(pbi_ListaEmpleadosExpertis[[#This Row],[FEC_NAC]],"mmmm"))</f>
        <v>AGOSTO</v>
      </c>
      <c r="G28">
        <f>DAY(pbi_ListaEmpleadosExpertis[[#This Row],[FEC_NAC]])</f>
        <v>17</v>
      </c>
    </row>
    <row r="29" spans="1:7" x14ac:dyDescent="0.25">
      <c r="A29" t="s">
        <v>15</v>
      </c>
      <c r="B29" t="s">
        <v>365</v>
      </c>
      <c r="C29" s="59">
        <v>33997</v>
      </c>
      <c r="D29" t="s">
        <v>255</v>
      </c>
      <c r="E29" t="s">
        <v>0</v>
      </c>
      <c r="F29" t="str">
        <f>UPPER(TEXT(pbi_ListaEmpleadosExpertis[[#This Row],[FEC_NAC]],"mmmm"))</f>
        <v>ENERO</v>
      </c>
      <c r="G29">
        <f>DAY(pbi_ListaEmpleadosExpertis[[#This Row],[FEC_NAC]])</f>
        <v>28</v>
      </c>
    </row>
    <row r="30" spans="1:7" x14ac:dyDescent="0.25">
      <c r="A30" t="s">
        <v>35</v>
      </c>
      <c r="B30" t="s">
        <v>365</v>
      </c>
      <c r="C30" s="59">
        <v>28011</v>
      </c>
      <c r="D30" t="s">
        <v>256</v>
      </c>
      <c r="E30" t="s">
        <v>0</v>
      </c>
      <c r="F30" t="str">
        <f>UPPER(TEXT(pbi_ListaEmpleadosExpertis[[#This Row],[FEC_NAC]],"mmmm"))</f>
        <v>SETIEMBRE</v>
      </c>
      <c r="G30">
        <f>DAY(pbi_ListaEmpleadosExpertis[[#This Row],[FEC_NAC]])</f>
        <v>8</v>
      </c>
    </row>
    <row r="31" spans="1:7" x14ac:dyDescent="0.25">
      <c r="A31" t="s">
        <v>48</v>
      </c>
      <c r="B31" t="s">
        <v>365</v>
      </c>
      <c r="C31" s="59">
        <v>31158</v>
      </c>
      <c r="D31" t="s">
        <v>257</v>
      </c>
      <c r="E31" t="s">
        <v>0</v>
      </c>
      <c r="F31" t="str">
        <f>UPPER(TEXT(pbi_ListaEmpleadosExpertis[[#This Row],[FEC_NAC]],"mmmm"))</f>
        <v>ABRIL</v>
      </c>
      <c r="G31">
        <f>DAY(pbi_ListaEmpleadosExpertis[[#This Row],[FEC_NAC]])</f>
        <v>21</v>
      </c>
    </row>
    <row r="32" spans="1:7" x14ac:dyDescent="0.25">
      <c r="A32" t="s">
        <v>13</v>
      </c>
      <c r="B32" t="s">
        <v>365</v>
      </c>
      <c r="C32" s="59">
        <v>35346</v>
      </c>
      <c r="D32" t="s">
        <v>258</v>
      </c>
      <c r="E32" t="s">
        <v>0</v>
      </c>
      <c r="F32" t="str">
        <f>UPPER(TEXT(pbi_ListaEmpleadosExpertis[[#This Row],[FEC_NAC]],"mmmm"))</f>
        <v>OCTUBRE</v>
      </c>
      <c r="G32">
        <f>DAY(pbi_ListaEmpleadosExpertis[[#This Row],[FEC_NAC]])</f>
        <v>8</v>
      </c>
    </row>
    <row r="33" spans="1:7" x14ac:dyDescent="0.25">
      <c r="A33" t="s">
        <v>76</v>
      </c>
      <c r="B33" t="s">
        <v>365</v>
      </c>
      <c r="C33" s="59">
        <v>35600</v>
      </c>
      <c r="D33" t="s">
        <v>259</v>
      </c>
      <c r="E33" t="s">
        <v>0</v>
      </c>
      <c r="F33" t="str">
        <f>UPPER(TEXT(pbi_ListaEmpleadosExpertis[[#This Row],[FEC_NAC]],"mmmm"))</f>
        <v>JUNIO</v>
      </c>
      <c r="G33">
        <f>DAY(pbi_ListaEmpleadosExpertis[[#This Row],[FEC_NAC]])</f>
        <v>19</v>
      </c>
    </row>
    <row r="34" spans="1:7" x14ac:dyDescent="0.25">
      <c r="A34" t="s">
        <v>25</v>
      </c>
      <c r="B34" t="s">
        <v>365</v>
      </c>
      <c r="C34" s="59">
        <v>36267</v>
      </c>
      <c r="D34" t="s">
        <v>260</v>
      </c>
      <c r="E34" t="s">
        <v>0</v>
      </c>
      <c r="F34" t="str">
        <f>UPPER(TEXT(pbi_ListaEmpleadosExpertis[[#This Row],[FEC_NAC]],"mmmm"))</f>
        <v>ABRIL</v>
      </c>
      <c r="G34">
        <f>DAY(pbi_ListaEmpleadosExpertis[[#This Row],[FEC_NAC]])</f>
        <v>17</v>
      </c>
    </row>
    <row r="35" spans="1:7" x14ac:dyDescent="0.25">
      <c r="A35" t="s">
        <v>261</v>
      </c>
      <c r="B35" t="s">
        <v>374</v>
      </c>
      <c r="C35" s="59">
        <v>33261</v>
      </c>
      <c r="D35" t="s">
        <v>262</v>
      </c>
      <c r="E35" t="s">
        <v>357</v>
      </c>
      <c r="F35" t="str">
        <f>UPPER(TEXT(pbi_ListaEmpleadosExpertis[[#This Row],[FEC_NAC]],"mmmm"))</f>
        <v>ENERO</v>
      </c>
      <c r="G35">
        <f>DAY(pbi_ListaEmpleadosExpertis[[#This Row],[FEC_NAC]])</f>
        <v>23</v>
      </c>
    </row>
    <row r="36" spans="1:7" x14ac:dyDescent="0.25">
      <c r="A36" t="s">
        <v>77</v>
      </c>
      <c r="B36" t="s">
        <v>365</v>
      </c>
      <c r="C36" s="59">
        <v>30549</v>
      </c>
      <c r="D36" t="s">
        <v>263</v>
      </c>
      <c r="E36" t="s">
        <v>0</v>
      </c>
      <c r="F36" t="str">
        <f>UPPER(TEXT(pbi_ListaEmpleadosExpertis[[#This Row],[FEC_NAC]],"mmmm"))</f>
        <v>AGOSTO</v>
      </c>
      <c r="G36">
        <f>DAY(pbi_ListaEmpleadosExpertis[[#This Row],[FEC_NAC]])</f>
        <v>21</v>
      </c>
    </row>
    <row r="37" spans="1:7" x14ac:dyDescent="0.25">
      <c r="A37" t="s">
        <v>264</v>
      </c>
      <c r="B37" t="s">
        <v>375</v>
      </c>
      <c r="C37" s="59">
        <v>36240</v>
      </c>
      <c r="D37" t="s">
        <v>265</v>
      </c>
      <c r="E37" t="s">
        <v>357</v>
      </c>
      <c r="F37" t="str">
        <f>UPPER(TEXT(pbi_ListaEmpleadosExpertis[[#This Row],[FEC_NAC]],"mmmm"))</f>
        <v>MARZO</v>
      </c>
      <c r="G37">
        <f>DAY(pbi_ListaEmpleadosExpertis[[#This Row],[FEC_NAC]])</f>
        <v>21</v>
      </c>
    </row>
    <row r="38" spans="1:7" x14ac:dyDescent="0.25">
      <c r="A38" t="s">
        <v>33</v>
      </c>
      <c r="B38" t="s">
        <v>365</v>
      </c>
      <c r="C38" s="59">
        <v>28077</v>
      </c>
      <c r="D38" t="s">
        <v>266</v>
      </c>
      <c r="E38" t="s">
        <v>0</v>
      </c>
      <c r="F38" t="str">
        <f>UPPER(TEXT(pbi_ListaEmpleadosExpertis[[#This Row],[FEC_NAC]],"mmmm"))</f>
        <v>NOVIEMBRE</v>
      </c>
      <c r="G38">
        <f>DAY(pbi_ListaEmpleadosExpertis[[#This Row],[FEC_NAC]])</f>
        <v>13</v>
      </c>
    </row>
    <row r="39" spans="1:7" x14ac:dyDescent="0.25">
      <c r="A39" t="s">
        <v>12</v>
      </c>
      <c r="B39" t="s">
        <v>365</v>
      </c>
      <c r="C39" s="59">
        <v>32342</v>
      </c>
      <c r="D39" t="s">
        <v>267</v>
      </c>
      <c r="E39" t="s">
        <v>0</v>
      </c>
      <c r="F39" t="str">
        <f>UPPER(TEXT(pbi_ListaEmpleadosExpertis[[#This Row],[FEC_NAC]],"mmmm"))</f>
        <v>JULIO</v>
      </c>
      <c r="G39">
        <f>DAY(pbi_ListaEmpleadosExpertis[[#This Row],[FEC_NAC]])</f>
        <v>18</v>
      </c>
    </row>
    <row r="40" spans="1:7" x14ac:dyDescent="0.25">
      <c r="A40" t="s">
        <v>17</v>
      </c>
      <c r="B40" t="s">
        <v>365</v>
      </c>
      <c r="C40" s="59">
        <v>35492</v>
      </c>
      <c r="D40" t="s">
        <v>268</v>
      </c>
      <c r="E40" t="s">
        <v>0</v>
      </c>
      <c r="F40" t="str">
        <f>UPPER(TEXT(pbi_ListaEmpleadosExpertis[[#This Row],[FEC_NAC]],"mmmm"))</f>
        <v>MARZO</v>
      </c>
      <c r="G40">
        <f>DAY(pbi_ListaEmpleadosExpertis[[#This Row],[FEC_NAC]])</f>
        <v>3</v>
      </c>
    </row>
    <row r="41" spans="1:7" x14ac:dyDescent="0.25">
      <c r="A41" t="s">
        <v>61</v>
      </c>
      <c r="B41" t="s">
        <v>365</v>
      </c>
      <c r="C41" s="59">
        <v>31644</v>
      </c>
      <c r="D41" t="s">
        <v>269</v>
      </c>
      <c r="E41" t="s">
        <v>0</v>
      </c>
      <c r="F41" t="str">
        <f>UPPER(TEXT(pbi_ListaEmpleadosExpertis[[#This Row],[FEC_NAC]],"mmmm"))</f>
        <v>AGOSTO</v>
      </c>
      <c r="G41">
        <f>DAY(pbi_ListaEmpleadosExpertis[[#This Row],[FEC_NAC]])</f>
        <v>20</v>
      </c>
    </row>
    <row r="42" spans="1:7" x14ac:dyDescent="0.25">
      <c r="A42" t="s">
        <v>78</v>
      </c>
      <c r="B42" t="s">
        <v>365</v>
      </c>
      <c r="C42" s="59">
        <v>27152</v>
      </c>
      <c r="D42" t="s">
        <v>270</v>
      </c>
      <c r="E42" t="s">
        <v>0</v>
      </c>
      <c r="F42" t="str">
        <f>UPPER(TEXT(pbi_ListaEmpleadosExpertis[[#This Row],[FEC_NAC]],"mmmm"))</f>
        <v>MAYO</v>
      </c>
      <c r="G42">
        <f>DAY(pbi_ListaEmpleadosExpertis[[#This Row],[FEC_NAC]])</f>
        <v>3</v>
      </c>
    </row>
    <row r="43" spans="1:7" x14ac:dyDescent="0.25">
      <c r="A43" t="s">
        <v>65</v>
      </c>
      <c r="B43" t="s">
        <v>365</v>
      </c>
      <c r="C43" s="59">
        <v>33579</v>
      </c>
      <c r="D43" t="s">
        <v>271</v>
      </c>
      <c r="E43" t="s">
        <v>0</v>
      </c>
      <c r="F43" t="str">
        <f>UPPER(TEXT(pbi_ListaEmpleadosExpertis[[#This Row],[FEC_NAC]],"mmmm"))</f>
        <v>DICIEMBRE</v>
      </c>
      <c r="G43">
        <f>DAY(pbi_ListaEmpleadosExpertis[[#This Row],[FEC_NAC]])</f>
        <v>7</v>
      </c>
    </row>
    <row r="44" spans="1:7" x14ac:dyDescent="0.25">
      <c r="A44" t="s">
        <v>122</v>
      </c>
      <c r="B44" t="s">
        <v>365</v>
      </c>
      <c r="C44" s="59">
        <v>34546</v>
      </c>
      <c r="D44" t="s">
        <v>272</v>
      </c>
      <c r="E44" t="s">
        <v>0</v>
      </c>
      <c r="F44" t="str">
        <f>UPPER(TEXT(pbi_ListaEmpleadosExpertis[[#This Row],[FEC_NAC]],"mmmm"))</f>
        <v>JULIO</v>
      </c>
      <c r="G44">
        <f>DAY(pbi_ListaEmpleadosExpertis[[#This Row],[FEC_NAC]])</f>
        <v>31</v>
      </c>
    </row>
    <row r="45" spans="1:7" x14ac:dyDescent="0.25">
      <c r="A45" t="s">
        <v>72</v>
      </c>
      <c r="B45" t="s">
        <v>365</v>
      </c>
      <c r="C45" s="59">
        <v>34072</v>
      </c>
      <c r="D45" t="s">
        <v>273</v>
      </c>
      <c r="E45" t="s">
        <v>0</v>
      </c>
      <c r="F45" t="str">
        <f>UPPER(TEXT(pbi_ListaEmpleadosExpertis[[#This Row],[FEC_NAC]],"mmmm"))</f>
        <v>ABRIL</v>
      </c>
      <c r="G45">
        <f>DAY(pbi_ListaEmpleadosExpertis[[#This Row],[FEC_NAC]])</f>
        <v>13</v>
      </c>
    </row>
    <row r="46" spans="1:7" x14ac:dyDescent="0.25">
      <c r="A46" t="s">
        <v>18</v>
      </c>
      <c r="B46" t="s">
        <v>365</v>
      </c>
      <c r="C46" s="59">
        <v>35472</v>
      </c>
      <c r="D46" t="s">
        <v>274</v>
      </c>
      <c r="E46" t="s">
        <v>0</v>
      </c>
      <c r="F46" t="str">
        <f>UPPER(TEXT(pbi_ListaEmpleadosExpertis[[#This Row],[FEC_NAC]],"mmmm"))</f>
        <v>FEBRERO</v>
      </c>
      <c r="G46">
        <f>DAY(pbi_ListaEmpleadosExpertis[[#This Row],[FEC_NAC]])</f>
        <v>11</v>
      </c>
    </row>
    <row r="47" spans="1:7" x14ac:dyDescent="0.25">
      <c r="A47" t="s">
        <v>73</v>
      </c>
      <c r="B47" t="s">
        <v>365</v>
      </c>
      <c r="C47" s="59">
        <v>29084</v>
      </c>
      <c r="D47" t="s">
        <v>275</v>
      </c>
      <c r="E47" t="s">
        <v>0</v>
      </c>
      <c r="F47" t="str">
        <f>UPPER(TEXT(pbi_ListaEmpleadosExpertis[[#This Row],[FEC_NAC]],"mmmm"))</f>
        <v>AGOSTO</v>
      </c>
      <c r="G47">
        <f>DAY(pbi_ListaEmpleadosExpertis[[#This Row],[FEC_NAC]])</f>
        <v>17</v>
      </c>
    </row>
    <row r="48" spans="1:7" x14ac:dyDescent="0.25">
      <c r="A48" t="s">
        <v>34</v>
      </c>
      <c r="B48" t="s">
        <v>365</v>
      </c>
      <c r="C48" s="59">
        <v>35634</v>
      </c>
      <c r="D48" t="s">
        <v>276</v>
      </c>
      <c r="E48" t="s">
        <v>0</v>
      </c>
      <c r="F48" t="str">
        <f>UPPER(TEXT(pbi_ListaEmpleadosExpertis[[#This Row],[FEC_NAC]],"mmmm"))</f>
        <v>JULIO</v>
      </c>
      <c r="G48">
        <f>DAY(pbi_ListaEmpleadosExpertis[[#This Row],[FEC_NAC]])</f>
        <v>23</v>
      </c>
    </row>
    <row r="49" spans="1:7" x14ac:dyDescent="0.25">
      <c r="A49" t="s">
        <v>277</v>
      </c>
      <c r="B49" t="s">
        <v>376</v>
      </c>
      <c r="C49" s="59">
        <v>29359</v>
      </c>
      <c r="D49" t="s">
        <v>278</v>
      </c>
      <c r="E49" t="s">
        <v>357</v>
      </c>
      <c r="F49" t="str">
        <f>UPPER(TEXT(pbi_ListaEmpleadosExpertis[[#This Row],[FEC_NAC]],"mmmm"))</f>
        <v>MAYO</v>
      </c>
      <c r="G49">
        <f>DAY(pbi_ListaEmpleadosExpertis[[#This Row],[FEC_NAC]])</f>
        <v>18</v>
      </c>
    </row>
    <row r="50" spans="1:7" x14ac:dyDescent="0.25">
      <c r="A50" t="s">
        <v>80</v>
      </c>
      <c r="B50" t="s">
        <v>365</v>
      </c>
      <c r="C50" s="59">
        <v>32273</v>
      </c>
      <c r="D50" t="s">
        <v>279</v>
      </c>
      <c r="E50" t="s">
        <v>0</v>
      </c>
      <c r="F50" t="str">
        <f>UPPER(TEXT(pbi_ListaEmpleadosExpertis[[#This Row],[FEC_NAC]],"mmmm"))</f>
        <v>MAYO</v>
      </c>
      <c r="G50">
        <f>DAY(pbi_ListaEmpleadosExpertis[[#This Row],[FEC_NAC]])</f>
        <v>10</v>
      </c>
    </row>
    <row r="51" spans="1:7" x14ac:dyDescent="0.25">
      <c r="A51" t="s">
        <v>22</v>
      </c>
      <c r="B51" t="s">
        <v>365</v>
      </c>
      <c r="C51" s="59">
        <v>34422</v>
      </c>
      <c r="D51" t="s">
        <v>280</v>
      </c>
      <c r="E51" t="s">
        <v>0</v>
      </c>
      <c r="F51" t="str">
        <f>UPPER(TEXT(pbi_ListaEmpleadosExpertis[[#This Row],[FEC_NAC]],"mmmm"))</f>
        <v>MARZO</v>
      </c>
      <c r="G51">
        <f>DAY(pbi_ListaEmpleadosExpertis[[#This Row],[FEC_NAC]])</f>
        <v>29</v>
      </c>
    </row>
    <row r="52" spans="1:7" x14ac:dyDescent="0.25">
      <c r="A52" t="s">
        <v>281</v>
      </c>
      <c r="B52" t="s">
        <v>375</v>
      </c>
      <c r="C52" s="59">
        <v>34263</v>
      </c>
      <c r="D52" t="s">
        <v>282</v>
      </c>
      <c r="E52" t="s">
        <v>357</v>
      </c>
      <c r="F52" t="str">
        <f>UPPER(TEXT(pbi_ListaEmpleadosExpertis[[#This Row],[FEC_NAC]],"mmmm"))</f>
        <v>OCTUBRE</v>
      </c>
      <c r="G52">
        <f>DAY(pbi_ListaEmpleadosExpertis[[#This Row],[FEC_NAC]])</f>
        <v>21</v>
      </c>
    </row>
    <row r="53" spans="1:7" x14ac:dyDescent="0.25">
      <c r="A53" t="s">
        <v>60</v>
      </c>
      <c r="B53" t="s">
        <v>365</v>
      </c>
      <c r="C53" s="59">
        <v>36877</v>
      </c>
      <c r="D53" t="s">
        <v>283</v>
      </c>
      <c r="E53" t="s">
        <v>0</v>
      </c>
      <c r="F53" t="str">
        <f>UPPER(TEXT(pbi_ListaEmpleadosExpertis[[#This Row],[FEC_NAC]],"mmmm"))</f>
        <v>DICIEMBRE</v>
      </c>
      <c r="G53">
        <f>DAY(pbi_ListaEmpleadosExpertis[[#This Row],[FEC_NAC]])</f>
        <v>17</v>
      </c>
    </row>
    <row r="54" spans="1:7" x14ac:dyDescent="0.25">
      <c r="A54" t="s">
        <v>31</v>
      </c>
      <c r="B54" t="s">
        <v>365</v>
      </c>
      <c r="C54" s="59">
        <v>37505</v>
      </c>
      <c r="D54" t="s">
        <v>284</v>
      </c>
      <c r="E54" t="s">
        <v>0</v>
      </c>
      <c r="F54" t="str">
        <f>UPPER(TEXT(pbi_ListaEmpleadosExpertis[[#This Row],[FEC_NAC]],"mmmm"))</f>
        <v>SETIEMBRE</v>
      </c>
      <c r="G54">
        <f>DAY(pbi_ListaEmpleadosExpertis[[#This Row],[FEC_NAC]])</f>
        <v>6</v>
      </c>
    </row>
    <row r="55" spans="1:7" x14ac:dyDescent="0.25">
      <c r="A55" t="s">
        <v>109</v>
      </c>
      <c r="B55" t="s">
        <v>365</v>
      </c>
      <c r="C55" s="59">
        <v>35706</v>
      </c>
      <c r="D55" t="s">
        <v>285</v>
      </c>
      <c r="E55" t="s">
        <v>0</v>
      </c>
      <c r="F55" t="str">
        <f>UPPER(TEXT(pbi_ListaEmpleadosExpertis[[#This Row],[FEC_NAC]],"mmmm"))</f>
        <v>OCTUBRE</v>
      </c>
      <c r="G55">
        <f>DAY(pbi_ListaEmpleadosExpertis[[#This Row],[FEC_NAC]])</f>
        <v>3</v>
      </c>
    </row>
    <row r="56" spans="1:7" x14ac:dyDescent="0.25">
      <c r="A56" t="s">
        <v>24</v>
      </c>
      <c r="B56" t="s">
        <v>365</v>
      </c>
      <c r="C56" s="59">
        <v>31492</v>
      </c>
      <c r="D56" t="s">
        <v>286</v>
      </c>
      <c r="E56" t="s">
        <v>0</v>
      </c>
      <c r="F56" t="str">
        <f>UPPER(TEXT(pbi_ListaEmpleadosExpertis[[#This Row],[FEC_NAC]],"mmmm"))</f>
        <v>MARZO</v>
      </c>
      <c r="G56">
        <f>DAY(pbi_ListaEmpleadosExpertis[[#This Row],[FEC_NAC]])</f>
        <v>21</v>
      </c>
    </row>
    <row r="57" spans="1:7" x14ac:dyDescent="0.25">
      <c r="A57" t="s">
        <v>59</v>
      </c>
      <c r="B57" t="s">
        <v>365</v>
      </c>
      <c r="C57" s="59">
        <v>38004</v>
      </c>
      <c r="D57" t="s">
        <v>287</v>
      </c>
      <c r="E57" t="s">
        <v>0</v>
      </c>
      <c r="F57" t="str">
        <f>UPPER(TEXT(pbi_ListaEmpleadosExpertis[[#This Row],[FEC_NAC]],"mmmm"))</f>
        <v>ENERO</v>
      </c>
      <c r="G57">
        <f>DAY(pbi_ListaEmpleadosExpertis[[#This Row],[FEC_NAC]])</f>
        <v>18</v>
      </c>
    </row>
    <row r="58" spans="1:7" x14ac:dyDescent="0.25">
      <c r="A58" t="s">
        <v>68</v>
      </c>
      <c r="B58" t="s">
        <v>365</v>
      </c>
      <c r="C58" s="59">
        <v>35108</v>
      </c>
      <c r="D58" t="s">
        <v>288</v>
      </c>
      <c r="E58" t="s">
        <v>0</v>
      </c>
      <c r="F58" t="str">
        <f>UPPER(TEXT(pbi_ListaEmpleadosExpertis[[#This Row],[FEC_NAC]],"mmmm"))</f>
        <v>FEBRERO</v>
      </c>
      <c r="G58">
        <f>DAY(pbi_ListaEmpleadosExpertis[[#This Row],[FEC_NAC]])</f>
        <v>13</v>
      </c>
    </row>
    <row r="59" spans="1:7" x14ac:dyDescent="0.25">
      <c r="A59" t="s">
        <v>11</v>
      </c>
      <c r="B59" t="s">
        <v>365</v>
      </c>
      <c r="C59" s="59">
        <v>32262</v>
      </c>
      <c r="D59" t="s">
        <v>289</v>
      </c>
      <c r="E59" t="s">
        <v>0</v>
      </c>
      <c r="F59" t="str">
        <f>UPPER(TEXT(pbi_ListaEmpleadosExpertis[[#This Row],[FEC_NAC]],"mmmm"))</f>
        <v>ABRIL</v>
      </c>
      <c r="G59">
        <f>DAY(pbi_ListaEmpleadosExpertis[[#This Row],[FEC_NAC]])</f>
        <v>29</v>
      </c>
    </row>
    <row r="60" spans="1:7" x14ac:dyDescent="0.25">
      <c r="A60" t="s">
        <v>358</v>
      </c>
      <c r="B60" t="s">
        <v>377</v>
      </c>
      <c r="C60" s="59">
        <v>36301</v>
      </c>
      <c r="D60" t="s">
        <v>360</v>
      </c>
      <c r="E60" t="s">
        <v>357</v>
      </c>
      <c r="F60" t="str">
        <f>UPPER(TEXT(pbi_ListaEmpleadosExpertis[[#This Row],[FEC_NAC]],"mmmm"))</f>
        <v>MAYO</v>
      </c>
      <c r="G60">
        <f>DAY(pbi_ListaEmpleadosExpertis[[#This Row],[FEC_NAC]])</f>
        <v>21</v>
      </c>
    </row>
    <row r="61" spans="1:7" x14ac:dyDescent="0.25">
      <c r="A61" t="s">
        <v>42</v>
      </c>
      <c r="B61" t="s">
        <v>365</v>
      </c>
      <c r="C61" s="59">
        <v>37683</v>
      </c>
      <c r="D61" t="s">
        <v>290</v>
      </c>
      <c r="E61" t="s">
        <v>0</v>
      </c>
      <c r="F61" t="str">
        <f>UPPER(TEXT(pbi_ListaEmpleadosExpertis[[#This Row],[FEC_NAC]],"mmmm"))</f>
        <v>MARZO</v>
      </c>
      <c r="G61">
        <f>DAY(pbi_ListaEmpleadosExpertis[[#This Row],[FEC_NAC]])</f>
        <v>3</v>
      </c>
    </row>
    <row r="62" spans="1:7" x14ac:dyDescent="0.25">
      <c r="A62" t="s">
        <v>40</v>
      </c>
      <c r="B62" t="s">
        <v>365</v>
      </c>
      <c r="C62" s="59">
        <v>35241</v>
      </c>
      <c r="D62" t="s">
        <v>291</v>
      </c>
      <c r="E62" t="s">
        <v>0</v>
      </c>
      <c r="F62" t="str">
        <f>UPPER(TEXT(pbi_ListaEmpleadosExpertis[[#This Row],[FEC_NAC]],"mmmm"))</f>
        <v>JUNIO</v>
      </c>
      <c r="G62">
        <f>DAY(pbi_ListaEmpleadosExpertis[[#This Row],[FEC_NAC]])</f>
        <v>25</v>
      </c>
    </row>
    <row r="63" spans="1:7" x14ac:dyDescent="0.25">
      <c r="A63" t="s">
        <v>292</v>
      </c>
      <c r="B63" t="s">
        <v>378</v>
      </c>
      <c r="C63" s="59">
        <v>36801</v>
      </c>
      <c r="D63" t="s">
        <v>293</v>
      </c>
      <c r="E63" t="s">
        <v>357</v>
      </c>
      <c r="F63" t="str">
        <f>UPPER(TEXT(pbi_ListaEmpleadosExpertis[[#This Row],[FEC_NAC]],"mmmm"))</f>
        <v>OCTUBRE</v>
      </c>
      <c r="G63">
        <f>DAY(pbi_ListaEmpleadosExpertis[[#This Row],[FEC_NAC]])</f>
        <v>2</v>
      </c>
    </row>
    <row r="64" spans="1:7" x14ac:dyDescent="0.25">
      <c r="A64" t="s">
        <v>294</v>
      </c>
      <c r="B64" t="s">
        <v>379</v>
      </c>
      <c r="C64" s="59">
        <v>37354</v>
      </c>
      <c r="D64" t="s">
        <v>295</v>
      </c>
      <c r="E64" t="s">
        <v>357</v>
      </c>
      <c r="F64" t="str">
        <f>UPPER(TEXT(pbi_ListaEmpleadosExpertis[[#This Row],[FEC_NAC]],"mmmm"))</f>
        <v>ABRIL</v>
      </c>
      <c r="G64">
        <f>DAY(pbi_ListaEmpleadosExpertis[[#This Row],[FEC_NAC]])</f>
        <v>8</v>
      </c>
    </row>
    <row r="65" spans="1:7" x14ac:dyDescent="0.25">
      <c r="A65" t="s">
        <v>81</v>
      </c>
      <c r="B65" t="s">
        <v>365</v>
      </c>
      <c r="C65" s="59">
        <v>34710</v>
      </c>
      <c r="D65" t="s">
        <v>296</v>
      </c>
      <c r="E65" t="s">
        <v>0</v>
      </c>
      <c r="F65" t="str">
        <f>UPPER(TEXT(pbi_ListaEmpleadosExpertis[[#This Row],[FEC_NAC]],"mmmm"))</f>
        <v>ENERO</v>
      </c>
      <c r="G65">
        <f>DAY(pbi_ListaEmpleadosExpertis[[#This Row],[FEC_NAC]])</f>
        <v>11</v>
      </c>
    </row>
    <row r="66" spans="1:7" x14ac:dyDescent="0.25">
      <c r="A66" t="s">
        <v>50</v>
      </c>
      <c r="B66" t="s">
        <v>365</v>
      </c>
      <c r="C66" s="59">
        <v>33383</v>
      </c>
      <c r="D66" t="s">
        <v>297</v>
      </c>
      <c r="E66" t="s">
        <v>0</v>
      </c>
      <c r="F66" t="str">
        <f>UPPER(TEXT(pbi_ListaEmpleadosExpertis[[#This Row],[FEC_NAC]],"mmmm"))</f>
        <v>MAYO</v>
      </c>
      <c r="G66">
        <f>DAY(pbi_ListaEmpleadosExpertis[[#This Row],[FEC_NAC]])</f>
        <v>25</v>
      </c>
    </row>
    <row r="67" spans="1:7" x14ac:dyDescent="0.25">
      <c r="A67" t="s">
        <v>32</v>
      </c>
      <c r="B67" t="s">
        <v>365</v>
      </c>
      <c r="C67" s="59">
        <v>34529</v>
      </c>
      <c r="D67" t="s">
        <v>298</v>
      </c>
      <c r="E67" t="s">
        <v>0</v>
      </c>
      <c r="F67" t="str">
        <f>UPPER(TEXT(pbi_ListaEmpleadosExpertis[[#This Row],[FEC_NAC]],"mmmm"))</f>
        <v>JULIO</v>
      </c>
      <c r="G67">
        <f>DAY(pbi_ListaEmpleadosExpertis[[#This Row],[FEC_NAC]])</f>
        <v>14</v>
      </c>
    </row>
    <row r="68" spans="1:7" x14ac:dyDescent="0.25">
      <c r="A68" t="s">
        <v>299</v>
      </c>
      <c r="B68" t="s">
        <v>380</v>
      </c>
      <c r="C68" s="59">
        <v>33496</v>
      </c>
      <c r="D68" t="s">
        <v>300</v>
      </c>
      <c r="E68" t="s">
        <v>357</v>
      </c>
      <c r="F68" t="str">
        <f>UPPER(TEXT(pbi_ListaEmpleadosExpertis[[#This Row],[FEC_NAC]],"mmmm"))</f>
        <v>SETIEMBRE</v>
      </c>
      <c r="G68">
        <f>DAY(pbi_ListaEmpleadosExpertis[[#This Row],[FEC_NAC]])</f>
        <v>15</v>
      </c>
    </row>
    <row r="69" spans="1:7" x14ac:dyDescent="0.25">
      <c r="A69" t="s">
        <v>301</v>
      </c>
      <c r="B69" t="s">
        <v>381</v>
      </c>
      <c r="C69" s="59">
        <v>34610</v>
      </c>
      <c r="D69" t="s">
        <v>302</v>
      </c>
      <c r="E69" t="s">
        <v>357</v>
      </c>
      <c r="F69" t="str">
        <f>UPPER(TEXT(pbi_ListaEmpleadosExpertis[[#This Row],[FEC_NAC]],"mmmm"))</f>
        <v>OCTUBRE</v>
      </c>
      <c r="G69">
        <f>DAY(pbi_ListaEmpleadosExpertis[[#This Row],[FEC_NAC]])</f>
        <v>3</v>
      </c>
    </row>
    <row r="70" spans="1:7" x14ac:dyDescent="0.25">
      <c r="A70" t="s">
        <v>303</v>
      </c>
      <c r="B70" t="s">
        <v>382</v>
      </c>
      <c r="C70" s="59">
        <v>32983</v>
      </c>
      <c r="D70" t="s">
        <v>304</v>
      </c>
      <c r="E70" t="s">
        <v>357</v>
      </c>
      <c r="F70" t="str">
        <f>UPPER(TEXT(pbi_ListaEmpleadosExpertis[[#This Row],[FEC_NAC]],"mmmm"))</f>
        <v>ABRIL</v>
      </c>
      <c r="G70">
        <f>DAY(pbi_ListaEmpleadosExpertis[[#This Row],[FEC_NAC]])</f>
        <v>20</v>
      </c>
    </row>
    <row r="71" spans="1:7" x14ac:dyDescent="0.25">
      <c r="A71" t="s">
        <v>305</v>
      </c>
      <c r="B71" t="s">
        <v>383</v>
      </c>
      <c r="C71" s="59">
        <v>30628</v>
      </c>
      <c r="D71" t="s">
        <v>306</v>
      </c>
      <c r="E71" t="s">
        <v>357</v>
      </c>
      <c r="F71" t="str">
        <f>UPPER(TEXT(pbi_ListaEmpleadosExpertis[[#This Row],[FEC_NAC]],"mmmm"))</f>
        <v>NOVIEMBRE</v>
      </c>
      <c r="G71">
        <f>DAY(pbi_ListaEmpleadosExpertis[[#This Row],[FEC_NAC]])</f>
        <v>8</v>
      </c>
    </row>
    <row r="72" spans="1:7" x14ac:dyDescent="0.25">
      <c r="A72" t="s">
        <v>307</v>
      </c>
      <c r="B72" t="s">
        <v>384</v>
      </c>
      <c r="C72" s="59">
        <v>34575</v>
      </c>
      <c r="D72" t="s">
        <v>308</v>
      </c>
      <c r="E72" t="s">
        <v>357</v>
      </c>
      <c r="F72" t="str">
        <f>UPPER(TEXT(pbi_ListaEmpleadosExpertis[[#This Row],[FEC_NAC]],"mmmm"))</f>
        <v>AGOSTO</v>
      </c>
      <c r="G72">
        <f>DAY(pbi_ListaEmpleadosExpertis[[#This Row],[FEC_NAC]])</f>
        <v>29</v>
      </c>
    </row>
    <row r="73" spans="1:7" x14ac:dyDescent="0.25">
      <c r="A73" t="s">
        <v>309</v>
      </c>
      <c r="B73" t="s">
        <v>385</v>
      </c>
      <c r="C73" s="59">
        <v>32019</v>
      </c>
      <c r="D73" t="s">
        <v>310</v>
      </c>
      <c r="E73" t="s">
        <v>357</v>
      </c>
      <c r="F73" t="str">
        <f>UPPER(TEXT(pbi_ListaEmpleadosExpertis[[#This Row],[FEC_NAC]],"mmmm"))</f>
        <v>AGOSTO</v>
      </c>
      <c r="G73">
        <f>DAY(pbi_ListaEmpleadosExpertis[[#This Row],[FEC_NAC]])</f>
        <v>30</v>
      </c>
    </row>
    <row r="74" spans="1:7" x14ac:dyDescent="0.25">
      <c r="A74" t="s">
        <v>96</v>
      </c>
      <c r="B74" t="s">
        <v>365</v>
      </c>
      <c r="C74" s="59">
        <v>33230</v>
      </c>
      <c r="D74" t="s">
        <v>311</v>
      </c>
      <c r="E74" t="s">
        <v>0</v>
      </c>
      <c r="F74" t="str">
        <f>UPPER(TEXT(pbi_ListaEmpleadosExpertis[[#This Row],[FEC_NAC]],"mmmm"))</f>
        <v>DICIEMBRE</v>
      </c>
      <c r="G74">
        <f>DAY(pbi_ListaEmpleadosExpertis[[#This Row],[FEC_NAC]])</f>
        <v>23</v>
      </c>
    </row>
    <row r="75" spans="1:7" x14ac:dyDescent="0.25">
      <c r="A75" t="s">
        <v>51</v>
      </c>
      <c r="B75" t="s">
        <v>365</v>
      </c>
      <c r="C75" s="59">
        <v>35642</v>
      </c>
      <c r="D75" t="s">
        <v>312</v>
      </c>
      <c r="E75" t="s">
        <v>0</v>
      </c>
      <c r="F75" t="str">
        <f>UPPER(TEXT(pbi_ListaEmpleadosExpertis[[#This Row],[FEC_NAC]],"mmmm"))</f>
        <v>JULIO</v>
      </c>
      <c r="G75">
        <f>DAY(pbi_ListaEmpleadosExpertis[[#This Row],[FEC_NAC]])</f>
        <v>31</v>
      </c>
    </row>
    <row r="76" spans="1:7" x14ac:dyDescent="0.25">
      <c r="A76" t="s">
        <v>313</v>
      </c>
      <c r="B76" t="s">
        <v>386</v>
      </c>
      <c r="C76" s="59">
        <v>36819</v>
      </c>
      <c r="D76" t="s">
        <v>314</v>
      </c>
      <c r="E76" t="s">
        <v>357</v>
      </c>
      <c r="F76" t="str">
        <f>UPPER(TEXT(pbi_ListaEmpleadosExpertis[[#This Row],[FEC_NAC]],"mmmm"))</f>
        <v>OCTUBRE</v>
      </c>
      <c r="G76">
        <f>DAY(pbi_ListaEmpleadosExpertis[[#This Row],[FEC_NAC]])</f>
        <v>20</v>
      </c>
    </row>
    <row r="77" spans="1:7" x14ac:dyDescent="0.25">
      <c r="A77" t="s">
        <v>315</v>
      </c>
      <c r="B77" t="s">
        <v>387</v>
      </c>
      <c r="C77" s="59">
        <v>30385</v>
      </c>
      <c r="D77" t="s">
        <v>316</v>
      </c>
      <c r="E77" t="s">
        <v>357</v>
      </c>
      <c r="F77" t="str">
        <f>UPPER(TEXT(pbi_ListaEmpleadosExpertis[[#This Row],[FEC_NAC]],"mmmm"))</f>
        <v>MARZO</v>
      </c>
      <c r="G77">
        <f>DAY(pbi_ListaEmpleadosExpertis[[#This Row],[FEC_NAC]])</f>
        <v>10</v>
      </c>
    </row>
    <row r="78" spans="1:7" x14ac:dyDescent="0.25">
      <c r="A78" t="s">
        <v>317</v>
      </c>
      <c r="B78" t="s">
        <v>388</v>
      </c>
      <c r="C78" s="59">
        <v>34782</v>
      </c>
      <c r="D78" t="s">
        <v>318</v>
      </c>
      <c r="E78" t="s">
        <v>357</v>
      </c>
      <c r="F78" t="str">
        <f>UPPER(TEXT(pbi_ListaEmpleadosExpertis[[#This Row],[FEC_NAC]],"mmmm"))</f>
        <v>MARZO</v>
      </c>
      <c r="G78">
        <f>DAY(pbi_ListaEmpleadosExpertis[[#This Row],[FEC_NAC]])</f>
        <v>24</v>
      </c>
    </row>
    <row r="79" spans="1:7" x14ac:dyDescent="0.25">
      <c r="A79" t="s">
        <v>319</v>
      </c>
      <c r="B79" t="s">
        <v>389</v>
      </c>
      <c r="C79" s="59">
        <v>37036</v>
      </c>
      <c r="D79" t="s">
        <v>320</v>
      </c>
      <c r="E79" t="s">
        <v>357</v>
      </c>
      <c r="F79" t="str">
        <f>UPPER(TEXT(pbi_ListaEmpleadosExpertis[[#This Row],[FEC_NAC]],"mmmm"))</f>
        <v>MAYO</v>
      </c>
      <c r="G79">
        <f>DAY(pbi_ListaEmpleadosExpertis[[#This Row],[FEC_NAC]])</f>
        <v>25</v>
      </c>
    </row>
    <row r="80" spans="1:7" x14ac:dyDescent="0.25">
      <c r="A80" t="s">
        <v>359</v>
      </c>
      <c r="B80" t="s">
        <v>390</v>
      </c>
      <c r="C80" s="59">
        <v>38118</v>
      </c>
      <c r="D80" t="s">
        <v>361</v>
      </c>
      <c r="E80" t="s">
        <v>357</v>
      </c>
      <c r="F80" t="str">
        <f>UPPER(TEXT(pbi_ListaEmpleadosExpertis[[#This Row],[FEC_NAC]],"mmmm"))</f>
        <v>MAYO</v>
      </c>
      <c r="G80">
        <f>DAY(pbi_ListaEmpleadosExpertis[[#This Row],[FEC_NAC]])</f>
        <v>11</v>
      </c>
    </row>
    <row r="81" spans="1:7" x14ac:dyDescent="0.25">
      <c r="A81" t="s">
        <v>321</v>
      </c>
      <c r="B81" t="s">
        <v>391</v>
      </c>
      <c r="C81" s="59">
        <v>35356</v>
      </c>
      <c r="D81" t="s">
        <v>322</v>
      </c>
      <c r="E81" t="s">
        <v>357</v>
      </c>
      <c r="F81" t="str">
        <f>UPPER(TEXT(pbi_ListaEmpleadosExpertis[[#This Row],[FEC_NAC]],"mmmm"))</f>
        <v>OCTUBRE</v>
      </c>
      <c r="G81">
        <f>DAY(pbi_ListaEmpleadosExpertis[[#This Row],[FEC_NAC]])</f>
        <v>18</v>
      </c>
    </row>
    <row r="82" spans="1:7" x14ac:dyDescent="0.25">
      <c r="A82" t="s">
        <v>38</v>
      </c>
      <c r="B82" t="s">
        <v>365</v>
      </c>
      <c r="C82" s="59">
        <v>33472</v>
      </c>
      <c r="D82" t="s">
        <v>323</v>
      </c>
      <c r="E82" t="s">
        <v>0</v>
      </c>
      <c r="F82" t="str">
        <f>UPPER(TEXT(pbi_ListaEmpleadosExpertis[[#This Row],[FEC_NAC]],"mmmm"))</f>
        <v>AGOSTO</v>
      </c>
      <c r="G82">
        <f>DAY(pbi_ListaEmpleadosExpertis[[#This Row],[FEC_NAC]])</f>
        <v>22</v>
      </c>
    </row>
    <row r="83" spans="1:7" x14ac:dyDescent="0.25">
      <c r="A83" t="s">
        <v>55</v>
      </c>
      <c r="B83" t="s">
        <v>365</v>
      </c>
      <c r="C83" s="59">
        <v>32222</v>
      </c>
      <c r="D83" t="s">
        <v>324</v>
      </c>
      <c r="E83" t="s">
        <v>0</v>
      </c>
      <c r="F83" t="str">
        <f>UPPER(TEXT(pbi_ListaEmpleadosExpertis[[#This Row],[FEC_NAC]],"mmmm"))</f>
        <v>MARZO</v>
      </c>
      <c r="G83">
        <f>DAY(pbi_ListaEmpleadosExpertis[[#This Row],[FEC_NAC]])</f>
        <v>20</v>
      </c>
    </row>
    <row r="84" spans="1:7" x14ac:dyDescent="0.25">
      <c r="A84" t="s">
        <v>325</v>
      </c>
      <c r="B84" t="s">
        <v>392</v>
      </c>
      <c r="C84" s="59">
        <v>37051</v>
      </c>
      <c r="D84" t="s">
        <v>326</v>
      </c>
      <c r="E84" t="s">
        <v>357</v>
      </c>
      <c r="F84" t="str">
        <f>UPPER(TEXT(pbi_ListaEmpleadosExpertis[[#This Row],[FEC_NAC]],"mmmm"))</f>
        <v>JUNIO</v>
      </c>
      <c r="G84">
        <f>DAY(pbi_ListaEmpleadosExpertis[[#This Row],[FEC_NAC]])</f>
        <v>9</v>
      </c>
    </row>
    <row r="85" spans="1:7" x14ac:dyDescent="0.25">
      <c r="A85" t="s">
        <v>327</v>
      </c>
      <c r="B85" t="s">
        <v>393</v>
      </c>
      <c r="C85" s="59">
        <v>38500</v>
      </c>
      <c r="D85" t="s">
        <v>328</v>
      </c>
      <c r="E85" t="s">
        <v>357</v>
      </c>
      <c r="F85" t="str">
        <f>UPPER(TEXT(pbi_ListaEmpleadosExpertis[[#This Row],[FEC_NAC]],"mmmm"))</f>
        <v>MAYO</v>
      </c>
      <c r="G85">
        <f>DAY(pbi_ListaEmpleadosExpertis[[#This Row],[FEC_NAC]])</f>
        <v>28</v>
      </c>
    </row>
    <row r="86" spans="1:7" x14ac:dyDescent="0.25">
      <c r="A86" t="s">
        <v>97</v>
      </c>
      <c r="B86" t="s">
        <v>365</v>
      </c>
      <c r="C86" s="59">
        <v>34832</v>
      </c>
      <c r="D86" t="s">
        <v>329</v>
      </c>
      <c r="E86" t="s">
        <v>0</v>
      </c>
      <c r="F86" t="str">
        <f>UPPER(TEXT(pbi_ListaEmpleadosExpertis[[#This Row],[FEC_NAC]],"mmmm"))</f>
        <v>MAYO</v>
      </c>
      <c r="G86">
        <f>DAY(pbi_ListaEmpleadosExpertis[[#This Row],[FEC_NAC]])</f>
        <v>13</v>
      </c>
    </row>
    <row r="87" spans="1:7" x14ac:dyDescent="0.25">
      <c r="A87" t="s">
        <v>330</v>
      </c>
      <c r="B87" t="s">
        <v>394</v>
      </c>
      <c r="C87" s="59">
        <v>30965</v>
      </c>
      <c r="D87" t="s">
        <v>331</v>
      </c>
      <c r="E87" t="s">
        <v>357</v>
      </c>
      <c r="F87" t="str">
        <f>UPPER(TEXT(pbi_ListaEmpleadosExpertis[[#This Row],[FEC_NAC]],"mmmm"))</f>
        <v>OCTUBRE</v>
      </c>
      <c r="G87">
        <f>DAY(pbi_ListaEmpleadosExpertis[[#This Row],[FEC_NAC]])</f>
        <v>10</v>
      </c>
    </row>
    <row r="88" spans="1:7" x14ac:dyDescent="0.25">
      <c r="A88" t="s">
        <v>332</v>
      </c>
      <c r="B88" t="s">
        <v>395</v>
      </c>
      <c r="C88" s="59">
        <v>34307</v>
      </c>
      <c r="D88" t="s">
        <v>333</v>
      </c>
      <c r="E88" t="s">
        <v>357</v>
      </c>
      <c r="F88" t="str">
        <f>UPPER(TEXT(pbi_ListaEmpleadosExpertis[[#This Row],[FEC_NAC]],"mmmm"))</f>
        <v>DICIEMBRE</v>
      </c>
      <c r="G88">
        <f>DAY(pbi_ListaEmpleadosExpertis[[#This Row],[FEC_NAC]])</f>
        <v>4</v>
      </c>
    </row>
    <row r="89" spans="1:7" x14ac:dyDescent="0.25">
      <c r="A89" t="s">
        <v>334</v>
      </c>
      <c r="B89" t="s">
        <v>396</v>
      </c>
      <c r="C89" s="59">
        <v>34317</v>
      </c>
      <c r="D89" t="s">
        <v>335</v>
      </c>
      <c r="E89" t="s">
        <v>357</v>
      </c>
      <c r="F89" t="str">
        <f>UPPER(TEXT(pbi_ListaEmpleadosExpertis[[#This Row],[FEC_NAC]],"mmmm"))</f>
        <v>DICIEMBRE</v>
      </c>
      <c r="G89">
        <f>DAY(pbi_ListaEmpleadosExpertis[[#This Row],[FEC_NAC]])</f>
        <v>14</v>
      </c>
    </row>
    <row r="90" spans="1:7" x14ac:dyDescent="0.25">
      <c r="A90" t="s">
        <v>336</v>
      </c>
      <c r="B90" t="s">
        <v>397</v>
      </c>
      <c r="C90" s="59">
        <v>38097</v>
      </c>
      <c r="D90" t="s">
        <v>337</v>
      </c>
      <c r="E90" t="s">
        <v>357</v>
      </c>
      <c r="F90" t="str">
        <f>UPPER(TEXT(pbi_ListaEmpleadosExpertis[[#This Row],[FEC_NAC]],"mmmm"))</f>
        <v>ABRIL</v>
      </c>
      <c r="G90">
        <f>DAY(pbi_ListaEmpleadosExpertis[[#This Row],[FEC_NAC]])</f>
        <v>20</v>
      </c>
    </row>
    <row r="91" spans="1:7" x14ac:dyDescent="0.25">
      <c r="A91" t="s">
        <v>338</v>
      </c>
      <c r="B91" t="s">
        <v>398</v>
      </c>
      <c r="C91" s="59">
        <v>34677</v>
      </c>
      <c r="D91" t="s">
        <v>339</v>
      </c>
      <c r="E91" t="s">
        <v>357</v>
      </c>
      <c r="F91" t="str">
        <f>UPPER(TEXT(pbi_ListaEmpleadosExpertis[[#This Row],[FEC_NAC]],"mmmm"))</f>
        <v>DICIEMBRE</v>
      </c>
      <c r="G91">
        <f>DAY(pbi_ListaEmpleadosExpertis[[#This Row],[FEC_NAC]])</f>
        <v>9</v>
      </c>
    </row>
    <row r="92" spans="1:7" x14ac:dyDescent="0.25">
      <c r="A92" t="s">
        <v>340</v>
      </c>
      <c r="B92" t="s">
        <v>388</v>
      </c>
      <c r="C92" s="59">
        <v>33158</v>
      </c>
      <c r="D92" t="s">
        <v>341</v>
      </c>
      <c r="E92" t="s">
        <v>357</v>
      </c>
      <c r="F92" t="str">
        <f>UPPER(TEXT(pbi_ListaEmpleadosExpertis[[#This Row],[FEC_NAC]],"mmmm"))</f>
        <v>OCTUBRE</v>
      </c>
      <c r="G92">
        <f>DAY(pbi_ListaEmpleadosExpertis[[#This Row],[FEC_NAC]])</f>
        <v>12</v>
      </c>
    </row>
    <row r="93" spans="1:7" x14ac:dyDescent="0.25">
      <c r="A93" t="s">
        <v>342</v>
      </c>
      <c r="B93" t="s">
        <v>399</v>
      </c>
      <c r="C93" s="59">
        <v>37080</v>
      </c>
      <c r="D93" t="s">
        <v>343</v>
      </c>
      <c r="E93" t="s">
        <v>357</v>
      </c>
      <c r="F93" t="str">
        <f>UPPER(TEXT(pbi_ListaEmpleadosExpertis[[#This Row],[FEC_NAC]],"mmmm"))</f>
        <v>JULIO</v>
      </c>
      <c r="G93">
        <f>DAY(pbi_ListaEmpleadosExpertis[[#This Row],[FEC_NAC]])</f>
        <v>8</v>
      </c>
    </row>
    <row r="94" spans="1:7" x14ac:dyDescent="0.25">
      <c r="A94" t="s">
        <v>344</v>
      </c>
      <c r="B94" t="s">
        <v>400</v>
      </c>
      <c r="C94" s="59">
        <v>37550</v>
      </c>
      <c r="D94" t="s">
        <v>345</v>
      </c>
      <c r="E94" t="s">
        <v>357</v>
      </c>
      <c r="F94" t="str">
        <f>UPPER(TEXT(pbi_ListaEmpleadosExpertis[[#This Row],[FEC_NAC]],"mmmm"))</f>
        <v>OCTUBRE</v>
      </c>
      <c r="G94">
        <f>DAY(pbi_ListaEmpleadosExpertis[[#This Row],[FEC_NAC]])</f>
        <v>21</v>
      </c>
    </row>
    <row r="95" spans="1:7" x14ac:dyDescent="0.25">
      <c r="A95" t="s">
        <v>346</v>
      </c>
      <c r="B95" t="s">
        <v>401</v>
      </c>
      <c r="C95" s="59">
        <v>35081</v>
      </c>
      <c r="D95" t="s">
        <v>347</v>
      </c>
      <c r="E95" t="s">
        <v>357</v>
      </c>
      <c r="F95" t="str">
        <f>UPPER(TEXT(pbi_ListaEmpleadosExpertis[[#This Row],[FEC_NAC]],"mmmm"))</f>
        <v>ENERO</v>
      </c>
      <c r="G95">
        <f>DAY(pbi_ListaEmpleadosExpertis[[#This Row],[FEC_NAC]])</f>
        <v>17</v>
      </c>
    </row>
    <row r="96" spans="1:7" x14ac:dyDescent="0.25">
      <c r="A96" t="s">
        <v>174</v>
      </c>
      <c r="B96" t="s">
        <v>365</v>
      </c>
      <c r="C96" s="59">
        <v>32697</v>
      </c>
      <c r="D96" t="s">
        <v>348</v>
      </c>
      <c r="E96" t="s">
        <v>0</v>
      </c>
      <c r="F96" t="str">
        <f>UPPER(TEXT(pbi_ListaEmpleadosExpertis[[#This Row],[FEC_NAC]],"mmmm"))</f>
        <v>JULIO</v>
      </c>
      <c r="G96">
        <f>DAY(pbi_ListaEmpleadosExpertis[[#This Row],[FEC_NAC]])</f>
        <v>8</v>
      </c>
    </row>
    <row r="97" spans="1:7" x14ac:dyDescent="0.25">
      <c r="A97" t="s">
        <v>349</v>
      </c>
      <c r="B97" t="s">
        <v>402</v>
      </c>
      <c r="C97" s="59">
        <v>35388</v>
      </c>
      <c r="D97" t="s">
        <v>350</v>
      </c>
      <c r="E97" t="s">
        <v>357</v>
      </c>
      <c r="F97" t="str">
        <f>UPPER(TEXT(pbi_ListaEmpleadosExpertis[[#This Row],[FEC_NAC]],"mmmm"))</f>
        <v>NOVIEMBRE</v>
      </c>
      <c r="G97">
        <f>DAY(pbi_ListaEmpleadosExpertis[[#This Row],[FEC_NAC]])</f>
        <v>19</v>
      </c>
    </row>
    <row r="98" spans="1:7" x14ac:dyDescent="0.25">
      <c r="A98" t="s">
        <v>351</v>
      </c>
      <c r="B98" t="s">
        <v>365</v>
      </c>
      <c r="C98" s="59">
        <v>31980</v>
      </c>
      <c r="D98" t="s">
        <v>352</v>
      </c>
      <c r="E98" t="s">
        <v>0</v>
      </c>
      <c r="F98" t="str">
        <f>UPPER(TEXT(pbi_ListaEmpleadosExpertis[[#This Row],[FEC_NAC]],"mmmm"))</f>
        <v>JULIO</v>
      </c>
      <c r="G98">
        <f>DAY(pbi_ListaEmpleadosExpertis[[#This Row],[FEC_NAC]])</f>
        <v>22</v>
      </c>
    </row>
    <row r="99" spans="1:7" x14ac:dyDescent="0.25">
      <c r="A99" t="s">
        <v>208</v>
      </c>
      <c r="B99" t="s">
        <v>365</v>
      </c>
      <c r="C99" s="59">
        <v>33627</v>
      </c>
      <c r="D99" t="s">
        <v>353</v>
      </c>
      <c r="E99" t="s">
        <v>0</v>
      </c>
      <c r="F99" t="str">
        <f>UPPER(TEXT(pbi_ListaEmpleadosExpertis[[#This Row],[FEC_NAC]],"mmmm"))</f>
        <v>ENERO</v>
      </c>
      <c r="G99">
        <f>DAY(pbi_ListaEmpleadosExpertis[[#This Row],[FEC_NAC]])</f>
        <v>24</v>
      </c>
    </row>
    <row r="100" spans="1:7" x14ac:dyDescent="0.25">
      <c r="A100" t="s">
        <v>209</v>
      </c>
      <c r="B100" t="s">
        <v>365</v>
      </c>
      <c r="C100" s="59">
        <v>37156</v>
      </c>
      <c r="D100" t="s">
        <v>354</v>
      </c>
      <c r="E100" t="s">
        <v>0</v>
      </c>
      <c r="F100" t="str">
        <f>UPPER(TEXT(pbi_ListaEmpleadosExpertis[[#This Row],[FEC_NAC]],"mmmm"))</f>
        <v>SETIEMBRE</v>
      </c>
      <c r="G100">
        <f>DAY(pbi_ListaEmpleadosExpertis[[#This Row],[FEC_NAC]])</f>
        <v>22</v>
      </c>
    </row>
    <row r="101" spans="1:7" x14ac:dyDescent="0.25">
      <c r="A101" t="s">
        <v>404</v>
      </c>
      <c r="B101" t="s">
        <v>365</v>
      </c>
      <c r="C101" s="59">
        <v>32157</v>
      </c>
      <c r="D101" t="s">
        <v>520</v>
      </c>
      <c r="E101" t="s">
        <v>0</v>
      </c>
      <c r="F101" t="str">
        <f>UPPER(TEXT(pbi_ListaEmpleadosExpertis[[#This Row],[FEC_NAC]],"mmmm"))</f>
        <v>ENERO</v>
      </c>
      <c r="G101">
        <f>DAY(pbi_ListaEmpleadosExpertis[[#This Row],[FEC_NAC]])</f>
        <v>15</v>
      </c>
    </row>
    <row r="102" spans="1:7" x14ac:dyDescent="0.25">
      <c r="A102" t="s">
        <v>521</v>
      </c>
      <c r="B102" t="s">
        <v>365</v>
      </c>
      <c r="C102" s="59">
        <v>26580</v>
      </c>
      <c r="D102" t="s">
        <v>522</v>
      </c>
      <c r="E102" t="s">
        <v>0</v>
      </c>
      <c r="F102" t="str">
        <f>UPPER(TEXT(pbi_ListaEmpleadosExpertis[[#This Row],[FEC_NAC]],"mmmm"))</f>
        <v>OCTUBRE</v>
      </c>
      <c r="G102">
        <f>DAY(pbi_ListaEmpleadosExpertis[[#This Row],[FEC_NAC]])</f>
        <v>8</v>
      </c>
    </row>
    <row r="103" spans="1:7" x14ac:dyDescent="0.25">
      <c r="A103" t="s">
        <v>523</v>
      </c>
      <c r="B103" t="s">
        <v>365</v>
      </c>
      <c r="C103" s="59">
        <v>36795</v>
      </c>
      <c r="D103" t="s">
        <v>524</v>
      </c>
      <c r="E103" t="s">
        <v>0</v>
      </c>
      <c r="F103" t="str">
        <f>UPPER(TEXT(pbi_ListaEmpleadosExpertis[[#This Row],[FEC_NAC]],"mmmm"))</f>
        <v>SETIEMBRE</v>
      </c>
      <c r="G103">
        <f>DAY(pbi_ListaEmpleadosExpertis[[#This Row],[FEC_NAC]])</f>
        <v>26</v>
      </c>
    </row>
    <row r="104" spans="1:7" x14ac:dyDescent="0.25">
      <c r="A104" t="s">
        <v>525</v>
      </c>
      <c r="B104" t="s">
        <v>365</v>
      </c>
      <c r="C104" s="59">
        <v>37054</v>
      </c>
      <c r="D104" t="s">
        <v>526</v>
      </c>
      <c r="E104" t="s">
        <v>0</v>
      </c>
      <c r="F104" t="str">
        <f>UPPER(TEXT(pbi_ListaEmpleadosExpertis[[#This Row],[FEC_NAC]],"mmmm"))</f>
        <v>JUNIO</v>
      </c>
      <c r="G104">
        <f>DAY(pbi_ListaEmpleadosExpertis[[#This Row],[FEC_NAC]])</f>
        <v>12</v>
      </c>
    </row>
    <row r="105" spans="1:7" x14ac:dyDescent="0.25">
      <c r="A105" t="s">
        <v>527</v>
      </c>
      <c r="B105" t="s">
        <v>365</v>
      </c>
      <c r="C105" s="59">
        <v>26670</v>
      </c>
      <c r="D105" t="s">
        <v>528</v>
      </c>
      <c r="E105" t="s">
        <v>0</v>
      </c>
      <c r="F105" t="str">
        <f>UPPER(TEXT(pbi_ListaEmpleadosExpertis[[#This Row],[FEC_NAC]],"mmmm"))</f>
        <v>ENERO</v>
      </c>
      <c r="G105">
        <f>DAY(pbi_ListaEmpleadosExpertis[[#This Row],[FEC_NAC]])</f>
        <v>6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68B3E-1E86-4351-B33B-2F8FB173430F}">
  <sheetPr>
    <tabColor rgb="FF00B050"/>
  </sheetPr>
  <dimension ref="A1:F55"/>
  <sheetViews>
    <sheetView workbookViewId="0">
      <selection activeCell="D12" sqref="D12"/>
    </sheetView>
  </sheetViews>
  <sheetFormatPr baseColWidth="10" defaultRowHeight="15" x14ac:dyDescent="0.25"/>
  <cols>
    <col min="1" max="1" width="25.28515625" style="5" bestFit="1" customWidth="1"/>
    <col min="2" max="2" width="14.85546875" style="5" bestFit="1" customWidth="1"/>
    <col min="3" max="3" width="25.28515625" bestFit="1" customWidth="1"/>
    <col min="4" max="4" width="16.7109375" style="64" customWidth="1"/>
    <col min="5" max="5" width="23.7109375" bestFit="1" customWidth="1"/>
    <col min="6" max="6" width="12.85546875" bestFit="1" customWidth="1"/>
  </cols>
  <sheetData>
    <row r="1" spans="1:6" x14ac:dyDescent="0.25">
      <c r="A1" s="10" t="s">
        <v>0</v>
      </c>
      <c r="B1" s="5" t="s">
        <v>133</v>
      </c>
      <c r="C1" s="5" t="s">
        <v>180</v>
      </c>
      <c r="D1" s="63" t="s">
        <v>403</v>
      </c>
      <c r="E1" s="5" t="s">
        <v>405</v>
      </c>
      <c r="F1" s="5" t="s">
        <v>533</v>
      </c>
    </row>
    <row r="2" spans="1:6" x14ac:dyDescent="0.25">
      <c r="A2" s="5" t="s">
        <v>58</v>
      </c>
      <c r="B2" s="5" t="s">
        <v>125</v>
      </c>
      <c r="C2" s="5" t="str">
        <f>PLANTILLA_ACTUAL[[#This Row],[ASESOR]]</f>
        <v>ALEJANDRA QUISPE</v>
      </c>
      <c r="D2" s="63" t="s">
        <v>468</v>
      </c>
      <c r="E2" s="60">
        <v>43119</v>
      </c>
      <c r="F2" s="5" t="s">
        <v>535</v>
      </c>
    </row>
    <row r="3" spans="1:6" x14ac:dyDescent="0.25">
      <c r="A3" s="5" t="s">
        <v>49</v>
      </c>
      <c r="B3" s="5" t="s">
        <v>125</v>
      </c>
      <c r="C3" s="5" t="str">
        <f>PLANTILLA_ACTUAL[[#This Row],[ASESOR]]</f>
        <v>JANETH PORTOCARRERO</v>
      </c>
      <c r="D3" s="63" t="s">
        <v>463</v>
      </c>
      <c r="E3" s="60">
        <v>43313</v>
      </c>
      <c r="F3" s="5" t="s">
        <v>534</v>
      </c>
    </row>
    <row r="4" spans="1:6" x14ac:dyDescent="0.25">
      <c r="A4" s="5" t="s">
        <v>23</v>
      </c>
      <c r="B4" s="5" t="s">
        <v>3</v>
      </c>
      <c r="C4" s="5" t="str">
        <f>PLANTILLA_ACTUAL[[#This Row],[ASESOR]]</f>
        <v>LISELY MERA</v>
      </c>
      <c r="D4" s="63" t="s">
        <v>472</v>
      </c>
      <c r="E4" s="60">
        <v>44109</v>
      </c>
      <c r="F4" s="5" t="s">
        <v>535</v>
      </c>
    </row>
    <row r="5" spans="1:6" x14ac:dyDescent="0.25">
      <c r="A5" s="5" t="s">
        <v>26</v>
      </c>
      <c r="B5" s="5" t="s">
        <v>6</v>
      </c>
      <c r="C5" s="5" t="str">
        <f>PLANTILLA_ACTUAL[[#This Row],[ASESOR]]</f>
        <v>JENY LAZARO</v>
      </c>
      <c r="D5" s="63" t="s">
        <v>418</v>
      </c>
      <c r="E5" s="60">
        <v>44257</v>
      </c>
      <c r="F5" s="5" t="s">
        <v>535</v>
      </c>
    </row>
    <row r="6" spans="1:6" x14ac:dyDescent="0.25">
      <c r="A6" s="5" t="s">
        <v>19</v>
      </c>
      <c r="B6" s="5" t="s">
        <v>6</v>
      </c>
      <c r="C6" s="5" t="str">
        <f>PLANTILLA_ACTUAL[[#This Row],[ASESOR]]</f>
        <v>CARMEN PUMA</v>
      </c>
      <c r="D6" s="63" t="s">
        <v>426</v>
      </c>
      <c r="E6" s="60">
        <v>44671</v>
      </c>
      <c r="F6" s="5" t="s">
        <v>535</v>
      </c>
    </row>
    <row r="7" spans="1:6" x14ac:dyDescent="0.25">
      <c r="A7" s="5" t="s">
        <v>29</v>
      </c>
      <c r="B7" s="5" t="s">
        <v>2</v>
      </c>
      <c r="C7" s="5" t="str">
        <f>PLANTILLA_ACTUAL[[#This Row],[ASESOR]]</f>
        <v>LUIS VALLADARES</v>
      </c>
      <c r="D7" s="63" t="s">
        <v>443</v>
      </c>
      <c r="E7" s="60">
        <v>44685</v>
      </c>
      <c r="F7" s="5" t="s">
        <v>535</v>
      </c>
    </row>
    <row r="8" spans="1:6" x14ac:dyDescent="0.25">
      <c r="A8" s="5" t="s">
        <v>10</v>
      </c>
      <c r="B8" s="5" t="s">
        <v>4</v>
      </c>
      <c r="C8" s="5" t="str">
        <f>PLANTILLA_ACTUAL[[#This Row],[ASESOR]]</f>
        <v>VERONICA TASAYCO</v>
      </c>
      <c r="D8" s="63" t="s">
        <v>476</v>
      </c>
      <c r="E8" s="60">
        <v>44704</v>
      </c>
      <c r="F8" s="5" t="s">
        <v>535</v>
      </c>
    </row>
    <row r="9" spans="1:6" x14ac:dyDescent="0.25">
      <c r="A9" s="5" t="s">
        <v>75</v>
      </c>
      <c r="B9" s="5" t="s">
        <v>4</v>
      </c>
      <c r="C9" s="5" t="str">
        <f>PLANTILLA_ACTUAL[[#This Row],[ASESOR]]</f>
        <v>MARIA TINTAYA</v>
      </c>
      <c r="D9" s="63" t="s">
        <v>455</v>
      </c>
      <c r="E9" s="60">
        <v>44714</v>
      </c>
      <c r="F9" s="5" t="s">
        <v>535</v>
      </c>
    </row>
    <row r="10" spans="1:6" x14ac:dyDescent="0.25">
      <c r="A10" s="5" t="s">
        <v>15</v>
      </c>
      <c r="B10" s="5" t="s">
        <v>2</v>
      </c>
      <c r="C10" s="5" t="str">
        <f>PLANTILLA_ACTUAL[[#This Row],[ASESOR]]</f>
        <v>ANDERSON RODRIGUEZ</v>
      </c>
      <c r="D10" s="63" t="s">
        <v>437</v>
      </c>
      <c r="E10" s="60">
        <v>44733</v>
      </c>
      <c r="F10" s="5" t="s">
        <v>535</v>
      </c>
    </row>
    <row r="11" spans="1:6" x14ac:dyDescent="0.25">
      <c r="A11" s="5" t="s">
        <v>35</v>
      </c>
      <c r="B11" s="5" t="s">
        <v>6</v>
      </c>
      <c r="C11" s="5" t="str">
        <f>PLANTILLA_ACTUAL[[#This Row],[ASESOR]]</f>
        <v>JUAN LOZA</v>
      </c>
      <c r="D11" s="63" t="s">
        <v>428</v>
      </c>
      <c r="E11" s="60">
        <v>44746</v>
      </c>
      <c r="F11" s="5" t="s">
        <v>535</v>
      </c>
    </row>
    <row r="12" spans="1:6" x14ac:dyDescent="0.25">
      <c r="A12" s="5" t="s">
        <v>48</v>
      </c>
      <c r="B12" s="5" t="s">
        <v>125</v>
      </c>
      <c r="C12" s="5" t="str">
        <f>PLANTILLA_ACTUAL[[#This Row],[ASESOR]]</f>
        <v>VERONICA HUARCA</v>
      </c>
      <c r="D12" s="63" t="s">
        <v>448</v>
      </c>
      <c r="E12" s="60">
        <v>44746</v>
      </c>
      <c r="F12" s="5" t="s">
        <v>535</v>
      </c>
    </row>
    <row r="13" spans="1:6" x14ac:dyDescent="0.25">
      <c r="A13" s="5" t="s">
        <v>13</v>
      </c>
      <c r="B13" s="5" t="s">
        <v>3</v>
      </c>
      <c r="C13" s="5" t="str">
        <f>PLANTILLA_ACTUAL[[#This Row],[ASESOR]]</f>
        <v>GIANFRANCO PINEDO</v>
      </c>
      <c r="D13" s="63" t="s">
        <v>409</v>
      </c>
      <c r="E13" s="60">
        <v>44809</v>
      </c>
      <c r="F13" s="5" t="s">
        <v>535</v>
      </c>
    </row>
    <row r="14" spans="1:6" x14ac:dyDescent="0.25">
      <c r="A14" s="5" t="s">
        <v>76</v>
      </c>
      <c r="B14" s="5" t="s">
        <v>2</v>
      </c>
      <c r="C14" s="5" t="str">
        <f>PLANTILLA_ACTUAL[[#This Row],[ASESOR]]</f>
        <v>VICTOR RAMIREZ</v>
      </c>
      <c r="D14" s="63" t="s">
        <v>435</v>
      </c>
      <c r="E14" s="60">
        <v>44817</v>
      </c>
      <c r="F14" s="5" t="s">
        <v>535</v>
      </c>
    </row>
    <row r="15" spans="1:6" x14ac:dyDescent="0.25">
      <c r="A15" s="5" t="s">
        <v>25</v>
      </c>
      <c r="B15" s="5" t="s">
        <v>2</v>
      </c>
      <c r="C15" s="5" t="str">
        <f>PLANTILLA_ACTUAL[[#This Row],[ASESOR]]</f>
        <v>MALORY MONTEBLANCO</v>
      </c>
      <c r="D15" s="63" t="s">
        <v>473</v>
      </c>
      <c r="E15" s="60">
        <v>44818</v>
      </c>
      <c r="F15" s="5" t="s">
        <v>535</v>
      </c>
    </row>
    <row r="16" spans="1:6" x14ac:dyDescent="0.25">
      <c r="A16" s="5" t="s">
        <v>77</v>
      </c>
      <c r="B16" s="5" t="s">
        <v>125</v>
      </c>
      <c r="C16" s="5" t="str">
        <f>PLANTILLA_ACTUAL[[#This Row],[ASESOR]]</f>
        <v>JUAN ALANOCCA</v>
      </c>
      <c r="D16" s="63" t="s">
        <v>420</v>
      </c>
      <c r="E16" s="60">
        <v>44838</v>
      </c>
      <c r="F16" s="5" t="s">
        <v>535</v>
      </c>
    </row>
    <row r="17" spans="1:6" x14ac:dyDescent="0.25">
      <c r="A17" s="5" t="s">
        <v>33</v>
      </c>
      <c r="B17" s="5" t="s">
        <v>3</v>
      </c>
      <c r="C17" s="5" t="str">
        <f>PLANTILLA_ACTUAL[[#This Row],[ASESOR]]</f>
        <v>LINDA TUESTA</v>
      </c>
      <c r="D17" s="63" t="s">
        <v>466</v>
      </c>
      <c r="E17" s="60">
        <v>44867</v>
      </c>
      <c r="F17" s="5" t="s">
        <v>535</v>
      </c>
    </row>
    <row r="18" spans="1:6" x14ac:dyDescent="0.25">
      <c r="A18" s="5" t="s">
        <v>12</v>
      </c>
      <c r="B18" s="5" t="s">
        <v>4</v>
      </c>
      <c r="C18" s="5" t="str">
        <f>PLANTILLA_ACTUAL[[#This Row],[ASESOR]]</f>
        <v>GENESIS VICUNA</v>
      </c>
      <c r="D18" s="63" t="s">
        <v>416</v>
      </c>
      <c r="E18" s="60">
        <v>44868</v>
      </c>
      <c r="F18" s="5" t="s">
        <v>535</v>
      </c>
    </row>
    <row r="19" spans="1:6" x14ac:dyDescent="0.25">
      <c r="A19" s="5" t="s">
        <v>17</v>
      </c>
      <c r="B19" s="5" t="s">
        <v>3</v>
      </c>
      <c r="C19" s="5" t="str">
        <f>PLANTILLA_ACTUAL[[#This Row],[ASESOR]]</f>
        <v>MARGARITA PIANCHACHI</v>
      </c>
      <c r="D19" s="63" t="s">
        <v>412</v>
      </c>
      <c r="E19" s="60">
        <v>44886</v>
      </c>
      <c r="F19" s="5" t="s">
        <v>535</v>
      </c>
    </row>
    <row r="20" spans="1:6" x14ac:dyDescent="0.25">
      <c r="A20" s="5" t="s">
        <v>61</v>
      </c>
      <c r="B20" s="5" t="s">
        <v>4</v>
      </c>
      <c r="C20" s="5" t="str">
        <f>PLANTILLA_ACTUAL[[#This Row],[ASESOR]]</f>
        <v>CRISTINA TICONA</v>
      </c>
      <c r="D20" s="63" t="s">
        <v>438</v>
      </c>
      <c r="E20" s="60">
        <v>44907</v>
      </c>
      <c r="F20" s="5" t="s">
        <v>534</v>
      </c>
    </row>
    <row r="21" spans="1:6" x14ac:dyDescent="0.25">
      <c r="A21" s="5" t="s">
        <v>78</v>
      </c>
      <c r="B21" s="5" t="s">
        <v>2</v>
      </c>
      <c r="C21" s="5" t="str">
        <f>PLANTILLA_ACTUAL[[#This Row],[ASESOR]]</f>
        <v>URSULA CENTENO</v>
      </c>
      <c r="D21" s="63" t="s">
        <v>424</v>
      </c>
      <c r="E21" s="60">
        <v>44943</v>
      </c>
      <c r="F21" s="5" t="s">
        <v>535</v>
      </c>
    </row>
    <row r="22" spans="1:6" x14ac:dyDescent="0.25">
      <c r="A22" s="5" t="s">
        <v>65</v>
      </c>
      <c r="B22" s="5" t="s">
        <v>3</v>
      </c>
      <c r="C22" s="5" t="str">
        <f>PLANTILLA_ACTUAL[[#This Row],[ASESOR]]</f>
        <v>JHONATAN CHAVEZ</v>
      </c>
      <c r="D22" s="63" t="s">
        <v>465</v>
      </c>
      <c r="E22" s="60">
        <v>45019</v>
      </c>
      <c r="F22" s="5" t="s">
        <v>535</v>
      </c>
    </row>
    <row r="23" spans="1:6" x14ac:dyDescent="0.25">
      <c r="A23" s="5" t="s">
        <v>37</v>
      </c>
      <c r="B23" s="5" t="s">
        <v>6</v>
      </c>
      <c r="C23" s="5" t="str">
        <f>PLANTILLA_ACTUAL[[#This Row],[ASESOR]]</f>
        <v>JIMENA MEDINA</v>
      </c>
      <c r="D23" s="63" t="s">
        <v>427</v>
      </c>
      <c r="E23" s="60">
        <v>45112</v>
      </c>
      <c r="F23" s="5" t="s">
        <v>535</v>
      </c>
    </row>
    <row r="24" spans="1:6" x14ac:dyDescent="0.25">
      <c r="A24" s="5" t="s">
        <v>18</v>
      </c>
      <c r="B24" s="5" t="s">
        <v>4</v>
      </c>
      <c r="C24" s="5" t="str">
        <f>PLANTILLA_ACTUAL[[#This Row],[ASESOR]]</f>
        <v>ALEIDITH GUEVARA</v>
      </c>
      <c r="D24" s="63" t="s">
        <v>458</v>
      </c>
      <c r="E24" s="60">
        <v>45132</v>
      </c>
      <c r="F24" s="5" t="s">
        <v>535</v>
      </c>
    </row>
    <row r="25" spans="1:6" x14ac:dyDescent="0.25">
      <c r="A25" s="5" t="s">
        <v>73</v>
      </c>
      <c r="B25" s="5" t="s">
        <v>125</v>
      </c>
      <c r="C25" s="5" t="str">
        <f>PLANTILLA_ACTUAL[[#This Row],[ASESOR]]</f>
        <v>SARITA GARAY</v>
      </c>
      <c r="D25" s="63" t="s">
        <v>447</v>
      </c>
      <c r="E25" s="60">
        <v>45141</v>
      </c>
      <c r="F25" s="5" t="s">
        <v>535</v>
      </c>
    </row>
    <row r="26" spans="1:6" x14ac:dyDescent="0.25">
      <c r="A26" s="5" t="s">
        <v>79</v>
      </c>
      <c r="B26" s="5" t="s">
        <v>2</v>
      </c>
      <c r="C26" s="5" t="str">
        <f>PLANTILLA_ACTUAL[[#This Row],[ASESOR]]</f>
        <v>NATALIA MARIN</v>
      </c>
      <c r="D26" s="63" t="s">
        <v>480</v>
      </c>
      <c r="E26" s="60">
        <v>45145</v>
      </c>
      <c r="F26" s="5" t="s">
        <v>535</v>
      </c>
    </row>
    <row r="27" spans="1:6" x14ac:dyDescent="0.25">
      <c r="A27" s="5" t="s">
        <v>34</v>
      </c>
      <c r="B27" s="5" t="s">
        <v>6</v>
      </c>
      <c r="C27" s="5" t="str">
        <f>PLANTILLA_ACTUAL[[#This Row],[ASESOR]]</f>
        <v>STWUAR MACURI</v>
      </c>
      <c r="D27" s="63" t="s">
        <v>434</v>
      </c>
      <c r="E27" s="60">
        <v>45173</v>
      </c>
      <c r="F27" s="5" t="s">
        <v>535</v>
      </c>
    </row>
    <row r="28" spans="1:6" x14ac:dyDescent="0.25">
      <c r="A28" s="5" t="s">
        <v>80</v>
      </c>
      <c r="B28" s="5" t="s">
        <v>6</v>
      </c>
      <c r="C28" s="5" t="str">
        <f>PLANTILLA_ACTUAL[[#This Row],[ASESOR]]</f>
        <v>DANIEL ZAPATA</v>
      </c>
      <c r="D28" s="63" t="s">
        <v>460</v>
      </c>
      <c r="E28" s="60">
        <v>45281</v>
      </c>
      <c r="F28" s="5" t="s">
        <v>535</v>
      </c>
    </row>
    <row r="29" spans="1:6" x14ac:dyDescent="0.25">
      <c r="A29" s="5" t="s">
        <v>22</v>
      </c>
      <c r="B29" s="5" t="s">
        <v>3</v>
      </c>
      <c r="C29" s="5" t="str">
        <f>PLANTILLA_ACTUAL[[#This Row],[ASESOR]]</f>
        <v>EVELY TENORIO</v>
      </c>
      <c r="D29" s="63" t="s">
        <v>469</v>
      </c>
      <c r="E29" s="60">
        <v>45295</v>
      </c>
      <c r="F29" s="5" t="s">
        <v>534</v>
      </c>
    </row>
    <row r="30" spans="1:6" x14ac:dyDescent="0.25">
      <c r="A30" s="5" t="s">
        <v>41</v>
      </c>
      <c r="B30" s="5" t="s">
        <v>125</v>
      </c>
      <c r="C30" s="5" t="str">
        <f>PLANTILLA_ACTUAL[[#This Row],[ASESOR]]</f>
        <v>CHRISTIAN ALVARADO</v>
      </c>
      <c r="D30" s="63" t="s">
        <v>414</v>
      </c>
      <c r="E30" s="60">
        <v>45302</v>
      </c>
      <c r="F30" s="5" t="s">
        <v>535</v>
      </c>
    </row>
    <row r="31" spans="1:6" x14ac:dyDescent="0.25">
      <c r="A31" s="5" t="s">
        <v>24</v>
      </c>
      <c r="B31" s="5" t="s">
        <v>3</v>
      </c>
      <c r="C31" s="5" t="str">
        <f>PLANTILLA_ACTUAL[[#This Row],[ASESOR]]</f>
        <v>FRANCO HUAMANI</v>
      </c>
      <c r="D31" s="63" t="s">
        <v>461</v>
      </c>
      <c r="E31" s="60">
        <v>45334</v>
      </c>
      <c r="F31" s="5" t="s">
        <v>535</v>
      </c>
    </row>
    <row r="32" spans="1:6" x14ac:dyDescent="0.25">
      <c r="A32" s="5" t="s">
        <v>31</v>
      </c>
      <c r="B32" s="5" t="s">
        <v>3</v>
      </c>
      <c r="C32" s="5" t="str">
        <f>PLANTILLA_ACTUAL[[#This Row],[ASESOR]]</f>
        <v>LUIS CENTENO</v>
      </c>
      <c r="D32" s="63" t="s">
        <v>430</v>
      </c>
      <c r="E32" s="60">
        <v>45334</v>
      </c>
      <c r="F32" s="5" t="s">
        <v>535</v>
      </c>
    </row>
    <row r="33" spans="1:6" x14ac:dyDescent="0.25">
      <c r="A33" s="5" t="s">
        <v>59</v>
      </c>
      <c r="B33" s="5" t="s">
        <v>4</v>
      </c>
      <c r="C33" s="5" t="str">
        <f>PLANTILLA_ACTUAL[[#This Row],[ASESOR]]</f>
        <v>PIERINA TESEN</v>
      </c>
      <c r="D33" s="63" t="s">
        <v>457</v>
      </c>
      <c r="E33" s="60">
        <v>45344</v>
      </c>
      <c r="F33" s="5" t="s">
        <v>535</v>
      </c>
    </row>
    <row r="34" spans="1:6" x14ac:dyDescent="0.25">
      <c r="A34" s="5" t="s">
        <v>68</v>
      </c>
      <c r="B34" s="5" t="s">
        <v>2</v>
      </c>
      <c r="C34" s="5" t="str">
        <f>PLANTILLA_ACTUAL[[#This Row],[ASESOR]]</f>
        <v>LUCERO JORDAN</v>
      </c>
      <c r="D34" s="63" t="s">
        <v>467</v>
      </c>
      <c r="E34" s="60">
        <v>45363</v>
      </c>
      <c r="F34" s="5" t="s">
        <v>535</v>
      </c>
    </row>
    <row r="35" spans="1:6" x14ac:dyDescent="0.25">
      <c r="A35" s="5" t="s">
        <v>11</v>
      </c>
      <c r="B35" s="5" t="s">
        <v>6</v>
      </c>
      <c r="C35" s="5" t="str">
        <f>PLANTILLA_ACTUAL[[#This Row],[ASESOR]]</f>
        <v>MILAGROS QUIO</v>
      </c>
      <c r="D35" s="63" t="s">
        <v>456</v>
      </c>
      <c r="E35" s="60">
        <v>45369</v>
      </c>
      <c r="F35" s="5" t="s">
        <v>535</v>
      </c>
    </row>
    <row r="36" spans="1:6" x14ac:dyDescent="0.25">
      <c r="A36" s="5" t="s">
        <v>42</v>
      </c>
      <c r="B36" s="5" t="s">
        <v>2</v>
      </c>
      <c r="C36" s="5" t="str">
        <f>PLANTILLA_ACTUAL[[#This Row],[ASESOR]]</f>
        <v>HAROLD FLORES</v>
      </c>
      <c r="D36" s="63" t="s">
        <v>442</v>
      </c>
      <c r="E36" s="60">
        <v>45398</v>
      </c>
      <c r="F36" s="5" t="s">
        <v>535</v>
      </c>
    </row>
    <row r="37" spans="1:6" x14ac:dyDescent="0.25">
      <c r="A37" s="5" t="s">
        <v>40</v>
      </c>
      <c r="B37" s="5" t="s">
        <v>125</v>
      </c>
      <c r="C37" s="5" t="str">
        <f>PLANTILLA_ACTUAL[[#This Row],[ASESOR]]</f>
        <v>DARYL FERREL</v>
      </c>
      <c r="D37" s="63" t="s">
        <v>451</v>
      </c>
      <c r="E37" s="60">
        <v>45433</v>
      </c>
      <c r="F37" s="5" t="s">
        <v>535</v>
      </c>
    </row>
    <row r="38" spans="1:6" x14ac:dyDescent="0.25">
      <c r="A38" s="5" t="s">
        <v>81</v>
      </c>
      <c r="B38" s="5" t="s">
        <v>6</v>
      </c>
      <c r="C38" s="5" t="str">
        <f>PLANTILLA_ACTUAL[[#This Row],[ASESOR]]</f>
        <v>DAVID SANCHEZ</v>
      </c>
      <c r="D38" s="63" t="s">
        <v>452</v>
      </c>
      <c r="E38" s="60">
        <v>45511</v>
      </c>
      <c r="F38" s="5" t="s">
        <v>535</v>
      </c>
    </row>
    <row r="39" spans="1:6" x14ac:dyDescent="0.25">
      <c r="A39" s="5" t="s">
        <v>32</v>
      </c>
      <c r="B39" s="5" t="s">
        <v>3</v>
      </c>
      <c r="C39" s="5" t="str">
        <f>PLANTILLA_ACTUAL[[#This Row],[ASESOR]]</f>
        <v>GIANNINA AGUILAR</v>
      </c>
      <c r="D39" s="63" t="s">
        <v>417</v>
      </c>
      <c r="E39" s="60">
        <v>45526</v>
      </c>
      <c r="F39" s="5" t="s">
        <v>535</v>
      </c>
    </row>
    <row r="40" spans="1:6" x14ac:dyDescent="0.25">
      <c r="A40" s="5" t="s">
        <v>51</v>
      </c>
      <c r="B40" s="5" t="s">
        <v>125</v>
      </c>
      <c r="C40" s="5" t="str">
        <f>PLANTILLA_ACTUAL[[#This Row],[ASESOR]]</f>
        <v>GERALDINE ARROYO</v>
      </c>
      <c r="D40" s="63" t="s">
        <v>440</v>
      </c>
      <c r="E40" s="60">
        <v>45678</v>
      </c>
      <c r="F40" s="5" t="s">
        <v>535</v>
      </c>
    </row>
    <row r="41" spans="1:6" x14ac:dyDescent="0.25">
      <c r="A41" s="5" t="s">
        <v>72</v>
      </c>
      <c r="B41" s="5" t="s">
        <v>4</v>
      </c>
      <c r="C41" s="5" t="str">
        <f>PLANTILLA_ACTUAL[[#This Row],[ASESOR]]</f>
        <v>ERIKA VILLAR</v>
      </c>
      <c r="D41" s="63" t="s">
        <v>477</v>
      </c>
      <c r="E41" s="60">
        <v>45691</v>
      </c>
      <c r="F41" s="5" t="s">
        <v>535</v>
      </c>
    </row>
    <row r="42" spans="1:6" x14ac:dyDescent="0.25">
      <c r="A42" s="5" t="s">
        <v>50</v>
      </c>
      <c r="B42" s="5" t="s">
        <v>6</v>
      </c>
      <c r="C42" s="5" t="str">
        <f>PLANTILLA_ACTUAL[[#This Row],[ASESOR]]</f>
        <v>KIARA CANEPA</v>
      </c>
      <c r="D42" s="63" t="s">
        <v>429</v>
      </c>
      <c r="E42" s="60">
        <v>45789</v>
      </c>
      <c r="F42" s="5" t="s">
        <v>535</v>
      </c>
    </row>
    <row r="43" spans="1:6" x14ac:dyDescent="0.25">
      <c r="A43" s="5" t="s">
        <v>38</v>
      </c>
      <c r="B43" s="5" t="s">
        <v>2</v>
      </c>
      <c r="C43" s="5" t="str">
        <f>PLANTILLA_ACTUAL[[#This Row],[ASESOR]]</f>
        <v>MARIA HUARCAYA</v>
      </c>
      <c r="D43" s="63" t="s">
        <v>496</v>
      </c>
      <c r="E43" s="60">
        <v>45800</v>
      </c>
      <c r="F43" s="5" t="s">
        <v>535</v>
      </c>
    </row>
    <row r="44" spans="1:6" x14ac:dyDescent="0.25">
      <c r="A44" s="5" t="s">
        <v>55</v>
      </c>
      <c r="B44" s="5" t="s">
        <v>125</v>
      </c>
      <c r="C44" s="5" t="str">
        <f>PLANTILLA_ACTUAL[[#This Row],[ASESOR]]</f>
        <v>MAYRA AVALOS</v>
      </c>
      <c r="D44" s="63" t="s">
        <v>502</v>
      </c>
      <c r="E44" s="60">
        <v>45813</v>
      </c>
      <c r="F44" s="5" t="s">
        <v>535</v>
      </c>
    </row>
    <row r="45" spans="1:6" x14ac:dyDescent="0.25">
      <c r="A45" s="5" t="s">
        <v>60</v>
      </c>
      <c r="B45" s="5" t="s">
        <v>4</v>
      </c>
      <c r="C45" s="5" t="str">
        <f>PLANTILLA_ACTUAL[[#This Row],[ASESOR]]</f>
        <v>ANALUCIA PONCE</v>
      </c>
      <c r="D45" s="63" t="s">
        <v>450</v>
      </c>
      <c r="E45" s="60">
        <v>45854</v>
      </c>
      <c r="F45" s="5" t="s">
        <v>535</v>
      </c>
    </row>
    <row r="46" spans="1:6" x14ac:dyDescent="0.25">
      <c r="A46" s="5" t="s">
        <v>96</v>
      </c>
      <c r="B46" s="5" t="s">
        <v>3</v>
      </c>
      <c r="C46" s="5" t="str">
        <f>PLANTILLA_ACTUAL[[#This Row],[ASESOR]]</f>
        <v>JESSICA MELGAREJO</v>
      </c>
      <c r="D46" s="63" t="s">
        <v>464</v>
      </c>
      <c r="E46" s="60">
        <v>45882</v>
      </c>
      <c r="F46" s="5" t="s">
        <v>535</v>
      </c>
    </row>
    <row r="47" spans="1:6" x14ac:dyDescent="0.25">
      <c r="A47" s="5" t="s">
        <v>97</v>
      </c>
      <c r="B47" s="5" t="s">
        <v>125</v>
      </c>
      <c r="C47" s="5" t="str">
        <f>PLANTILLA_ACTUAL[[#This Row],[ASESOR]]</f>
        <v>NOEMI CHUQUILIN</v>
      </c>
      <c r="D47" s="63" t="s">
        <v>512</v>
      </c>
      <c r="E47" s="60">
        <v>45884</v>
      </c>
      <c r="F47" s="5" t="s">
        <v>535</v>
      </c>
    </row>
    <row r="48" spans="1:6" x14ac:dyDescent="0.25">
      <c r="A48" s="5" t="s">
        <v>122</v>
      </c>
      <c r="B48" s="5" t="s">
        <v>4</v>
      </c>
      <c r="C48" s="5" t="str">
        <f>PLANTILLA_ACTUAL[[#This Row],[ASESOR]]</f>
        <v>JEREMIAS ROJAS</v>
      </c>
      <c r="D48" s="63" t="s">
        <v>453</v>
      </c>
      <c r="E48" s="60">
        <v>45971</v>
      </c>
      <c r="F48" s="5" t="s">
        <v>535</v>
      </c>
    </row>
    <row r="49" spans="1:6" x14ac:dyDescent="0.25">
      <c r="A49" s="5" t="s">
        <v>174</v>
      </c>
      <c r="B49" s="5" t="s">
        <v>125</v>
      </c>
      <c r="C49" s="5" t="str">
        <f>PLANTILLA_ACTUAL[[#This Row],[ASESOR]]</f>
        <v>CARLA VALENCIA</v>
      </c>
      <c r="D49" s="63" t="s">
        <v>519</v>
      </c>
      <c r="E49" s="60">
        <v>45992</v>
      </c>
      <c r="F49" s="5" t="s">
        <v>535</v>
      </c>
    </row>
    <row r="50" spans="1:6" x14ac:dyDescent="0.25">
      <c r="A50" s="5" t="s">
        <v>208</v>
      </c>
      <c r="B50" s="5" t="s">
        <v>4</v>
      </c>
      <c r="C50" s="5" t="str">
        <f>PLANTILLA_ACTUAL[[#This Row],[ASESOR]]</f>
        <v>MARTIN VARGAS</v>
      </c>
      <c r="D50" s="63" t="s">
        <v>569</v>
      </c>
      <c r="E50" s="60">
        <v>46024</v>
      </c>
      <c r="F50" s="5" t="s">
        <v>535</v>
      </c>
    </row>
    <row r="51" spans="1:6" x14ac:dyDescent="0.25">
      <c r="A51" s="5" t="s">
        <v>109</v>
      </c>
      <c r="B51" s="5" t="s">
        <v>125</v>
      </c>
      <c r="C51" s="5" t="str">
        <f>PLANTILLA_ACTUAL[[#This Row],[ASESOR]]</f>
        <v>ALEJANDRO GONZALES</v>
      </c>
      <c r="D51" s="63" t="s">
        <v>449</v>
      </c>
      <c r="E51" s="60">
        <v>46024</v>
      </c>
      <c r="F51" s="5" t="s">
        <v>535</v>
      </c>
    </row>
    <row r="52" spans="1:6" x14ac:dyDescent="0.25">
      <c r="A52" s="5" t="s">
        <v>105</v>
      </c>
      <c r="B52" s="5" t="s">
        <v>6</v>
      </c>
      <c r="C52" s="5" t="str">
        <f>PLANTILLA_ACTUAL[[#This Row],[ASESOR]]</f>
        <v>FRANK PACORA</v>
      </c>
      <c r="D52" s="63" t="s">
        <v>490</v>
      </c>
      <c r="E52" s="60">
        <v>46027</v>
      </c>
      <c r="F52" s="5" t="s">
        <v>535</v>
      </c>
    </row>
    <row r="53" spans="1:6" x14ac:dyDescent="0.25">
      <c r="A53" s="5" t="s">
        <v>209</v>
      </c>
      <c r="B53" s="5" t="s">
        <v>125</v>
      </c>
      <c r="C53" s="5" t="str">
        <f>PLANTILLA_ACTUAL[[#This Row],[ASESOR]]</f>
        <v>MARIA BARRIONUEVO</v>
      </c>
      <c r="D53" s="63" t="s">
        <v>570</v>
      </c>
      <c r="E53" s="60">
        <v>46029</v>
      </c>
      <c r="F53" s="5" t="s">
        <v>535</v>
      </c>
    </row>
    <row r="54" spans="1:6" x14ac:dyDescent="0.25">
      <c r="A54" s="5" t="s">
        <v>404</v>
      </c>
      <c r="B54" s="5" t="s">
        <v>125</v>
      </c>
      <c r="C54" s="5" t="str">
        <f>PLANTILLA_ACTUAL[[#This Row],[ASESOR]]</f>
        <v>ELVIS GUERRERA</v>
      </c>
      <c r="D54" s="63" t="s">
        <v>568</v>
      </c>
      <c r="E54" s="60">
        <v>46038</v>
      </c>
      <c r="F54" s="5" t="s">
        <v>535</v>
      </c>
    </row>
    <row r="55" spans="1:6" x14ac:dyDescent="0.25">
      <c r="A55" s="5" t="s">
        <v>527</v>
      </c>
      <c r="B55" s="5" t="s">
        <v>125</v>
      </c>
      <c r="C55" s="5" t="str">
        <f>PLANTILLA_ACTUAL[[#This Row],[ASESOR]]</f>
        <v>PAOLA SANTOS</v>
      </c>
      <c r="D55" s="63" t="s">
        <v>529</v>
      </c>
      <c r="E55" s="60">
        <v>46041</v>
      </c>
      <c r="F55" s="5" t="s">
        <v>535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187"/>
  <sheetViews>
    <sheetView topLeftCell="A144" zoomScale="85" zoomScaleNormal="85" workbookViewId="0">
      <selection activeCell="D164" sqref="D164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2" t="s">
        <v>177</v>
      </c>
      <c r="B1" s="21" t="s">
        <v>166</v>
      </c>
      <c r="C1" s="22" t="s">
        <v>167</v>
      </c>
      <c r="D1" s="23" t="s">
        <v>168</v>
      </c>
      <c r="E1" s="24" t="s">
        <v>169</v>
      </c>
      <c r="F1" s="25" t="s">
        <v>170</v>
      </c>
      <c r="G1" s="23" t="s">
        <v>179</v>
      </c>
    </row>
    <row r="2" spans="1:7" x14ac:dyDescent="0.25">
      <c r="A2" s="31" t="str">
        <f>_xlfn.CONCAT(TablaMeta[[#This Row],[AÑO]],TablaMeta[[#This Row],[mes]],TablaMeta[[#This Row],[Equipo]])</f>
        <v>2023DICIEMBRESANDY</v>
      </c>
      <c r="B2" s="49" t="s">
        <v>172</v>
      </c>
      <c r="C2" s="27" t="s">
        <v>176</v>
      </c>
      <c r="D2" s="13" t="s">
        <v>3</v>
      </c>
      <c r="E2" s="9">
        <v>276000</v>
      </c>
      <c r="F2" s="9">
        <v>25000</v>
      </c>
      <c r="G2" s="40"/>
    </row>
    <row r="3" spans="1:7" x14ac:dyDescent="0.25">
      <c r="A3" s="26" t="str">
        <f>_xlfn.CONCAT(TablaMeta[[#This Row],[AÑO]],TablaMeta[[#This Row],[mes]],TablaMeta[[#This Row],[Equipo]])</f>
        <v>2023DICIEMBREMELINA</v>
      </c>
      <c r="B3" s="49" t="s">
        <v>172</v>
      </c>
      <c r="C3" s="27" t="s">
        <v>176</v>
      </c>
      <c r="D3" s="13" t="s">
        <v>4</v>
      </c>
      <c r="E3" s="9">
        <v>448000</v>
      </c>
      <c r="F3" s="9">
        <v>59000</v>
      </c>
      <c r="G3" s="40"/>
    </row>
    <row r="4" spans="1:7" x14ac:dyDescent="0.25">
      <c r="A4" s="26" t="str">
        <f>_xlfn.CONCAT(TablaMeta[[#This Row],[AÑO]],TablaMeta[[#This Row],[mes]],TablaMeta[[#This Row],[Equipo]])</f>
        <v>2023DICIEMBREKENNETH</v>
      </c>
      <c r="B4" s="49" t="s">
        <v>172</v>
      </c>
      <c r="C4" s="27" t="s">
        <v>176</v>
      </c>
      <c r="D4" s="13" t="s">
        <v>6</v>
      </c>
      <c r="E4" s="9">
        <v>238000</v>
      </c>
      <c r="F4" s="9">
        <v>32500</v>
      </c>
      <c r="G4" s="40"/>
    </row>
    <row r="5" spans="1:7" x14ac:dyDescent="0.25">
      <c r="A5" s="26" t="str">
        <f>_xlfn.CONCAT(TablaMeta[[#This Row],[AÑO]],TablaMeta[[#This Row],[mes]],TablaMeta[[#This Row],[Equipo]])</f>
        <v>2023DICIEMBREJORDAN</v>
      </c>
      <c r="B5" s="49" t="s">
        <v>172</v>
      </c>
      <c r="C5" s="27" t="s">
        <v>176</v>
      </c>
      <c r="D5" s="13" t="s">
        <v>5</v>
      </c>
      <c r="E5" s="9">
        <v>237000</v>
      </c>
      <c r="F5" s="9">
        <v>30000</v>
      </c>
      <c r="G5" s="40"/>
    </row>
    <row r="6" spans="1:7" x14ac:dyDescent="0.25">
      <c r="A6" s="26" t="str">
        <f>_xlfn.CONCAT(TablaMeta[[#This Row],[AÑO]],TablaMeta[[#This Row],[mes]],TablaMeta[[#This Row],[Equipo]])</f>
        <v>2023DICIEMBREJORGE</v>
      </c>
      <c r="B6" s="49" t="s">
        <v>172</v>
      </c>
      <c r="C6" s="27" t="s">
        <v>176</v>
      </c>
      <c r="D6" s="13" t="s">
        <v>2</v>
      </c>
      <c r="E6" s="9">
        <v>159000</v>
      </c>
      <c r="F6" s="9">
        <v>23000</v>
      </c>
      <c r="G6" s="40"/>
    </row>
    <row r="7" spans="1:7" x14ac:dyDescent="0.25">
      <c r="A7" s="26" t="str">
        <f>_xlfn.CONCAT(TablaMeta[[#This Row],[AÑO]],TablaMeta[[#This Row],[mes]],TablaMeta[[#This Row],[Equipo]])</f>
        <v>2023DICIEMBREMELITA</v>
      </c>
      <c r="B7" s="49" t="s">
        <v>172</v>
      </c>
      <c r="C7" s="27" t="s">
        <v>176</v>
      </c>
      <c r="D7" s="13" t="s">
        <v>115</v>
      </c>
      <c r="E7" s="9">
        <v>300000</v>
      </c>
      <c r="F7" s="9">
        <v>26000</v>
      </c>
      <c r="G7" s="40"/>
    </row>
    <row r="8" spans="1:7" x14ac:dyDescent="0.25">
      <c r="A8" s="26" t="str">
        <f>_xlfn.CONCAT(TablaMeta[[#This Row],[AÑO]],TablaMeta[[#This Row],[mes]],TablaMeta[[#This Row],[Equipo]])</f>
        <v>2024ENEROSANDY</v>
      </c>
      <c r="B8" s="49" t="s">
        <v>173</v>
      </c>
      <c r="C8" s="27" t="s">
        <v>139</v>
      </c>
      <c r="D8" s="13" t="s">
        <v>3</v>
      </c>
      <c r="E8" s="9">
        <v>276000</v>
      </c>
      <c r="F8" s="9">
        <v>25000</v>
      </c>
      <c r="G8" s="40"/>
    </row>
    <row r="9" spans="1:7" x14ac:dyDescent="0.25">
      <c r="A9" s="26" t="str">
        <f>_xlfn.CONCAT(TablaMeta[[#This Row],[AÑO]],TablaMeta[[#This Row],[mes]],TablaMeta[[#This Row],[Equipo]])</f>
        <v>2024ENEROMELINA</v>
      </c>
      <c r="B9" s="49" t="s">
        <v>173</v>
      </c>
      <c r="C9" s="27" t="s">
        <v>139</v>
      </c>
      <c r="D9" s="13" t="s">
        <v>4</v>
      </c>
      <c r="E9" s="9">
        <v>448000</v>
      </c>
      <c r="F9" s="9">
        <v>59000</v>
      </c>
      <c r="G9" s="40"/>
    </row>
    <row r="10" spans="1:7" x14ac:dyDescent="0.25">
      <c r="A10" s="26" t="str">
        <f>_xlfn.CONCAT(TablaMeta[[#This Row],[AÑO]],TablaMeta[[#This Row],[mes]],TablaMeta[[#This Row],[Equipo]])</f>
        <v>2024ENEROKENNETH</v>
      </c>
      <c r="B10" s="49" t="s">
        <v>173</v>
      </c>
      <c r="C10" s="27" t="s">
        <v>139</v>
      </c>
      <c r="D10" s="13" t="s">
        <v>6</v>
      </c>
      <c r="E10" s="9">
        <v>238000</v>
      </c>
      <c r="F10" s="9">
        <v>32500</v>
      </c>
      <c r="G10" s="40"/>
    </row>
    <row r="11" spans="1:7" x14ac:dyDescent="0.25">
      <c r="A11" s="26" t="str">
        <f>_xlfn.CONCAT(TablaMeta[[#This Row],[AÑO]],TablaMeta[[#This Row],[mes]],TablaMeta[[#This Row],[Equipo]])</f>
        <v>2024ENEROJORDAN</v>
      </c>
      <c r="B11" s="49" t="s">
        <v>173</v>
      </c>
      <c r="C11" s="27" t="s">
        <v>139</v>
      </c>
      <c r="D11" s="13" t="s">
        <v>5</v>
      </c>
      <c r="E11" s="9">
        <v>237000</v>
      </c>
      <c r="F11" s="9">
        <v>30000</v>
      </c>
      <c r="G11" s="40"/>
    </row>
    <row r="12" spans="1:7" x14ac:dyDescent="0.25">
      <c r="A12" s="26" t="str">
        <f>_xlfn.CONCAT(TablaMeta[[#This Row],[AÑO]],TablaMeta[[#This Row],[mes]],TablaMeta[[#This Row],[Equipo]])</f>
        <v>2024ENEROJORGE</v>
      </c>
      <c r="B12" s="49" t="s">
        <v>173</v>
      </c>
      <c r="C12" s="27" t="s">
        <v>139</v>
      </c>
      <c r="D12" s="13" t="s">
        <v>2</v>
      </c>
      <c r="E12" s="9">
        <v>159000</v>
      </c>
      <c r="F12" s="9">
        <v>23000</v>
      </c>
      <c r="G12" s="40"/>
    </row>
    <row r="13" spans="1:7" x14ac:dyDescent="0.25">
      <c r="A13" s="26" t="str">
        <f>_xlfn.CONCAT(TablaMeta[[#This Row],[AÑO]],TablaMeta[[#This Row],[mes]],TablaMeta[[#This Row],[Equipo]])</f>
        <v>2024ENEROMELITA</v>
      </c>
      <c r="B13" s="49" t="s">
        <v>173</v>
      </c>
      <c r="C13" s="27" t="s">
        <v>139</v>
      </c>
      <c r="D13" s="13" t="s">
        <v>115</v>
      </c>
      <c r="E13" s="9">
        <v>300000</v>
      </c>
      <c r="F13" s="9">
        <v>26000</v>
      </c>
      <c r="G13" s="40"/>
    </row>
    <row r="14" spans="1:7" x14ac:dyDescent="0.25">
      <c r="A14" s="26" t="str">
        <f>_xlfn.CONCAT(TablaMeta[[#This Row],[AÑO]],TablaMeta[[#This Row],[mes]],TablaMeta[[#This Row],[Equipo]])</f>
        <v>2024FEBREROSANDY</v>
      </c>
      <c r="B14" s="49" t="s">
        <v>173</v>
      </c>
      <c r="C14" s="27" t="s">
        <v>140</v>
      </c>
      <c r="D14" s="13" t="s">
        <v>3</v>
      </c>
      <c r="E14" s="9">
        <v>185500</v>
      </c>
      <c r="F14" s="9">
        <v>20500</v>
      </c>
      <c r="G14" s="40"/>
    </row>
    <row r="15" spans="1:7" x14ac:dyDescent="0.25">
      <c r="A15" s="26" t="str">
        <f>_xlfn.CONCAT(TablaMeta[[#This Row],[AÑO]],TablaMeta[[#This Row],[mes]],TablaMeta[[#This Row],[Equipo]])</f>
        <v>2024FEBREROMELINA</v>
      </c>
      <c r="B15" s="49" t="s">
        <v>173</v>
      </c>
      <c r="C15" s="27" t="s">
        <v>140</v>
      </c>
      <c r="D15" s="13" t="s">
        <v>4</v>
      </c>
      <c r="E15" s="9">
        <v>588000</v>
      </c>
      <c r="F15" s="9">
        <v>69000</v>
      </c>
      <c r="G15" s="40"/>
    </row>
    <row r="16" spans="1:7" x14ac:dyDescent="0.25">
      <c r="A16" s="26" t="str">
        <f>_xlfn.CONCAT(TablaMeta[[#This Row],[AÑO]],TablaMeta[[#This Row],[mes]],TablaMeta[[#This Row],[Equipo]])</f>
        <v>2024FEBREROKENNETH</v>
      </c>
      <c r="B16" s="49" t="s">
        <v>173</v>
      </c>
      <c r="C16" s="27" t="s">
        <v>140</v>
      </c>
      <c r="D16" s="13" t="s">
        <v>6</v>
      </c>
      <c r="E16" s="9">
        <v>238000</v>
      </c>
      <c r="F16" s="9">
        <v>30000</v>
      </c>
      <c r="G16" s="40"/>
    </row>
    <row r="17" spans="1:7" x14ac:dyDescent="0.25">
      <c r="A17" s="26" t="str">
        <f>_xlfn.CONCAT(TablaMeta[[#This Row],[AÑO]],TablaMeta[[#This Row],[mes]],TablaMeta[[#This Row],[Equipo]])</f>
        <v>2024FEBREROJORDAN</v>
      </c>
      <c r="B17" s="49" t="s">
        <v>173</v>
      </c>
      <c r="C17" s="27" t="s">
        <v>140</v>
      </c>
      <c r="D17" s="13" t="s">
        <v>5</v>
      </c>
      <c r="E17" s="9">
        <v>217000</v>
      </c>
      <c r="F17" s="9">
        <v>30000</v>
      </c>
      <c r="G17" s="40"/>
    </row>
    <row r="18" spans="1:7" x14ac:dyDescent="0.25">
      <c r="A18" s="26" t="str">
        <f>_xlfn.CONCAT(TablaMeta[[#This Row],[AÑO]],TablaMeta[[#This Row],[mes]],TablaMeta[[#This Row],[Equipo]])</f>
        <v>2024FEBREROJORGE</v>
      </c>
      <c r="B18" s="49" t="s">
        <v>173</v>
      </c>
      <c r="C18" s="27" t="s">
        <v>140</v>
      </c>
      <c r="D18" s="13" t="s">
        <v>2</v>
      </c>
      <c r="E18" s="9">
        <v>217000</v>
      </c>
      <c r="F18" s="9">
        <v>25000</v>
      </c>
      <c r="G18" s="40"/>
    </row>
    <row r="19" spans="1:7" x14ac:dyDescent="0.25">
      <c r="A19" s="26" t="str">
        <f>_xlfn.CONCAT(TablaMeta[[#This Row],[AÑO]],TablaMeta[[#This Row],[mes]],TablaMeta[[#This Row],[Equipo]])</f>
        <v>2024FEBREROMELITA</v>
      </c>
      <c r="B19" s="49" t="s">
        <v>173</v>
      </c>
      <c r="C19" s="27" t="s">
        <v>140</v>
      </c>
      <c r="D19" s="13" t="s">
        <v>115</v>
      </c>
      <c r="E19" s="9">
        <v>145000</v>
      </c>
      <c r="F19" s="9">
        <v>21000</v>
      </c>
      <c r="G19" s="40"/>
    </row>
    <row r="20" spans="1:7" x14ac:dyDescent="0.25">
      <c r="A20" s="26" t="str">
        <f>_xlfn.CONCAT(TablaMeta[[#This Row],[AÑO]],TablaMeta[[#This Row],[mes]],TablaMeta[[#This Row],[Equipo]])</f>
        <v>2024FEBREROLUIS</v>
      </c>
      <c r="B20" s="49" t="s">
        <v>173</v>
      </c>
      <c r="C20" s="27" t="s">
        <v>140</v>
      </c>
      <c r="D20" s="13" t="s">
        <v>9</v>
      </c>
      <c r="E20" s="9">
        <v>145000</v>
      </c>
      <c r="F20" s="9">
        <v>21000</v>
      </c>
      <c r="G20" s="40"/>
    </row>
    <row r="21" spans="1:7" x14ac:dyDescent="0.25">
      <c r="A21" s="26" t="str">
        <f>_xlfn.CONCAT(TablaMeta[[#This Row],[AÑO]],TablaMeta[[#This Row],[mes]],TablaMeta[[#This Row],[Equipo]])</f>
        <v>2024MARZOSANDY</v>
      </c>
      <c r="B21" s="49" t="s">
        <v>173</v>
      </c>
      <c r="C21" s="27" t="s">
        <v>141</v>
      </c>
      <c r="D21" s="13" t="s">
        <v>3</v>
      </c>
      <c r="E21" s="9">
        <v>185500</v>
      </c>
      <c r="F21" s="9">
        <v>20000</v>
      </c>
      <c r="G21" s="40"/>
    </row>
    <row r="22" spans="1:7" x14ac:dyDescent="0.25">
      <c r="A22" s="26" t="str">
        <f>_xlfn.CONCAT(TablaMeta[[#This Row],[AÑO]],TablaMeta[[#This Row],[mes]],TablaMeta[[#This Row],[Equipo]])</f>
        <v>2024MARZOMELINA</v>
      </c>
      <c r="B22" s="49" t="s">
        <v>173</v>
      </c>
      <c r="C22" s="27" t="s">
        <v>141</v>
      </c>
      <c r="D22" s="13" t="s">
        <v>4</v>
      </c>
      <c r="E22" s="9">
        <v>629000</v>
      </c>
      <c r="F22" s="9">
        <v>60000</v>
      </c>
      <c r="G22" s="40"/>
    </row>
    <row r="23" spans="1:7" x14ac:dyDescent="0.25">
      <c r="A23" s="26" t="str">
        <f>_xlfn.CONCAT(TablaMeta[[#This Row],[AÑO]],TablaMeta[[#This Row],[mes]],TablaMeta[[#This Row],[Equipo]])</f>
        <v>2024MARZOKENNETH</v>
      </c>
      <c r="B23" s="49" t="s">
        <v>173</v>
      </c>
      <c r="C23" s="27" t="s">
        <v>141</v>
      </c>
      <c r="D23" s="13" t="s">
        <v>6</v>
      </c>
      <c r="E23" s="9">
        <v>238000</v>
      </c>
      <c r="F23" s="9">
        <v>30000</v>
      </c>
      <c r="G23" s="40"/>
    </row>
    <row r="24" spans="1:7" x14ac:dyDescent="0.25">
      <c r="A24" s="26" t="str">
        <f>_xlfn.CONCAT(TablaMeta[[#This Row],[AÑO]],TablaMeta[[#This Row],[mes]],TablaMeta[[#This Row],[Equipo]])</f>
        <v>2024MARZOJORDAN</v>
      </c>
      <c r="B24" s="49" t="s">
        <v>173</v>
      </c>
      <c r="C24" s="27" t="s">
        <v>141</v>
      </c>
      <c r="D24" s="13" t="s">
        <v>5</v>
      </c>
      <c r="E24" s="9">
        <v>217000</v>
      </c>
      <c r="F24" s="9">
        <v>27000</v>
      </c>
      <c r="G24" s="40"/>
    </row>
    <row r="25" spans="1:7" x14ac:dyDescent="0.25">
      <c r="A25" s="26" t="str">
        <f>_xlfn.CONCAT(TablaMeta[[#This Row],[AÑO]],TablaMeta[[#This Row],[mes]],TablaMeta[[#This Row],[Equipo]])</f>
        <v>2024MARZOJORGE</v>
      </c>
      <c r="B25" s="49" t="s">
        <v>173</v>
      </c>
      <c r="C25" s="27" t="s">
        <v>141</v>
      </c>
      <c r="D25" s="13" t="s">
        <v>2</v>
      </c>
      <c r="E25" s="9">
        <v>217000</v>
      </c>
      <c r="F25" s="9">
        <v>23500</v>
      </c>
      <c r="G25" s="40"/>
    </row>
    <row r="26" spans="1:7" x14ac:dyDescent="0.25">
      <c r="A26" s="26" t="str">
        <f>_xlfn.CONCAT(TablaMeta[[#This Row],[AÑO]],TablaMeta[[#This Row],[mes]],TablaMeta[[#This Row],[Equipo]])</f>
        <v>2024MARZOMELITA</v>
      </c>
      <c r="B26" s="49" t="s">
        <v>173</v>
      </c>
      <c r="C26" s="27" t="s">
        <v>141</v>
      </c>
      <c r="D26" s="13" t="s">
        <v>115</v>
      </c>
      <c r="E26" s="9">
        <v>168500</v>
      </c>
      <c r="F26" s="9">
        <v>21000</v>
      </c>
      <c r="G26" s="40"/>
    </row>
    <row r="27" spans="1:7" x14ac:dyDescent="0.25">
      <c r="A27" s="26" t="str">
        <f>_xlfn.CONCAT(TablaMeta[[#This Row],[AÑO]],TablaMeta[[#This Row],[mes]],TablaMeta[[#This Row],[Equipo]])</f>
        <v>2024MARZOLUIS</v>
      </c>
      <c r="B27" s="49" t="s">
        <v>173</v>
      </c>
      <c r="C27" s="27" t="s">
        <v>141</v>
      </c>
      <c r="D27" s="13" t="s">
        <v>9</v>
      </c>
      <c r="E27" s="9">
        <v>145000</v>
      </c>
      <c r="F27" s="9">
        <v>21000</v>
      </c>
      <c r="G27" s="40"/>
    </row>
    <row r="28" spans="1:7" x14ac:dyDescent="0.25">
      <c r="A28" s="26" t="str">
        <f>_xlfn.CONCAT(TablaMeta[[#This Row],[AÑO]],TablaMeta[[#This Row],[mes]],TablaMeta[[#This Row],[Equipo]])</f>
        <v>2024ABRILSANDY</v>
      </c>
      <c r="B28" s="49" t="s">
        <v>173</v>
      </c>
      <c r="C28" s="27" t="s">
        <v>142</v>
      </c>
      <c r="D28" s="13" t="s">
        <v>3</v>
      </c>
      <c r="E28" s="9">
        <v>169500</v>
      </c>
      <c r="F28" s="9">
        <v>19000</v>
      </c>
      <c r="G28" s="40"/>
    </row>
    <row r="29" spans="1:7" x14ac:dyDescent="0.25">
      <c r="A29" s="26" t="str">
        <f>_xlfn.CONCAT(TablaMeta[[#This Row],[AÑO]],TablaMeta[[#This Row],[mes]],TablaMeta[[#This Row],[Equipo]])</f>
        <v>2024ABRILMELINA</v>
      </c>
      <c r="B29" s="49" t="s">
        <v>173</v>
      </c>
      <c r="C29" s="27" t="s">
        <v>142</v>
      </c>
      <c r="D29" s="13" t="s">
        <v>4</v>
      </c>
      <c r="E29" s="9">
        <v>629000</v>
      </c>
      <c r="F29" s="9">
        <v>66000</v>
      </c>
      <c r="G29" s="40"/>
    </row>
    <row r="30" spans="1:7" x14ac:dyDescent="0.25">
      <c r="A30" s="26" t="str">
        <f>_xlfn.CONCAT(TablaMeta[[#This Row],[AÑO]],TablaMeta[[#This Row],[mes]],TablaMeta[[#This Row],[Equipo]])</f>
        <v>2024ABRILKENNETH</v>
      </c>
      <c r="B30" s="49" t="s">
        <v>173</v>
      </c>
      <c r="C30" s="27" t="s">
        <v>142</v>
      </c>
      <c r="D30" s="13" t="s">
        <v>6</v>
      </c>
      <c r="E30" s="9">
        <v>238000</v>
      </c>
      <c r="F30" s="9">
        <v>30000</v>
      </c>
      <c r="G30" s="40"/>
    </row>
    <row r="31" spans="1:7" x14ac:dyDescent="0.25">
      <c r="A31" s="26" t="str">
        <f>_xlfn.CONCAT(TablaMeta[[#This Row],[AÑO]],TablaMeta[[#This Row],[mes]],TablaMeta[[#This Row],[Equipo]])</f>
        <v>2024ABRILJORDAN</v>
      </c>
      <c r="B31" s="49" t="s">
        <v>173</v>
      </c>
      <c r="C31" s="27" t="s">
        <v>142</v>
      </c>
      <c r="D31" s="13" t="s">
        <v>5</v>
      </c>
      <c r="E31" s="9">
        <v>217000</v>
      </c>
      <c r="F31" s="9">
        <v>27000</v>
      </c>
      <c r="G31" s="40"/>
    </row>
    <row r="32" spans="1:7" x14ac:dyDescent="0.25">
      <c r="A32" s="26" t="str">
        <f>_xlfn.CONCAT(TablaMeta[[#This Row],[AÑO]],TablaMeta[[#This Row],[mes]],TablaMeta[[#This Row],[Equipo]])</f>
        <v>2024ABRILJORGE</v>
      </c>
      <c r="B32" s="49" t="s">
        <v>173</v>
      </c>
      <c r="C32" s="27" t="s">
        <v>142</v>
      </c>
      <c r="D32" s="13" t="s">
        <v>2</v>
      </c>
      <c r="E32" s="9">
        <v>192000</v>
      </c>
      <c r="F32" s="9">
        <v>22000</v>
      </c>
      <c r="G32" s="40"/>
    </row>
    <row r="33" spans="1:7" x14ac:dyDescent="0.25">
      <c r="A33" s="26" t="str">
        <f>_xlfn.CONCAT(TablaMeta[[#This Row],[AÑO]],TablaMeta[[#This Row],[mes]],TablaMeta[[#This Row],[Equipo]])</f>
        <v>2024ABRILMELITA</v>
      </c>
      <c r="B33" s="49" t="s">
        <v>173</v>
      </c>
      <c r="C33" s="27" t="s">
        <v>142</v>
      </c>
      <c r="D33" s="13" t="s">
        <v>115</v>
      </c>
      <c r="E33" s="9">
        <v>154500</v>
      </c>
      <c r="F33" s="9">
        <v>23000</v>
      </c>
      <c r="G33" s="40"/>
    </row>
    <row r="34" spans="1:7" x14ac:dyDescent="0.25">
      <c r="A34" s="26" t="str">
        <f>_xlfn.CONCAT(TablaMeta[[#This Row],[AÑO]],TablaMeta[[#This Row],[mes]],TablaMeta[[#This Row],[Equipo]])</f>
        <v>2024ABRILLUIS</v>
      </c>
      <c r="B34" s="49" t="s">
        <v>173</v>
      </c>
      <c r="C34" s="27" t="s">
        <v>142</v>
      </c>
      <c r="D34" s="13" t="s">
        <v>9</v>
      </c>
      <c r="E34" s="9">
        <v>136000</v>
      </c>
      <c r="F34" s="9">
        <v>20000</v>
      </c>
      <c r="G34" s="40"/>
    </row>
    <row r="35" spans="1:7" x14ac:dyDescent="0.25">
      <c r="A35" s="26" t="str">
        <f>_xlfn.CONCAT(TablaMeta[[#This Row],[AÑO]],TablaMeta[[#This Row],[mes]],TablaMeta[[#This Row],[Equipo]])</f>
        <v>2024MAYOMELITA</v>
      </c>
      <c r="B35" s="49" t="s">
        <v>173</v>
      </c>
      <c r="C35" s="27" t="s">
        <v>143</v>
      </c>
      <c r="D35" s="13" t="s">
        <v>115</v>
      </c>
      <c r="E35" s="9">
        <v>154500</v>
      </c>
      <c r="F35" s="9">
        <v>23000</v>
      </c>
      <c r="G35" s="40"/>
    </row>
    <row r="36" spans="1:7" x14ac:dyDescent="0.25">
      <c r="A36" s="26" t="str">
        <f>_xlfn.CONCAT(TablaMeta[[#This Row],[AÑO]],TablaMeta[[#This Row],[mes]],TablaMeta[[#This Row],[Equipo]])</f>
        <v>2024MAYOLUIS</v>
      </c>
      <c r="B36" s="49" t="s">
        <v>173</v>
      </c>
      <c r="C36" s="27" t="s">
        <v>143</v>
      </c>
      <c r="D36" s="13" t="s">
        <v>9</v>
      </c>
      <c r="E36" s="9">
        <v>136000</v>
      </c>
      <c r="F36" s="9">
        <v>20000</v>
      </c>
      <c r="G36" s="40"/>
    </row>
    <row r="37" spans="1:7" x14ac:dyDescent="0.25">
      <c r="A37" s="26" t="str">
        <f>_xlfn.CONCAT(TablaMeta[[#This Row],[AÑO]],TablaMeta[[#This Row],[mes]],TablaMeta[[#This Row],[Equipo]])</f>
        <v>2024MAYOSANDY</v>
      </c>
      <c r="B37" s="49" t="s">
        <v>173</v>
      </c>
      <c r="C37" s="27" t="s">
        <v>143</v>
      </c>
      <c r="D37" s="13" t="s">
        <v>3</v>
      </c>
      <c r="E37" s="9">
        <v>169500</v>
      </c>
      <c r="F37" s="9">
        <v>20500</v>
      </c>
      <c r="G37" s="40"/>
    </row>
    <row r="38" spans="1:7" x14ac:dyDescent="0.25">
      <c r="A38" s="26" t="str">
        <f>_xlfn.CONCAT(TablaMeta[[#This Row],[AÑO]],TablaMeta[[#This Row],[mes]],TablaMeta[[#This Row],[Equipo]])</f>
        <v>2024MAYOMELINA</v>
      </c>
      <c r="B38" s="49" t="s">
        <v>173</v>
      </c>
      <c r="C38" s="27" t="s">
        <v>143</v>
      </c>
      <c r="D38" s="13" t="s">
        <v>4</v>
      </c>
      <c r="E38" s="9">
        <v>679000</v>
      </c>
      <c r="F38" s="9">
        <v>71000</v>
      </c>
      <c r="G38" s="40"/>
    </row>
    <row r="39" spans="1:7" x14ac:dyDescent="0.25">
      <c r="A39" s="26" t="str">
        <f>_xlfn.CONCAT(TablaMeta[[#This Row],[AÑO]],TablaMeta[[#This Row],[mes]],TablaMeta[[#This Row],[Equipo]])</f>
        <v>2024MAYOJORDAN</v>
      </c>
      <c r="B39" s="49" t="s">
        <v>173</v>
      </c>
      <c r="C39" s="27" t="s">
        <v>143</v>
      </c>
      <c r="D39" s="13" t="s">
        <v>5</v>
      </c>
      <c r="E39" s="9">
        <v>217000</v>
      </c>
      <c r="F39" s="9">
        <v>30000</v>
      </c>
      <c r="G39" s="40"/>
    </row>
    <row r="40" spans="1:7" x14ac:dyDescent="0.25">
      <c r="A40" s="26" t="str">
        <f>_xlfn.CONCAT(TablaMeta[[#This Row],[AÑO]],TablaMeta[[#This Row],[mes]],TablaMeta[[#This Row],[Equipo]])</f>
        <v>2024MAYOJORGE</v>
      </c>
      <c r="B40" s="49" t="s">
        <v>173</v>
      </c>
      <c r="C40" s="27" t="s">
        <v>143</v>
      </c>
      <c r="D40" s="13" t="s">
        <v>2</v>
      </c>
      <c r="E40" s="9">
        <v>192000</v>
      </c>
      <c r="F40" s="9">
        <v>25000</v>
      </c>
      <c r="G40" s="40"/>
    </row>
    <row r="41" spans="1:7" x14ac:dyDescent="0.25">
      <c r="A41" s="26" t="str">
        <f>_xlfn.CONCAT(TablaMeta[[#This Row],[AÑO]],TablaMeta[[#This Row],[mes]],TablaMeta[[#This Row],[Equipo]])</f>
        <v>2024MAYOKENNETH</v>
      </c>
      <c r="B41" s="50" t="s">
        <v>173</v>
      </c>
      <c r="C41" s="28" t="s">
        <v>143</v>
      </c>
      <c r="D41" s="29" t="s">
        <v>6</v>
      </c>
      <c r="E41" s="30">
        <v>238000</v>
      </c>
      <c r="F41" s="9">
        <v>30000</v>
      </c>
      <c r="G41" s="40"/>
    </row>
    <row r="42" spans="1:7" x14ac:dyDescent="0.25">
      <c r="A42" s="26" t="str">
        <f>_xlfn.CONCAT(TablaMeta[[#This Row],[AÑO]],TablaMeta[[#This Row],[mes]],TablaMeta[[#This Row],[Equipo]])</f>
        <v>2024JUNIOMELITA</v>
      </c>
      <c r="B42" s="49" t="s">
        <v>173</v>
      </c>
      <c r="C42" s="27" t="s">
        <v>144</v>
      </c>
      <c r="D42" s="13" t="s">
        <v>115</v>
      </c>
      <c r="E42" s="9">
        <v>154500</v>
      </c>
      <c r="F42" s="9">
        <v>23000</v>
      </c>
      <c r="G42" s="40"/>
    </row>
    <row r="43" spans="1:7" x14ac:dyDescent="0.25">
      <c r="A43" s="26" t="str">
        <f>_xlfn.CONCAT(TablaMeta[[#This Row],[AÑO]],TablaMeta[[#This Row],[mes]],TablaMeta[[#This Row],[Equipo]])</f>
        <v>2024JUNIOLUIS</v>
      </c>
      <c r="B43" s="49" t="s">
        <v>173</v>
      </c>
      <c r="C43" s="27" t="s">
        <v>144</v>
      </c>
      <c r="D43" s="13" t="s">
        <v>9</v>
      </c>
      <c r="E43" s="9">
        <v>136000</v>
      </c>
      <c r="F43" s="9">
        <v>20000</v>
      </c>
      <c r="G43" s="40"/>
    </row>
    <row r="44" spans="1:7" x14ac:dyDescent="0.25">
      <c r="A44" s="26" t="str">
        <f>_xlfn.CONCAT(TablaMeta[[#This Row],[AÑO]],TablaMeta[[#This Row],[mes]],TablaMeta[[#This Row],[Equipo]])</f>
        <v>2024JUNIOSANDY</v>
      </c>
      <c r="B44" s="49" t="s">
        <v>173</v>
      </c>
      <c r="C44" s="27" t="s">
        <v>144</v>
      </c>
      <c r="D44" s="13" t="s">
        <v>3</v>
      </c>
      <c r="E44" s="9">
        <v>169500</v>
      </c>
      <c r="F44" s="9">
        <v>20500</v>
      </c>
      <c r="G44" s="40"/>
    </row>
    <row r="45" spans="1:7" x14ac:dyDescent="0.25">
      <c r="A45" s="26" t="str">
        <f>_xlfn.CONCAT(TablaMeta[[#This Row],[AÑO]],TablaMeta[[#This Row],[mes]],TablaMeta[[#This Row],[Equipo]])</f>
        <v>2024JUNIOMELINA</v>
      </c>
      <c r="B45" s="49" t="s">
        <v>173</v>
      </c>
      <c r="C45" s="27" t="s">
        <v>144</v>
      </c>
      <c r="D45" s="13" t="s">
        <v>4</v>
      </c>
      <c r="E45" s="9">
        <v>760000</v>
      </c>
      <c r="F45" s="9">
        <v>79800</v>
      </c>
      <c r="G45" s="40"/>
    </row>
    <row r="46" spans="1:7" x14ac:dyDescent="0.25">
      <c r="A46" s="26" t="str">
        <f>_xlfn.CONCAT(TablaMeta[[#This Row],[AÑO]],TablaMeta[[#This Row],[mes]],TablaMeta[[#This Row],[Equipo]])</f>
        <v>2024JUNIOJORDAN</v>
      </c>
      <c r="B46" s="49" t="s">
        <v>173</v>
      </c>
      <c r="C46" s="27" t="s">
        <v>144</v>
      </c>
      <c r="D46" s="13" t="s">
        <v>5</v>
      </c>
      <c r="E46" s="9">
        <v>217000</v>
      </c>
      <c r="F46" s="9">
        <v>30000</v>
      </c>
      <c r="G46" s="40"/>
    </row>
    <row r="47" spans="1:7" x14ac:dyDescent="0.25">
      <c r="A47" s="26" t="str">
        <f>_xlfn.CONCAT(TablaMeta[[#This Row],[AÑO]],TablaMeta[[#This Row],[mes]],TablaMeta[[#This Row],[Equipo]])</f>
        <v>2024JUNIOJORGE</v>
      </c>
      <c r="B47" s="49" t="s">
        <v>173</v>
      </c>
      <c r="C47" s="27" t="s">
        <v>144</v>
      </c>
      <c r="D47" s="13" t="s">
        <v>2</v>
      </c>
      <c r="E47" s="9">
        <v>192000</v>
      </c>
      <c r="F47" s="9">
        <v>23000</v>
      </c>
      <c r="G47" s="40"/>
    </row>
    <row r="48" spans="1:7" x14ac:dyDescent="0.25">
      <c r="A48" s="26" t="str">
        <f>_xlfn.CONCAT(TablaMeta[[#This Row],[AÑO]],TablaMeta[[#This Row],[mes]],TablaMeta[[#This Row],[Equipo]])</f>
        <v>2024JUNIOKENNETH</v>
      </c>
      <c r="B48" s="50" t="s">
        <v>173</v>
      </c>
      <c r="C48" s="28" t="s">
        <v>144</v>
      </c>
      <c r="D48" s="29" t="s">
        <v>6</v>
      </c>
      <c r="E48" s="9">
        <v>238000</v>
      </c>
      <c r="F48" s="9">
        <v>30000</v>
      </c>
      <c r="G48" s="40"/>
    </row>
    <row r="49" spans="1:7" x14ac:dyDescent="0.25">
      <c r="A49" s="26" t="str">
        <f>_xlfn.CONCAT(TablaMeta[[#This Row],[AÑO]],TablaMeta[[#This Row],[mes]],TablaMeta[[#This Row],[Equipo]])</f>
        <v>2024JULIOMELITA</v>
      </c>
      <c r="B49" s="49" t="s">
        <v>173</v>
      </c>
      <c r="C49" s="27" t="s">
        <v>145</v>
      </c>
      <c r="D49" s="13" t="s">
        <v>115</v>
      </c>
      <c r="E49" s="9">
        <v>152000</v>
      </c>
      <c r="F49" s="9">
        <v>18000</v>
      </c>
      <c r="G49" s="40"/>
    </row>
    <row r="50" spans="1:7" x14ac:dyDescent="0.25">
      <c r="A50" s="26" t="str">
        <f>_xlfn.CONCAT(TablaMeta[[#This Row],[AÑO]],TablaMeta[[#This Row],[mes]],TablaMeta[[#This Row],[Equipo]])</f>
        <v>2024JULIOLUIS</v>
      </c>
      <c r="B50" s="49" t="s">
        <v>173</v>
      </c>
      <c r="C50" s="27" t="s">
        <v>145</v>
      </c>
      <c r="D50" s="13" t="s">
        <v>9</v>
      </c>
      <c r="E50" s="9">
        <v>114500</v>
      </c>
      <c r="F50" s="9">
        <v>18000</v>
      </c>
      <c r="G50" s="40"/>
    </row>
    <row r="51" spans="1:7" x14ac:dyDescent="0.25">
      <c r="A51" s="26" t="str">
        <f>_xlfn.CONCAT(TablaMeta[[#This Row],[AÑO]],TablaMeta[[#This Row],[mes]],TablaMeta[[#This Row],[Equipo]])</f>
        <v>2024JULIOSANDY</v>
      </c>
      <c r="B51" s="49" t="s">
        <v>173</v>
      </c>
      <c r="C51" s="27" t="s">
        <v>145</v>
      </c>
      <c r="D51" s="13" t="s">
        <v>3</v>
      </c>
      <c r="E51" s="9">
        <v>425000</v>
      </c>
      <c r="F51" s="9">
        <v>50000</v>
      </c>
      <c r="G51" s="40"/>
    </row>
    <row r="52" spans="1:7" x14ac:dyDescent="0.25">
      <c r="A52" s="26" t="str">
        <f>_xlfn.CONCAT(TablaMeta[[#This Row],[AÑO]],TablaMeta[[#This Row],[mes]],TablaMeta[[#This Row],[Equipo]])</f>
        <v>2024JULIOMELINA</v>
      </c>
      <c r="B52" s="49" t="s">
        <v>173</v>
      </c>
      <c r="C52" s="27" t="s">
        <v>145</v>
      </c>
      <c r="D52" s="13" t="s">
        <v>4</v>
      </c>
      <c r="E52" s="9">
        <v>425000</v>
      </c>
      <c r="F52" s="9">
        <v>50000</v>
      </c>
      <c r="G52" s="40"/>
    </row>
    <row r="53" spans="1:7" x14ac:dyDescent="0.25">
      <c r="A53" s="26" t="str">
        <f>_xlfn.CONCAT(TablaMeta[[#This Row],[AÑO]],TablaMeta[[#This Row],[mes]],TablaMeta[[#This Row],[Equipo]])</f>
        <v>2024JULIOJORDAN</v>
      </c>
      <c r="B53" s="49" t="s">
        <v>173</v>
      </c>
      <c r="C53" s="27" t="s">
        <v>145</v>
      </c>
      <c r="D53" s="13" t="s">
        <v>5</v>
      </c>
      <c r="E53" s="9">
        <v>204000</v>
      </c>
      <c r="F53" s="9">
        <v>28000</v>
      </c>
      <c r="G53" s="40"/>
    </row>
    <row r="54" spans="1:7" x14ac:dyDescent="0.25">
      <c r="A54" s="26" t="str">
        <f>_xlfn.CONCAT(TablaMeta[[#This Row],[AÑO]],TablaMeta[[#This Row],[mes]],TablaMeta[[#This Row],[Equipo]])</f>
        <v>2024JULIOJORGE</v>
      </c>
      <c r="B54" s="49" t="s">
        <v>173</v>
      </c>
      <c r="C54" s="27" t="s">
        <v>145</v>
      </c>
      <c r="D54" s="13" t="s">
        <v>2</v>
      </c>
      <c r="E54" s="9">
        <v>150000</v>
      </c>
      <c r="F54" s="9">
        <v>18000</v>
      </c>
      <c r="G54" s="40"/>
    </row>
    <row r="55" spans="1:7" x14ac:dyDescent="0.25">
      <c r="A55" s="26" t="str">
        <f>_xlfn.CONCAT(TablaMeta[[#This Row],[AÑO]],TablaMeta[[#This Row],[mes]],TablaMeta[[#This Row],[Equipo]])</f>
        <v>2024JULIOKENNETH</v>
      </c>
      <c r="B55" s="50" t="s">
        <v>173</v>
      </c>
      <c r="C55" s="28" t="s">
        <v>145</v>
      </c>
      <c r="D55" s="29" t="s">
        <v>6</v>
      </c>
      <c r="E55" s="9">
        <v>224000</v>
      </c>
      <c r="F55" s="9">
        <v>27000</v>
      </c>
      <c r="G55" s="40"/>
    </row>
    <row r="56" spans="1:7" x14ac:dyDescent="0.25">
      <c r="A56" s="26" t="str">
        <f>_xlfn.CONCAT(TablaMeta[[#This Row],[AÑO]],TablaMeta[[#This Row],[mes]],TablaMeta[[#This Row],[Equipo]])</f>
        <v>2024AGOSTOSANDY</v>
      </c>
      <c r="B56" s="49" t="s">
        <v>173</v>
      </c>
      <c r="C56" s="27" t="s">
        <v>146</v>
      </c>
      <c r="D56" s="13" t="s">
        <v>3</v>
      </c>
      <c r="E56" s="9">
        <v>490000</v>
      </c>
      <c r="F56" s="9">
        <v>64000</v>
      </c>
      <c r="G56" s="40"/>
    </row>
    <row r="57" spans="1:7" x14ac:dyDescent="0.25">
      <c r="A57" s="26" t="str">
        <f>_xlfn.CONCAT(TablaMeta[[#This Row],[AÑO]],TablaMeta[[#This Row],[mes]],TablaMeta[[#This Row],[Equipo]])</f>
        <v>2024AGOSTOMELINA</v>
      </c>
      <c r="B57" s="49" t="s">
        <v>173</v>
      </c>
      <c r="C57" s="27" t="s">
        <v>146</v>
      </c>
      <c r="D57" s="13" t="s">
        <v>4</v>
      </c>
      <c r="E57" s="9">
        <v>490000</v>
      </c>
      <c r="F57" s="9">
        <v>64000</v>
      </c>
      <c r="G57" s="40"/>
    </row>
    <row r="58" spans="1:7" x14ac:dyDescent="0.25">
      <c r="A58" s="26" t="str">
        <f>_xlfn.CONCAT(TablaMeta[[#This Row],[AÑO]],TablaMeta[[#This Row],[mes]],TablaMeta[[#This Row],[Equipo]])</f>
        <v>2024AGOSTOJORDAN</v>
      </c>
      <c r="B58" s="49" t="s">
        <v>173</v>
      </c>
      <c r="C58" s="27" t="s">
        <v>146</v>
      </c>
      <c r="D58" s="13" t="s">
        <v>5</v>
      </c>
      <c r="E58" s="9">
        <v>204000</v>
      </c>
      <c r="F58" s="9">
        <v>26000</v>
      </c>
      <c r="G58" s="40"/>
    </row>
    <row r="59" spans="1:7" x14ac:dyDescent="0.25">
      <c r="A59" s="26" t="str">
        <f>_xlfn.CONCAT(TablaMeta[[#This Row],[AÑO]],TablaMeta[[#This Row],[mes]],TablaMeta[[#This Row],[Equipo]])</f>
        <v>2024AGOSTOJORGE</v>
      </c>
      <c r="B59" s="49" t="s">
        <v>173</v>
      </c>
      <c r="C59" s="27" t="s">
        <v>146</v>
      </c>
      <c r="D59" s="13" t="s">
        <v>2</v>
      </c>
      <c r="E59" s="9">
        <v>150000</v>
      </c>
      <c r="F59" s="9">
        <v>18000</v>
      </c>
      <c r="G59" s="40"/>
    </row>
    <row r="60" spans="1:7" x14ac:dyDescent="0.25">
      <c r="A60" s="26" t="str">
        <f>_xlfn.CONCAT(TablaMeta[[#This Row],[AÑO]],TablaMeta[[#This Row],[mes]],TablaMeta[[#This Row],[Equipo]])</f>
        <v>2024AGOSTOMELITA</v>
      </c>
      <c r="B60" s="49" t="s">
        <v>173</v>
      </c>
      <c r="C60" s="27" t="s">
        <v>146</v>
      </c>
      <c r="D60" s="13" t="s">
        <v>115</v>
      </c>
      <c r="E60" s="9">
        <v>152000</v>
      </c>
      <c r="F60" s="9">
        <v>18000</v>
      </c>
      <c r="G60" s="40"/>
    </row>
    <row r="61" spans="1:7" x14ac:dyDescent="0.25">
      <c r="A61" s="26" t="str">
        <f>_xlfn.CONCAT(TablaMeta[[#This Row],[AÑO]],TablaMeta[[#This Row],[mes]],TablaMeta[[#This Row],[Equipo]])</f>
        <v>2024AGOSTOKENNETH</v>
      </c>
      <c r="B61" s="49" t="s">
        <v>173</v>
      </c>
      <c r="C61" s="27" t="s">
        <v>146</v>
      </c>
      <c r="D61" s="13" t="s">
        <v>6</v>
      </c>
      <c r="E61" s="9">
        <v>224000</v>
      </c>
      <c r="F61" s="9">
        <v>27000</v>
      </c>
      <c r="G61" s="40"/>
    </row>
    <row r="62" spans="1:7" x14ac:dyDescent="0.25">
      <c r="A62" s="26" t="str">
        <f>_xlfn.CONCAT(TablaMeta[[#This Row],[AÑO]],TablaMeta[[#This Row],[mes]],TablaMeta[[#This Row],[Equipo]])</f>
        <v>2024AGOSTOLUIS</v>
      </c>
      <c r="B62" s="50" t="s">
        <v>173</v>
      </c>
      <c r="C62" s="28" t="s">
        <v>146</v>
      </c>
      <c r="D62" s="29" t="s">
        <v>9</v>
      </c>
      <c r="E62" s="30">
        <v>114500</v>
      </c>
      <c r="F62" s="9">
        <v>18000</v>
      </c>
      <c r="G62" s="40"/>
    </row>
    <row r="63" spans="1:7" x14ac:dyDescent="0.25">
      <c r="A63" s="26" t="str">
        <f>_xlfn.CONCAT(TablaMeta[[#This Row],[AÑO]],TablaMeta[[#This Row],[mes]],TablaMeta[[#This Row],[Equipo]])</f>
        <v>2024SETIEMBRESANDY</v>
      </c>
      <c r="B63" s="49" t="s">
        <v>173</v>
      </c>
      <c r="C63" s="27" t="s">
        <v>147</v>
      </c>
      <c r="D63" s="13" t="s">
        <v>3</v>
      </c>
      <c r="E63" s="9">
        <v>490000</v>
      </c>
      <c r="F63" s="9">
        <v>64000</v>
      </c>
      <c r="G63" s="40"/>
    </row>
    <row r="64" spans="1:7" x14ac:dyDescent="0.25">
      <c r="A64" s="26" t="str">
        <f>_xlfn.CONCAT(TablaMeta[[#This Row],[AÑO]],TablaMeta[[#This Row],[mes]],TablaMeta[[#This Row],[Equipo]])</f>
        <v>2024SETIEMBREMELINA</v>
      </c>
      <c r="B64" s="49" t="s">
        <v>173</v>
      </c>
      <c r="C64" s="27" t="s">
        <v>147</v>
      </c>
      <c r="D64" s="13" t="s">
        <v>4</v>
      </c>
      <c r="E64" s="9">
        <v>490000</v>
      </c>
      <c r="F64" s="9">
        <v>64000</v>
      </c>
      <c r="G64" s="40"/>
    </row>
    <row r="65" spans="1:7" x14ac:dyDescent="0.25">
      <c r="A65" s="26" t="str">
        <f>_xlfn.CONCAT(TablaMeta[[#This Row],[AÑO]],TablaMeta[[#This Row],[mes]],TablaMeta[[#This Row],[Equipo]])</f>
        <v>2024SETIEMBREJORDAN</v>
      </c>
      <c r="B65" s="49" t="s">
        <v>173</v>
      </c>
      <c r="C65" s="27" t="s">
        <v>147</v>
      </c>
      <c r="D65" s="13" t="s">
        <v>5</v>
      </c>
      <c r="E65" s="9">
        <v>194000</v>
      </c>
      <c r="F65" s="9">
        <v>23000</v>
      </c>
      <c r="G65" s="40"/>
    </row>
    <row r="66" spans="1:7" x14ac:dyDescent="0.25">
      <c r="A66" s="26" t="str">
        <f>_xlfn.CONCAT(TablaMeta[[#This Row],[AÑO]],TablaMeta[[#This Row],[mes]],TablaMeta[[#This Row],[Equipo]])</f>
        <v>2024SETIEMBREJORGE</v>
      </c>
      <c r="B66" s="49" t="s">
        <v>173</v>
      </c>
      <c r="C66" s="27" t="s">
        <v>147</v>
      </c>
      <c r="D66" s="13" t="s">
        <v>2</v>
      </c>
      <c r="E66" s="9">
        <v>150000</v>
      </c>
      <c r="F66" s="9">
        <v>16000</v>
      </c>
      <c r="G66" s="40"/>
    </row>
    <row r="67" spans="1:7" x14ac:dyDescent="0.25">
      <c r="A67" s="26" t="str">
        <f>_xlfn.CONCAT(TablaMeta[[#This Row],[AÑO]],TablaMeta[[#This Row],[mes]],TablaMeta[[#This Row],[Equipo]])</f>
        <v>2024SETIEMBREMELITA</v>
      </c>
      <c r="B67" s="49" t="s">
        <v>173</v>
      </c>
      <c r="C67" s="27" t="s">
        <v>147</v>
      </c>
      <c r="D67" s="13" t="s">
        <v>115</v>
      </c>
      <c r="E67" s="9">
        <v>111800</v>
      </c>
      <c r="F67" s="9">
        <v>14000</v>
      </c>
      <c r="G67" s="40"/>
    </row>
    <row r="68" spans="1:7" x14ac:dyDescent="0.25">
      <c r="A68" s="26" t="str">
        <f>_xlfn.CONCAT(TablaMeta[[#This Row],[AÑO]],TablaMeta[[#This Row],[mes]],TablaMeta[[#This Row],[Equipo]])</f>
        <v>2024SETIEMBREKENNETH</v>
      </c>
      <c r="B68" s="49" t="s">
        <v>173</v>
      </c>
      <c r="C68" s="27" t="s">
        <v>147</v>
      </c>
      <c r="D68" s="13" t="s">
        <v>6</v>
      </c>
      <c r="E68" s="9">
        <v>224000</v>
      </c>
      <c r="F68" s="9">
        <v>24000</v>
      </c>
      <c r="G68" s="40"/>
    </row>
    <row r="69" spans="1:7" x14ac:dyDescent="0.25">
      <c r="A69" s="26" t="str">
        <f>_xlfn.CONCAT(TablaMeta[[#This Row],[AÑO]],TablaMeta[[#This Row],[mes]],TablaMeta[[#This Row],[Equipo]])</f>
        <v>2024SETIEMBRELUIS</v>
      </c>
      <c r="B69" s="50" t="s">
        <v>173</v>
      </c>
      <c r="C69" s="28" t="s">
        <v>147</v>
      </c>
      <c r="D69" s="29" t="s">
        <v>9</v>
      </c>
      <c r="E69" s="30">
        <v>78500</v>
      </c>
      <c r="F69" s="9">
        <v>13000</v>
      </c>
      <c r="G69" s="40"/>
    </row>
    <row r="70" spans="1:7" x14ac:dyDescent="0.25">
      <c r="A70" s="26" t="str">
        <f>_xlfn.CONCAT(TablaMeta[[#This Row],[AÑO]],TablaMeta[[#This Row],[mes]],TablaMeta[[#This Row],[Equipo]])</f>
        <v>2024OCTUBRESANDY</v>
      </c>
      <c r="B70" s="49" t="s">
        <v>173</v>
      </c>
      <c r="C70" s="27" t="s">
        <v>148</v>
      </c>
      <c r="D70" s="13" t="s">
        <v>3</v>
      </c>
      <c r="E70" s="9">
        <v>584000</v>
      </c>
      <c r="F70" s="9">
        <v>68000</v>
      </c>
      <c r="G70" s="40"/>
    </row>
    <row r="71" spans="1:7" x14ac:dyDescent="0.25">
      <c r="A71" s="26" t="str">
        <f>_xlfn.CONCAT(TablaMeta[[#This Row],[AÑO]],TablaMeta[[#This Row],[mes]],TablaMeta[[#This Row],[Equipo]])</f>
        <v>2024OCTUBREMELINA</v>
      </c>
      <c r="B71" s="49" t="s">
        <v>173</v>
      </c>
      <c r="C71" s="27" t="s">
        <v>148</v>
      </c>
      <c r="D71" s="13" t="s">
        <v>4</v>
      </c>
      <c r="E71" s="9">
        <v>584000</v>
      </c>
      <c r="F71" s="9">
        <v>68000</v>
      </c>
      <c r="G71" s="40"/>
    </row>
    <row r="72" spans="1:7" x14ac:dyDescent="0.25">
      <c r="A72" s="26" t="str">
        <f>_xlfn.CONCAT(TablaMeta[[#This Row],[AÑO]],TablaMeta[[#This Row],[mes]],TablaMeta[[#This Row],[Equipo]])</f>
        <v>2024OCTUBREJORDAN</v>
      </c>
      <c r="B72" s="49" t="s">
        <v>173</v>
      </c>
      <c r="C72" s="27" t="s">
        <v>148</v>
      </c>
      <c r="D72" s="13" t="s">
        <v>5</v>
      </c>
      <c r="E72" s="9">
        <v>194000</v>
      </c>
      <c r="F72" s="9">
        <v>21000</v>
      </c>
      <c r="G72" s="40"/>
    </row>
    <row r="73" spans="1:7" x14ac:dyDescent="0.25">
      <c r="A73" s="26" t="str">
        <f>_xlfn.CONCAT(TablaMeta[[#This Row],[AÑO]],TablaMeta[[#This Row],[mes]],TablaMeta[[#This Row],[Equipo]])</f>
        <v>2024OCTUBREJORGE</v>
      </c>
      <c r="B73" s="49" t="s">
        <v>173</v>
      </c>
      <c r="C73" s="27" t="s">
        <v>148</v>
      </c>
      <c r="D73" s="13" t="s">
        <v>2</v>
      </c>
      <c r="E73" s="9">
        <v>150000</v>
      </c>
      <c r="F73" s="9">
        <v>17500</v>
      </c>
      <c r="G73" s="40"/>
    </row>
    <row r="74" spans="1:7" x14ac:dyDescent="0.25">
      <c r="A74" s="26" t="str">
        <f>_xlfn.CONCAT(TablaMeta[[#This Row],[AÑO]],TablaMeta[[#This Row],[mes]],TablaMeta[[#This Row],[Equipo]])</f>
        <v>2024OCTUBREMELITA</v>
      </c>
      <c r="B74" s="49" t="s">
        <v>173</v>
      </c>
      <c r="C74" s="27" t="s">
        <v>148</v>
      </c>
      <c r="D74" s="13" t="s">
        <v>115</v>
      </c>
      <c r="E74" s="9">
        <v>111800</v>
      </c>
      <c r="F74" s="9">
        <v>15000</v>
      </c>
      <c r="G74" s="40"/>
    </row>
    <row r="75" spans="1:7" x14ac:dyDescent="0.25">
      <c r="A75" s="26" t="str">
        <f>_xlfn.CONCAT(TablaMeta[[#This Row],[AÑO]],TablaMeta[[#This Row],[mes]],TablaMeta[[#This Row],[Equipo]])</f>
        <v>2024OCTUBREKENNETH</v>
      </c>
      <c r="B75" s="49" t="s">
        <v>173</v>
      </c>
      <c r="C75" s="27" t="s">
        <v>148</v>
      </c>
      <c r="D75" s="13" t="s">
        <v>6</v>
      </c>
      <c r="E75" s="9">
        <v>224000</v>
      </c>
      <c r="F75" s="9">
        <v>20500</v>
      </c>
      <c r="G75" s="40"/>
    </row>
    <row r="76" spans="1:7" x14ac:dyDescent="0.25">
      <c r="A76" s="26" t="str">
        <f>_xlfn.CONCAT(TablaMeta[[#This Row],[AÑO]],TablaMeta[[#This Row],[mes]],TablaMeta[[#This Row],[Equipo]])</f>
        <v>2024OCTUBRELUIS</v>
      </c>
      <c r="B76" s="50" t="s">
        <v>173</v>
      </c>
      <c r="C76" s="28" t="s">
        <v>148</v>
      </c>
      <c r="D76" s="29" t="s">
        <v>9</v>
      </c>
      <c r="E76" s="30">
        <v>78500</v>
      </c>
      <c r="F76" s="9">
        <v>13000</v>
      </c>
      <c r="G76" s="40"/>
    </row>
    <row r="77" spans="1:7" x14ac:dyDescent="0.25">
      <c r="A77" s="26" t="str">
        <f>_xlfn.CONCAT(TablaMeta[[#This Row],[AÑO]],TablaMeta[[#This Row],[mes]],TablaMeta[[#This Row],[Equipo]])</f>
        <v>2024NOVIEMBRESANDY</v>
      </c>
      <c r="B77" s="49" t="s">
        <v>173</v>
      </c>
      <c r="C77" s="27" t="s">
        <v>149</v>
      </c>
      <c r="D77" s="13" t="s">
        <v>3</v>
      </c>
      <c r="E77" s="9">
        <v>646000</v>
      </c>
      <c r="F77" s="9">
        <v>68000</v>
      </c>
      <c r="G77" s="40"/>
    </row>
    <row r="78" spans="1:7" x14ac:dyDescent="0.25">
      <c r="A78" s="26" t="str">
        <f>_xlfn.CONCAT(TablaMeta[[#This Row],[AÑO]],TablaMeta[[#This Row],[mes]],TablaMeta[[#This Row],[Equipo]])</f>
        <v>2024NOVIEMBREMELINA</v>
      </c>
      <c r="B78" s="49" t="s">
        <v>173</v>
      </c>
      <c r="C78" s="27" t="s">
        <v>149</v>
      </c>
      <c r="D78" s="13" t="s">
        <v>4</v>
      </c>
      <c r="E78" s="9">
        <v>646000</v>
      </c>
      <c r="F78" s="9">
        <v>68000</v>
      </c>
      <c r="G78" s="40"/>
    </row>
    <row r="79" spans="1:7" x14ac:dyDescent="0.25">
      <c r="A79" s="26" t="str">
        <f>_xlfn.CONCAT(TablaMeta[[#This Row],[AÑO]],TablaMeta[[#This Row],[mes]],TablaMeta[[#This Row],[Equipo]])</f>
        <v>2024NOVIEMBREJORDAN</v>
      </c>
      <c r="B79" s="49" t="s">
        <v>173</v>
      </c>
      <c r="C79" s="27" t="s">
        <v>149</v>
      </c>
      <c r="D79" s="13" t="s">
        <v>5</v>
      </c>
      <c r="E79" s="9">
        <v>194000</v>
      </c>
      <c r="F79" s="9">
        <v>23000</v>
      </c>
      <c r="G79" s="40"/>
    </row>
    <row r="80" spans="1:7" x14ac:dyDescent="0.25">
      <c r="A80" s="26" t="str">
        <f>_xlfn.CONCAT(TablaMeta[[#This Row],[AÑO]],TablaMeta[[#This Row],[mes]],TablaMeta[[#This Row],[Equipo]])</f>
        <v>2024NOVIEMBREJORGE</v>
      </c>
      <c r="B80" s="49" t="s">
        <v>173</v>
      </c>
      <c r="C80" s="27" t="s">
        <v>149</v>
      </c>
      <c r="D80" s="13" t="s">
        <v>2</v>
      </c>
      <c r="E80" s="9">
        <v>150000</v>
      </c>
      <c r="F80" s="9">
        <v>25000</v>
      </c>
      <c r="G80" s="40"/>
    </row>
    <row r="81" spans="1:7" x14ac:dyDescent="0.25">
      <c r="A81" s="26" t="str">
        <f>_xlfn.CONCAT(TablaMeta[[#This Row],[AÑO]],TablaMeta[[#This Row],[mes]],TablaMeta[[#This Row],[Equipo]])</f>
        <v>2024NOVIEMBREMELITA</v>
      </c>
      <c r="B81" s="49" t="s">
        <v>173</v>
      </c>
      <c r="C81" s="27" t="s">
        <v>149</v>
      </c>
      <c r="D81" s="13" t="s">
        <v>115</v>
      </c>
      <c r="E81" s="9">
        <v>111800</v>
      </c>
      <c r="F81" s="9">
        <v>17000</v>
      </c>
      <c r="G81" s="40"/>
    </row>
    <row r="82" spans="1:7" x14ac:dyDescent="0.25">
      <c r="A82" s="26" t="str">
        <f>_xlfn.CONCAT(TablaMeta[[#This Row],[AÑO]],TablaMeta[[#This Row],[mes]],TablaMeta[[#This Row],[Equipo]])</f>
        <v>2024NOVIEMBREKENNETH</v>
      </c>
      <c r="B82" s="49" t="s">
        <v>173</v>
      </c>
      <c r="C82" s="27" t="s">
        <v>149</v>
      </c>
      <c r="D82" s="13" t="s">
        <v>6</v>
      </c>
      <c r="E82" s="30">
        <v>224000</v>
      </c>
      <c r="F82" s="9">
        <v>22500</v>
      </c>
      <c r="G82" s="40"/>
    </row>
    <row r="83" spans="1:7" x14ac:dyDescent="0.25">
      <c r="A83" s="26" t="str">
        <f>_xlfn.CONCAT(TablaMeta[[#This Row],[AÑO]],TablaMeta[[#This Row],[mes]],TablaMeta[[#This Row],[Equipo]])</f>
        <v>2024NOVIEMBRELUIS</v>
      </c>
      <c r="B83" s="50" t="s">
        <v>173</v>
      </c>
      <c r="C83" s="28" t="s">
        <v>149</v>
      </c>
      <c r="D83" s="29" t="s">
        <v>9</v>
      </c>
      <c r="E83" s="30">
        <v>78500</v>
      </c>
      <c r="F83" s="9">
        <v>13000</v>
      </c>
      <c r="G83" s="40"/>
    </row>
    <row r="84" spans="1:7" x14ac:dyDescent="0.25">
      <c r="A84" s="26" t="str">
        <f>_xlfn.CONCAT(TablaMeta[[#This Row],[AÑO]],TablaMeta[[#This Row],[mes]],TablaMeta[[#This Row],[Equipo]])</f>
        <v>2024DICIEMBRESANDY</v>
      </c>
      <c r="B84" s="49" t="s">
        <v>173</v>
      </c>
      <c r="C84" s="27" t="s">
        <v>176</v>
      </c>
      <c r="D84" s="13" t="s">
        <v>3</v>
      </c>
      <c r="E84" s="9">
        <v>453000</v>
      </c>
      <c r="F84" s="9">
        <v>60000</v>
      </c>
      <c r="G84" s="40"/>
    </row>
    <row r="85" spans="1:7" x14ac:dyDescent="0.25">
      <c r="A85" s="26" t="str">
        <f>_xlfn.CONCAT(TablaMeta[[#This Row],[AÑO]],TablaMeta[[#This Row],[mes]],TablaMeta[[#This Row],[Equipo]])</f>
        <v>2024DICIEMBREMELINA</v>
      </c>
      <c r="B85" s="49" t="s">
        <v>173</v>
      </c>
      <c r="C85" s="27" t="s">
        <v>176</v>
      </c>
      <c r="D85" s="13" t="s">
        <v>4</v>
      </c>
      <c r="E85" s="9">
        <v>453000</v>
      </c>
      <c r="F85" s="9">
        <v>60000</v>
      </c>
      <c r="G85" s="40"/>
    </row>
    <row r="86" spans="1:7" x14ac:dyDescent="0.25">
      <c r="A86" s="26" t="str">
        <f>_xlfn.CONCAT(TablaMeta[[#This Row],[AÑO]],TablaMeta[[#This Row],[mes]],TablaMeta[[#This Row],[Equipo]])</f>
        <v>2024DICIEMBREJORDAN</v>
      </c>
      <c r="B86" s="49" t="s">
        <v>173</v>
      </c>
      <c r="C86" s="27" t="s">
        <v>176</v>
      </c>
      <c r="D86" s="13" t="s">
        <v>5</v>
      </c>
      <c r="E86" s="9">
        <v>453000</v>
      </c>
      <c r="F86" s="9">
        <v>60000</v>
      </c>
      <c r="G86" s="40"/>
    </row>
    <row r="87" spans="1:7" x14ac:dyDescent="0.25">
      <c r="A87" s="26" t="str">
        <f>_xlfn.CONCAT(TablaMeta[[#This Row],[AÑO]],TablaMeta[[#This Row],[mes]],TablaMeta[[#This Row],[Equipo]])</f>
        <v>2024DICIEMBREJORGE</v>
      </c>
      <c r="B87" s="49" t="s">
        <v>173</v>
      </c>
      <c r="C87" s="27" t="s">
        <v>176</v>
      </c>
      <c r="D87" s="13" t="s">
        <v>2</v>
      </c>
      <c r="E87" s="9">
        <v>194000</v>
      </c>
      <c r="F87" s="9">
        <v>22500</v>
      </c>
      <c r="G87" s="40"/>
    </row>
    <row r="88" spans="1:7" x14ac:dyDescent="0.25">
      <c r="A88" s="26" t="str">
        <f>_xlfn.CONCAT(TablaMeta[[#This Row],[AÑO]],TablaMeta[[#This Row],[mes]],TablaMeta[[#This Row],[Equipo]])</f>
        <v>2024DICIEMBREMELITA</v>
      </c>
      <c r="B88" s="49" t="s">
        <v>173</v>
      </c>
      <c r="C88" s="27" t="s">
        <v>176</v>
      </c>
      <c r="D88" s="13" t="s">
        <v>115</v>
      </c>
      <c r="E88" s="9">
        <v>111800</v>
      </c>
      <c r="F88" s="9">
        <v>17000</v>
      </c>
      <c r="G88" s="40"/>
    </row>
    <row r="89" spans="1:7" x14ac:dyDescent="0.25">
      <c r="A89" s="26" t="str">
        <f>_xlfn.CONCAT(TablaMeta[[#This Row],[AÑO]],TablaMeta[[#This Row],[mes]],TablaMeta[[#This Row],[Equipo]])</f>
        <v>2024DICIEMBREKENNETH</v>
      </c>
      <c r="B89" s="49" t="s">
        <v>173</v>
      </c>
      <c r="C89" s="27" t="s">
        <v>176</v>
      </c>
      <c r="D89" s="13" t="s">
        <v>6</v>
      </c>
      <c r="E89" s="9">
        <v>224000</v>
      </c>
      <c r="F89" s="9">
        <v>20500</v>
      </c>
      <c r="G89" s="40"/>
    </row>
    <row r="90" spans="1:7" x14ac:dyDescent="0.25">
      <c r="A90" s="26" t="str">
        <f>_xlfn.CONCAT(TablaMeta[[#This Row],[AÑO]],TablaMeta[[#This Row],[mes]],TablaMeta[[#This Row],[Equipo]])</f>
        <v>2024DICIEMBRELUIS</v>
      </c>
      <c r="B90" s="50" t="s">
        <v>173</v>
      </c>
      <c r="C90" s="28" t="s">
        <v>176</v>
      </c>
      <c r="D90" s="29" t="s">
        <v>9</v>
      </c>
      <c r="E90" s="30">
        <v>228500</v>
      </c>
      <c r="F90" s="9">
        <v>26500</v>
      </c>
      <c r="G90" s="40"/>
    </row>
    <row r="91" spans="1:7" x14ac:dyDescent="0.25">
      <c r="A91" s="26" t="str">
        <f>_xlfn.CONCAT(TablaMeta[[#This Row],[AÑO]],TablaMeta[[#This Row],[mes]],TablaMeta[[#This Row],[Equipo]])</f>
        <v>2025ENEROSANDY</v>
      </c>
      <c r="B91" s="49" t="s">
        <v>171</v>
      </c>
      <c r="C91" s="27" t="s">
        <v>139</v>
      </c>
      <c r="D91" s="13" t="s">
        <v>3</v>
      </c>
      <c r="E91" s="9">
        <v>439600</v>
      </c>
      <c r="F91" s="9">
        <v>58000</v>
      </c>
      <c r="G91" s="40" t="s">
        <v>150</v>
      </c>
    </row>
    <row r="92" spans="1:7" x14ac:dyDescent="0.25">
      <c r="A92" s="26" t="str">
        <f>_xlfn.CONCAT(TablaMeta[[#This Row],[AÑO]],TablaMeta[[#This Row],[mes]],TablaMeta[[#This Row],[Equipo]])</f>
        <v>2025ENEROMELINA</v>
      </c>
      <c r="B92" s="49" t="s">
        <v>171</v>
      </c>
      <c r="C92" s="27" t="s">
        <v>139</v>
      </c>
      <c r="D92" s="13" t="s">
        <v>4</v>
      </c>
      <c r="E92" s="9">
        <v>439600</v>
      </c>
      <c r="F92" s="9">
        <v>58000</v>
      </c>
      <c r="G92" s="40" t="s">
        <v>150</v>
      </c>
    </row>
    <row r="93" spans="1:7" x14ac:dyDescent="0.25">
      <c r="A93" s="26" t="str">
        <f>_xlfn.CONCAT(TablaMeta[[#This Row],[AÑO]],TablaMeta[[#This Row],[mes]],TablaMeta[[#This Row],[Equipo]])</f>
        <v>2025ENEROJORDAN</v>
      </c>
      <c r="B93" s="49" t="s">
        <v>171</v>
      </c>
      <c r="C93" s="27" t="s">
        <v>139</v>
      </c>
      <c r="D93" s="13" t="s">
        <v>5</v>
      </c>
      <c r="E93" s="9">
        <v>439600</v>
      </c>
      <c r="F93" s="9">
        <v>58000</v>
      </c>
      <c r="G93" s="40" t="s">
        <v>150</v>
      </c>
    </row>
    <row r="94" spans="1:7" x14ac:dyDescent="0.25">
      <c r="A94" s="26" t="str">
        <f>_xlfn.CONCAT(TablaMeta[[#This Row],[AÑO]],TablaMeta[[#This Row],[mes]],TablaMeta[[#This Row],[Equipo]])</f>
        <v>2025ENEROJORGE</v>
      </c>
      <c r="B94" s="49" t="s">
        <v>171</v>
      </c>
      <c r="C94" s="27" t="s">
        <v>139</v>
      </c>
      <c r="D94" s="13" t="s">
        <v>2</v>
      </c>
      <c r="E94" s="9">
        <v>174200</v>
      </c>
      <c r="F94" s="9">
        <v>22000</v>
      </c>
      <c r="G94" s="40" t="s">
        <v>151</v>
      </c>
    </row>
    <row r="95" spans="1:7" x14ac:dyDescent="0.25">
      <c r="A95" s="26" t="str">
        <f>_xlfn.CONCAT(TablaMeta[[#This Row],[AÑO]],TablaMeta[[#This Row],[mes]],TablaMeta[[#This Row],[Equipo]])</f>
        <v>2025ENEROMELITA</v>
      </c>
      <c r="B95" s="49" t="s">
        <v>171</v>
      </c>
      <c r="C95" s="27" t="s">
        <v>139</v>
      </c>
      <c r="D95" s="13" t="s">
        <v>115</v>
      </c>
      <c r="E95" s="9">
        <v>108600</v>
      </c>
      <c r="F95" s="9">
        <v>16500</v>
      </c>
      <c r="G95" s="40" t="s">
        <v>151</v>
      </c>
    </row>
    <row r="96" spans="1:7" x14ac:dyDescent="0.25">
      <c r="A96" s="26" t="str">
        <f>_xlfn.CONCAT(TablaMeta[[#This Row],[AÑO]],TablaMeta[[#This Row],[mes]],TablaMeta[[#This Row],[Equipo]])</f>
        <v>2025ENEROKENNETH</v>
      </c>
      <c r="B96" s="49" t="s">
        <v>171</v>
      </c>
      <c r="C96" s="27" t="s">
        <v>139</v>
      </c>
      <c r="D96" s="13" t="s">
        <v>6</v>
      </c>
      <c r="E96" s="9">
        <v>209900</v>
      </c>
      <c r="F96" s="9">
        <v>21000</v>
      </c>
      <c r="G96" s="40" t="s">
        <v>152</v>
      </c>
    </row>
    <row r="97" spans="1:7" x14ac:dyDescent="0.25">
      <c r="A97" s="26" t="str">
        <f>_xlfn.CONCAT(TablaMeta[[#This Row],[AÑO]],TablaMeta[[#This Row],[mes]],TablaMeta[[#This Row],[Equipo]])</f>
        <v>2025ENEROLUIS</v>
      </c>
      <c r="B97" s="50" t="s">
        <v>171</v>
      </c>
      <c r="C97" s="28" t="s">
        <v>139</v>
      </c>
      <c r="D97" s="29" t="s">
        <v>9</v>
      </c>
      <c r="E97" s="30">
        <v>200500</v>
      </c>
      <c r="F97" s="9">
        <v>21000</v>
      </c>
      <c r="G97" s="40" t="s">
        <v>153</v>
      </c>
    </row>
    <row r="98" spans="1:7" x14ac:dyDescent="0.25">
      <c r="A98" s="26" t="str">
        <f>_xlfn.CONCAT(TablaMeta[[#This Row],[AÑO]],TablaMeta[[#This Row],[mes]],TablaMeta[[#This Row],[Equipo]])</f>
        <v>2025FEBREROSANDY</v>
      </c>
      <c r="B98" s="49" t="s">
        <v>171</v>
      </c>
      <c r="C98" s="27" t="s">
        <v>140</v>
      </c>
      <c r="D98" s="13" t="s">
        <v>3</v>
      </c>
      <c r="E98" s="9">
        <v>499600</v>
      </c>
      <c r="F98" s="9">
        <v>58000</v>
      </c>
      <c r="G98" s="40" t="s">
        <v>150</v>
      </c>
    </row>
    <row r="99" spans="1:7" x14ac:dyDescent="0.25">
      <c r="A99" s="26" t="str">
        <f>_xlfn.CONCAT(TablaMeta[[#This Row],[AÑO]],TablaMeta[[#This Row],[mes]],TablaMeta[[#This Row],[Equipo]])</f>
        <v>2025FEBREROMELINA</v>
      </c>
      <c r="B99" s="49" t="s">
        <v>171</v>
      </c>
      <c r="C99" s="27" t="s">
        <v>140</v>
      </c>
      <c r="D99" s="13" t="s">
        <v>4</v>
      </c>
      <c r="E99" s="9">
        <v>499600</v>
      </c>
      <c r="F99" s="9">
        <v>58000</v>
      </c>
      <c r="G99" s="40" t="s">
        <v>150</v>
      </c>
    </row>
    <row r="100" spans="1:7" x14ac:dyDescent="0.25">
      <c r="A100" s="26" t="str">
        <f>_xlfn.CONCAT(TablaMeta[[#This Row],[AÑO]],TablaMeta[[#This Row],[mes]],TablaMeta[[#This Row],[Equipo]])</f>
        <v>2025FEBREROJORDAN</v>
      </c>
      <c r="B100" s="49" t="s">
        <v>171</v>
      </c>
      <c r="C100" s="27" t="s">
        <v>140</v>
      </c>
      <c r="D100" s="13" t="s">
        <v>5</v>
      </c>
      <c r="E100" s="9">
        <v>499600</v>
      </c>
      <c r="F100" s="9">
        <v>58000</v>
      </c>
      <c r="G100" s="40" t="s">
        <v>150</v>
      </c>
    </row>
    <row r="101" spans="1:7" x14ac:dyDescent="0.25">
      <c r="A101" s="26" t="str">
        <f>_xlfn.CONCAT(TablaMeta[[#This Row],[AÑO]],TablaMeta[[#This Row],[mes]],TablaMeta[[#This Row],[Equipo]])</f>
        <v>2025FEBREROJORGE</v>
      </c>
      <c r="B101" s="49" t="s">
        <v>171</v>
      </c>
      <c r="C101" s="27" t="s">
        <v>140</v>
      </c>
      <c r="D101" s="13" t="s">
        <v>2</v>
      </c>
      <c r="E101" s="9">
        <v>174200</v>
      </c>
      <c r="F101" s="9">
        <v>22000</v>
      </c>
      <c r="G101" s="40" t="s">
        <v>151</v>
      </c>
    </row>
    <row r="102" spans="1:7" x14ac:dyDescent="0.25">
      <c r="A102" s="26" t="str">
        <f>_xlfn.CONCAT(TablaMeta[[#This Row],[AÑO]],TablaMeta[[#This Row],[mes]],TablaMeta[[#This Row],[Equipo]])</f>
        <v>2025FEBREROMELITA</v>
      </c>
      <c r="B102" s="49" t="s">
        <v>171</v>
      </c>
      <c r="C102" s="27" t="s">
        <v>140</v>
      </c>
      <c r="D102" s="13" t="s">
        <v>115</v>
      </c>
      <c r="E102" s="9">
        <v>108600</v>
      </c>
      <c r="F102" s="9">
        <v>16500</v>
      </c>
      <c r="G102" s="40" t="s">
        <v>154</v>
      </c>
    </row>
    <row r="103" spans="1:7" x14ac:dyDescent="0.25">
      <c r="A103" s="26" t="str">
        <f>_xlfn.CONCAT(TablaMeta[[#This Row],[AÑO]],TablaMeta[[#This Row],[mes]],TablaMeta[[#This Row],[Equipo]])</f>
        <v>2025FEBREROKENNETH</v>
      </c>
      <c r="B103" s="49" t="s">
        <v>171</v>
      </c>
      <c r="C103" s="27" t="s">
        <v>140</v>
      </c>
      <c r="D103" s="13" t="s">
        <v>6</v>
      </c>
      <c r="E103" s="9">
        <v>209900</v>
      </c>
      <c r="F103" s="9">
        <v>21000</v>
      </c>
      <c r="G103" s="40" t="s">
        <v>152</v>
      </c>
    </row>
    <row r="104" spans="1:7" x14ac:dyDescent="0.25">
      <c r="A104" s="26" t="str">
        <f>_xlfn.CONCAT(TablaMeta[[#This Row],[AÑO]],TablaMeta[[#This Row],[mes]],TablaMeta[[#This Row],[Equipo]])</f>
        <v>2025FEBREROLUIS</v>
      </c>
      <c r="B104" s="50" t="s">
        <v>171</v>
      </c>
      <c r="C104" s="28" t="s">
        <v>140</v>
      </c>
      <c r="D104" s="29" t="s">
        <v>9</v>
      </c>
      <c r="E104" s="30">
        <v>200500</v>
      </c>
      <c r="F104" s="9">
        <v>21000</v>
      </c>
      <c r="G104" s="40" t="s">
        <v>153</v>
      </c>
    </row>
    <row r="105" spans="1:7" x14ac:dyDescent="0.25">
      <c r="A105" s="26" t="str">
        <f>_xlfn.CONCAT(TablaMeta[[#This Row],[AÑO]],TablaMeta[[#This Row],[mes]],TablaMeta[[#This Row],[Equipo]])</f>
        <v>2025MARZOSANDY</v>
      </c>
      <c r="B105" s="49" t="s">
        <v>171</v>
      </c>
      <c r="C105" s="27" t="s">
        <v>141</v>
      </c>
      <c r="D105" s="13" t="s">
        <v>3</v>
      </c>
      <c r="E105" s="9">
        <v>531100</v>
      </c>
      <c r="F105" s="9">
        <v>62000</v>
      </c>
      <c r="G105" s="40" t="s">
        <v>150</v>
      </c>
    </row>
    <row r="106" spans="1:7" x14ac:dyDescent="0.25">
      <c r="A106" s="26" t="str">
        <f>_xlfn.CONCAT(TablaMeta[[#This Row],[AÑO]],TablaMeta[[#This Row],[mes]],TablaMeta[[#This Row],[Equipo]])</f>
        <v>2025MARZOMELINA</v>
      </c>
      <c r="B106" s="49" t="s">
        <v>171</v>
      </c>
      <c r="C106" s="27" t="s">
        <v>141</v>
      </c>
      <c r="D106" s="13" t="s">
        <v>4</v>
      </c>
      <c r="E106" s="9">
        <v>531100</v>
      </c>
      <c r="F106" s="9">
        <v>62000</v>
      </c>
      <c r="G106" s="40" t="s">
        <v>150</v>
      </c>
    </row>
    <row r="107" spans="1:7" x14ac:dyDescent="0.25">
      <c r="A107" s="26" t="str">
        <f>_xlfn.CONCAT(TablaMeta[[#This Row],[AÑO]],TablaMeta[[#This Row],[mes]],TablaMeta[[#This Row],[Equipo]])</f>
        <v>2025MARZOJORDAN</v>
      </c>
      <c r="B107" s="49" t="s">
        <v>171</v>
      </c>
      <c r="C107" s="27" t="s">
        <v>141</v>
      </c>
      <c r="D107" s="13" t="s">
        <v>5</v>
      </c>
      <c r="E107" s="9">
        <v>531100</v>
      </c>
      <c r="F107" s="9">
        <v>62000</v>
      </c>
      <c r="G107" s="40" t="s">
        <v>150</v>
      </c>
    </row>
    <row r="108" spans="1:7" x14ac:dyDescent="0.25">
      <c r="A108" s="26" t="str">
        <f>_xlfn.CONCAT(TablaMeta[[#This Row],[AÑO]],TablaMeta[[#This Row],[mes]],TablaMeta[[#This Row],[Equipo]])</f>
        <v>2025MARZOJORGE</v>
      </c>
      <c r="B108" s="49" t="s">
        <v>171</v>
      </c>
      <c r="C108" s="27" t="s">
        <v>141</v>
      </c>
      <c r="D108" s="13" t="s">
        <v>2</v>
      </c>
      <c r="E108" s="9">
        <v>174200</v>
      </c>
      <c r="F108" s="9">
        <v>24000</v>
      </c>
      <c r="G108" s="40" t="s">
        <v>151</v>
      </c>
    </row>
    <row r="109" spans="1:7" x14ac:dyDescent="0.25">
      <c r="A109" s="26" t="str">
        <f>_xlfn.CONCAT(TablaMeta[[#This Row],[AÑO]],TablaMeta[[#This Row],[mes]],TablaMeta[[#This Row],[Equipo]])</f>
        <v>2025MARZOMELITA</v>
      </c>
      <c r="B109" s="49" t="s">
        <v>171</v>
      </c>
      <c r="C109" s="27" t="s">
        <v>141</v>
      </c>
      <c r="D109" s="13" t="s">
        <v>115</v>
      </c>
      <c r="E109" s="9">
        <v>108600</v>
      </c>
      <c r="F109" s="9">
        <v>16500</v>
      </c>
      <c r="G109" s="40" t="s">
        <v>154</v>
      </c>
    </row>
    <row r="110" spans="1:7" x14ac:dyDescent="0.25">
      <c r="A110" s="26" t="str">
        <f>_xlfn.CONCAT(TablaMeta[[#This Row],[AÑO]],TablaMeta[[#This Row],[mes]],TablaMeta[[#This Row],[Equipo]])</f>
        <v>2025MARZOKENNETH</v>
      </c>
      <c r="B110" s="49" t="s">
        <v>171</v>
      </c>
      <c r="C110" s="27" t="s">
        <v>141</v>
      </c>
      <c r="D110" s="13" t="s">
        <v>6</v>
      </c>
      <c r="E110" s="9">
        <v>209900</v>
      </c>
      <c r="F110" s="9">
        <v>21000</v>
      </c>
      <c r="G110" s="40" t="s">
        <v>152</v>
      </c>
    </row>
    <row r="111" spans="1:7" x14ac:dyDescent="0.25">
      <c r="A111" s="26" t="str">
        <f>_xlfn.CONCAT(TablaMeta[[#This Row],[AÑO]],TablaMeta[[#This Row],[mes]],TablaMeta[[#This Row],[Equipo]])</f>
        <v>2025MARZOLUIS</v>
      </c>
      <c r="B111" s="50" t="s">
        <v>171</v>
      </c>
      <c r="C111" s="28" t="s">
        <v>141</v>
      </c>
      <c r="D111" s="29" t="s">
        <v>9</v>
      </c>
      <c r="E111" s="30">
        <v>200500</v>
      </c>
      <c r="F111" s="9">
        <v>21000</v>
      </c>
      <c r="G111" s="40" t="s">
        <v>153</v>
      </c>
    </row>
    <row r="112" spans="1:7" x14ac:dyDescent="0.25">
      <c r="A112" s="26" t="str">
        <f>_xlfn.CONCAT(TablaMeta[[#This Row],[AÑO]],TablaMeta[[#This Row],[mes]],TablaMeta[[#This Row],[Equipo]])</f>
        <v>2025ABRILSANDY</v>
      </c>
      <c r="B112" s="49" t="s">
        <v>171</v>
      </c>
      <c r="C112" s="27" t="s">
        <v>142</v>
      </c>
      <c r="D112" s="13" t="s">
        <v>3</v>
      </c>
      <c r="E112" s="9">
        <v>437325</v>
      </c>
      <c r="F112" s="9">
        <v>57000</v>
      </c>
      <c r="G112" s="40" t="s">
        <v>150</v>
      </c>
    </row>
    <row r="113" spans="1:7" x14ac:dyDescent="0.25">
      <c r="A113" s="26" t="str">
        <f>_xlfn.CONCAT(TablaMeta[[#This Row],[AÑO]],TablaMeta[[#This Row],[mes]],TablaMeta[[#This Row],[Equipo]])</f>
        <v>2025ABRILLUIS</v>
      </c>
      <c r="B113" s="49" t="s">
        <v>171</v>
      </c>
      <c r="C113" s="27" t="s">
        <v>142</v>
      </c>
      <c r="D113" s="13" t="s">
        <v>9</v>
      </c>
      <c r="E113" s="9">
        <v>437325</v>
      </c>
      <c r="F113" s="9">
        <v>57000</v>
      </c>
      <c r="G113" s="40" t="s">
        <v>150</v>
      </c>
    </row>
    <row r="114" spans="1:7" x14ac:dyDescent="0.25">
      <c r="A114" s="26" t="str">
        <f>_xlfn.CONCAT(TablaMeta[[#This Row],[AÑO]],TablaMeta[[#This Row],[mes]],TablaMeta[[#This Row],[Equipo]])</f>
        <v>2025ABRILJORDAN</v>
      </c>
      <c r="B114" s="49" t="s">
        <v>171</v>
      </c>
      <c r="C114" s="27" t="s">
        <v>142</v>
      </c>
      <c r="D114" s="13" t="s">
        <v>5</v>
      </c>
      <c r="E114" s="9">
        <v>437325</v>
      </c>
      <c r="F114" s="9">
        <v>57000</v>
      </c>
      <c r="G114" s="40" t="s">
        <v>150</v>
      </c>
    </row>
    <row r="115" spans="1:7" x14ac:dyDescent="0.25">
      <c r="A115" s="26" t="str">
        <f>_xlfn.CONCAT(TablaMeta[[#This Row],[AÑO]],TablaMeta[[#This Row],[mes]],TablaMeta[[#This Row],[Equipo]])</f>
        <v>2025ABRILJORGE</v>
      </c>
      <c r="B115" s="49" t="s">
        <v>171</v>
      </c>
      <c r="C115" s="27" t="s">
        <v>142</v>
      </c>
      <c r="D115" s="13" t="s">
        <v>2</v>
      </c>
      <c r="E115" s="9">
        <v>437325</v>
      </c>
      <c r="F115" s="9">
        <v>57000</v>
      </c>
      <c r="G115" s="40" t="s">
        <v>150</v>
      </c>
    </row>
    <row r="116" spans="1:7" x14ac:dyDescent="0.25">
      <c r="A116" s="26" t="str">
        <f>_xlfn.CONCAT(TablaMeta[[#This Row],[AÑO]],TablaMeta[[#This Row],[mes]],TablaMeta[[#This Row],[Equipo]])</f>
        <v>2025ABRILGUSTAVO</v>
      </c>
      <c r="B116" s="49" t="s">
        <v>171</v>
      </c>
      <c r="C116" s="27" t="s">
        <v>142</v>
      </c>
      <c r="D116" s="13" t="s">
        <v>124</v>
      </c>
      <c r="E116" s="9">
        <v>171900</v>
      </c>
      <c r="F116" s="9">
        <v>20500</v>
      </c>
      <c r="G116" s="40" t="s">
        <v>153</v>
      </c>
    </row>
    <row r="117" spans="1:7" x14ac:dyDescent="0.25">
      <c r="A117" s="26" t="str">
        <f>_xlfn.CONCAT(TablaMeta[[#This Row],[AÑO]],TablaMeta[[#This Row],[mes]],TablaMeta[[#This Row],[Equipo]])</f>
        <v>2025ABRILKENNETH</v>
      </c>
      <c r="B117" s="49" t="s">
        <v>171</v>
      </c>
      <c r="C117" s="27" t="s">
        <v>142</v>
      </c>
      <c r="D117" s="13" t="s">
        <v>6</v>
      </c>
      <c r="E117" s="9">
        <v>257600</v>
      </c>
      <c r="F117" s="9">
        <v>26000</v>
      </c>
      <c r="G117" s="40" t="s">
        <v>152</v>
      </c>
    </row>
    <row r="118" spans="1:7" x14ac:dyDescent="0.25">
      <c r="A118" s="26" t="str">
        <f>_xlfn.CONCAT(TablaMeta[[#This Row],[AÑO]],TablaMeta[[#This Row],[mes]],TablaMeta[[#This Row],[Equipo]])</f>
        <v>2025ABRILJOHAN</v>
      </c>
      <c r="B118" s="50" t="s">
        <v>171</v>
      </c>
      <c r="C118" s="28" t="s">
        <v>142</v>
      </c>
      <c r="D118" s="29" t="s">
        <v>125</v>
      </c>
      <c r="E118" s="30">
        <v>171900</v>
      </c>
      <c r="F118" s="9">
        <v>20500</v>
      </c>
      <c r="G118" s="40" t="s">
        <v>153</v>
      </c>
    </row>
    <row r="119" spans="1:7" x14ac:dyDescent="0.25">
      <c r="A119" s="26" t="str">
        <f>_xlfn.CONCAT(TablaMeta[[#This Row],[AÑO]],TablaMeta[[#This Row],[mes]],TablaMeta[[#This Row],[Equipo]])</f>
        <v>2025ABRILBRYAN</v>
      </c>
      <c r="B119" s="50" t="s">
        <v>171</v>
      </c>
      <c r="C119" s="28" t="s">
        <v>142</v>
      </c>
      <c r="D119" s="29" t="s">
        <v>8</v>
      </c>
      <c r="E119" s="30">
        <v>171900</v>
      </c>
      <c r="F119" s="9">
        <v>20500</v>
      </c>
      <c r="G119" s="40" t="s">
        <v>153</v>
      </c>
    </row>
    <row r="120" spans="1:7" x14ac:dyDescent="0.25">
      <c r="A120" s="26" t="str">
        <f>_xlfn.CONCAT(TablaMeta[[#This Row],[AÑO]],TablaMeta[[#This Row],[mes]],TablaMeta[[#This Row],[Equipo]])</f>
        <v>2025MAYOSANDY</v>
      </c>
      <c r="B120" s="49" t="s">
        <v>171</v>
      </c>
      <c r="C120" s="27" t="s">
        <v>143</v>
      </c>
      <c r="D120" s="13" t="s">
        <v>3</v>
      </c>
      <c r="E120" s="9">
        <v>495375</v>
      </c>
      <c r="F120" s="9">
        <v>65000</v>
      </c>
      <c r="G120" s="40" t="s">
        <v>150</v>
      </c>
    </row>
    <row r="121" spans="1:7" x14ac:dyDescent="0.25">
      <c r="A121" s="26" t="str">
        <f>_xlfn.CONCAT(TablaMeta[[#This Row],[AÑO]],TablaMeta[[#This Row],[mes]],TablaMeta[[#This Row],[Equipo]])</f>
        <v>2025MAYOMELINA</v>
      </c>
      <c r="B121" s="49" t="s">
        <v>171</v>
      </c>
      <c r="C121" s="27" t="s">
        <v>143</v>
      </c>
      <c r="D121" s="13" t="s">
        <v>4</v>
      </c>
      <c r="E121" s="9">
        <v>495375</v>
      </c>
      <c r="F121" s="9">
        <v>65000</v>
      </c>
      <c r="G121" s="40" t="s">
        <v>150</v>
      </c>
    </row>
    <row r="122" spans="1:7" x14ac:dyDescent="0.25">
      <c r="A122" s="26" t="str">
        <f>_xlfn.CONCAT(TablaMeta[[#This Row],[AÑO]],TablaMeta[[#This Row],[mes]],TablaMeta[[#This Row],[Equipo]])</f>
        <v>2025MAYOJORDAN</v>
      </c>
      <c r="B122" s="49" t="s">
        <v>171</v>
      </c>
      <c r="C122" s="27" t="s">
        <v>143</v>
      </c>
      <c r="D122" s="13" t="s">
        <v>5</v>
      </c>
      <c r="E122" s="9">
        <v>495375</v>
      </c>
      <c r="F122" s="9">
        <v>65000</v>
      </c>
      <c r="G122" s="40" t="s">
        <v>150</v>
      </c>
    </row>
    <row r="123" spans="1:7" x14ac:dyDescent="0.25">
      <c r="A123" s="26" t="str">
        <f>_xlfn.CONCAT(TablaMeta[[#This Row],[AÑO]],TablaMeta[[#This Row],[mes]],TablaMeta[[#This Row],[Equipo]])</f>
        <v>2025MAYOJORGE</v>
      </c>
      <c r="B123" s="49" t="s">
        <v>171</v>
      </c>
      <c r="C123" s="27" t="s">
        <v>143</v>
      </c>
      <c r="D123" s="13" t="s">
        <v>2</v>
      </c>
      <c r="E123" s="9">
        <v>495375</v>
      </c>
      <c r="F123" s="9">
        <v>65000</v>
      </c>
      <c r="G123" s="40" t="s">
        <v>150</v>
      </c>
    </row>
    <row r="124" spans="1:7" x14ac:dyDescent="0.25">
      <c r="A124" s="26" t="str">
        <f>_xlfn.CONCAT(TablaMeta[[#This Row],[AÑO]],TablaMeta[[#This Row],[mes]],TablaMeta[[#This Row],[Equipo]])</f>
        <v>2025MAYOKENNETH</v>
      </c>
      <c r="B124" s="49" t="s">
        <v>171</v>
      </c>
      <c r="C124" s="27" t="s">
        <v>143</v>
      </c>
      <c r="D124" s="13" t="s">
        <v>6</v>
      </c>
      <c r="E124" s="9">
        <v>258000</v>
      </c>
      <c r="F124" s="9">
        <v>26000</v>
      </c>
      <c r="G124" s="40" t="s">
        <v>152</v>
      </c>
    </row>
    <row r="125" spans="1:7" x14ac:dyDescent="0.25">
      <c r="A125" s="26" t="str">
        <f>_xlfn.CONCAT(TablaMeta[[#This Row],[AÑO]],TablaMeta[[#This Row],[mes]],TablaMeta[[#This Row],[Equipo]])</f>
        <v>2025MAYOLUIS</v>
      </c>
      <c r="B125" s="49" t="s">
        <v>171</v>
      </c>
      <c r="C125" s="27" t="s">
        <v>143</v>
      </c>
      <c r="D125" s="13" t="s">
        <v>9</v>
      </c>
      <c r="E125" s="9">
        <v>166833</v>
      </c>
      <c r="F125" s="9">
        <v>20000</v>
      </c>
      <c r="G125" s="40" t="s">
        <v>153</v>
      </c>
    </row>
    <row r="126" spans="1:7" x14ac:dyDescent="0.25">
      <c r="A126" s="26" t="str">
        <f>_xlfn.CONCAT(TablaMeta[[#This Row],[AÑO]],TablaMeta[[#This Row],[mes]],TablaMeta[[#This Row],[Equipo]])</f>
        <v>2025MAYOJOHAN</v>
      </c>
      <c r="B126" s="49" t="s">
        <v>171</v>
      </c>
      <c r="C126" s="27" t="s">
        <v>143</v>
      </c>
      <c r="D126" s="13" t="s">
        <v>125</v>
      </c>
      <c r="E126" s="9">
        <v>166833</v>
      </c>
      <c r="F126" s="9">
        <v>20000</v>
      </c>
      <c r="G126" s="40" t="s">
        <v>153</v>
      </c>
    </row>
    <row r="127" spans="1:7" x14ac:dyDescent="0.25">
      <c r="A127" s="26" t="str">
        <f>_xlfn.CONCAT(TablaMeta[[#This Row],[AÑO]],TablaMeta[[#This Row],[mes]],TablaMeta[[#This Row],[Equipo]])</f>
        <v>2025MAYOBRYAN</v>
      </c>
      <c r="B127" s="50" t="s">
        <v>171</v>
      </c>
      <c r="C127" s="28" t="s">
        <v>143</v>
      </c>
      <c r="D127" s="29" t="s">
        <v>8</v>
      </c>
      <c r="E127" s="30">
        <v>166833</v>
      </c>
      <c r="F127" s="9">
        <v>20000</v>
      </c>
      <c r="G127" s="40" t="s">
        <v>153</v>
      </c>
    </row>
    <row r="128" spans="1:7" x14ac:dyDescent="0.25">
      <c r="A128" s="26" t="str">
        <f>_xlfn.CONCAT(TablaMeta[[#This Row],[AÑO]],TablaMeta[[#This Row],[mes]],TablaMeta[[#This Row],[Equipo]])</f>
        <v>2025JUNIOSANDY</v>
      </c>
      <c r="B128" s="49" t="s">
        <v>171</v>
      </c>
      <c r="C128" s="27" t="s">
        <v>144</v>
      </c>
      <c r="D128" s="13" t="s">
        <v>3</v>
      </c>
      <c r="E128" s="9">
        <v>495375</v>
      </c>
      <c r="F128" s="9">
        <v>65000</v>
      </c>
      <c r="G128" s="40" t="s">
        <v>150</v>
      </c>
    </row>
    <row r="129" spans="1:7" x14ac:dyDescent="0.25">
      <c r="A129" s="26" t="str">
        <f>_xlfn.CONCAT(TablaMeta[[#This Row],[AÑO]],TablaMeta[[#This Row],[mes]],TablaMeta[[#This Row],[Equipo]])</f>
        <v>2025JUNIOMELINA</v>
      </c>
      <c r="B129" s="49" t="s">
        <v>171</v>
      </c>
      <c r="C129" s="27" t="s">
        <v>144</v>
      </c>
      <c r="D129" s="13" t="s">
        <v>4</v>
      </c>
      <c r="E129" s="9">
        <v>495375</v>
      </c>
      <c r="F129" s="9">
        <v>65000</v>
      </c>
      <c r="G129" s="40" t="s">
        <v>150</v>
      </c>
    </row>
    <row r="130" spans="1:7" x14ac:dyDescent="0.25">
      <c r="A130" s="26" t="str">
        <f>_xlfn.CONCAT(TablaMeta[[#This Row],[AÑO]],TablaMeta[[#This Row],[mes]],TablaMeta[[#This Row],[Equipo]])</f>
        <v>2025JUNIOJORDAN</v>
      </c>
      <c r="B130" s="49" t="s">
        <v>171</v>
      </c>
      <c r="C130" s="27" t="s">
        <v>144</v>
      </c>
      <c r="D130" s="13" t="s">
        <v>5</v>
      </c>
      <c r="E130" s="9">
        <v>495375</v>
      </c>
      <c r="F130" s="9">
        <v>65000</v>
      </c>
      <c r="G130" s="40" t="s">
        <v>150</v>
      </c>
    </row>
    <row r="131" spans="1:7" x14ac:dyDescent="0.25">
      <c r="A131" s="26" t="str">
        <f>_xlfn.CONCAT(TablaMeta[[#This Row],[AÑO]],TablaMeta[[#This Row],[mes]],TablaMeta[[#This Row],[Equipo]])</f>
        <v>2025JUNIOJORGE</v>
      </c>
      <c r="B131" s="49" t="s">
        <v>171</v>
      </c>
      <c r="C131" s="27" t="s">
        <v>144</v>
      </c>
      <c r="D131" s="13" t="s">
        <v>2</v>
      </c>
      <c r="E131" s="9">
        <v>495375</v>
      </c>
      <c r="F131" s="9">
        <v>65000</v>
      </c>
      <c r="G131" s="40" t="s">
        <v>150</v>
      </c>
    </row>
    <row r="132" spans="1:7" x14ac:dyDescent="0.25">
      <c r="A132" s="26" t="str">
        <f>_xlfn.CONCAT(TablaMeta[[#This Row],[AÑO]],TablaMeta[[#This Row],[mes]],TablaMeta[[#This Row],[Equipo]])</f>
        <v>2025JUNIOKENNETH</v>
      </c>
      <c r="B132" s="49" t="s">
        <v>171</v>
      </c>
      <c r="C132" s="27" t="s">
        <v>144</v>
      </c>
      <c r="D132" s="13" t="s">
        <v>6</v>
      </c>
      <c r="E132" s="9">
        <v>302800</v>
      </c>
      <c r="F132" s="9">
        <v>30500</v>
      </c>
      <c r="G132" s="40" t="s">
        <v>152</v>
      </c>
    </row>
    <row r="133" spans="1:7" x14ac:dyDescent="0.25">
      <c r="A133" s="26" t="str">
        <f>_xlfn.CONCAT(TablaMeta[[#This Row],[AÑO]],TablaMeta[[#This Row],[mes]],TablaMeta[[#This Row],[Equipo]])</f>
        <v>2025JUNIOLUIS</v>
      </c>
      <c r="B133" s="49" t="s">
        <v>171</v>
      </c>
      <c r="C133" s="27" t="s">
        <v>144</v>
      </c>
      <c r="D133" s="13" t="s">
        <v>9</v>
      </c>
      <c r="E133" s="9">
        <v>123200</v>
      </c>
      <c r="F133" s="9">
        <v>15000</v>
      </c>
      <c r="G133" s="40" t="s">
        <v>153</v>
      </c>
    </row>
    <row r="134" spans="1:7" x14ac:dyDescent="0.25">
      <c r="A134" s="26" t="str">
        <f>_xlfn.CONCAT(TablaMeta[[#This Row],[AÑO]],TablaMeta[[#This Row],[mes]],TablaMeta[[#This Row],[Equipo]])</f>
        <v>2025JUNIOJOHAN</v>
      </c>
      <c r="B134" s="49" t="s">
        <v>171</v>
      </c>
      <c r="C134" s="27" t="s">
        <v>144</v>
      </c>
      <c r="D134" s="13" t="s">
        <v>125</v>
      </c>
      <c r="E134" s="9">
        <v>123200</v>
      </c>
      <c r="F134" s="9">
        <v>15000</v>
      </c>
      <c r="G134" s="40" t="s">
        <v>153</v>
      </c>
    </row>
    <row r="135" spans="1:7" x14ac:dyDescent="0.25">
      <c r="A135" s="26" t="str">
        <f>_xlfn.CONCAT(TablaMeta[[#This Row],[AÑO]],TablaMeta[[#This Row],[mes]],TablaMeta[[#This Row],[Equipo]])</f>
        <v>2025JUNIOBRYAN</v>
      </c>
      <c r="B135" s="50" t="s">
        <v>171</v>
      </c>
      <c r="C135" s="28" t="s">
        <v>144</v>
      </c>
      <c r="D135" s="29" t="s">
        <v>8</v>
      </c>
      <c r="E135" s="30">
        <v>123200</v>
      </c>
      <c r="F135" s="9">
        <v>15000</v>
      </c>
      <c r="G135" s="40" t="s">
        <v>153</v>
      </c>
    </row>
    <row r="136" spans="1:7" x14ac:dyDescent="0.25">
      <c r="A136" s="26" t="str">
        <f>_xlfn.CONCAT(TablaMeta[[#This Row],[AÑO]],TablaMeta[[#This Row],[mes]],TablaMeta[[#This Row],[Equipo]])</f>
        <v>2025JULIOSANDY</v>
      </c>
      <c r="B136" s="49" t="s">
        <v>171</v>
      </c>
      <c r="C136" s="27" t="s">
        <v>145</v>
      </c>
      <c r="D136" s="13" t="s">
        <v>3</v>
      </c>
      <c r="E136" s="9">
        <v>615100</v>
      </c>
      <c r="F136" s="9">
        <v>65000</v>
      </c>
      <c r="G136" s="40" t="s">
        <v>155</v>
      </c>
    </row>
    <row r="137" spans="1:7" x14ac:dyDescent="0.25">
      <c r="A137" s="26" t="str">
        <f>_xlfn.CONCAT(TablaMeta[[#This Row],[AÑO]],TablaMeta[[#This Row],[mes]],TablaMeta[[#This Row],[Equipo]])</f>
        <v>2025JULIOMELINA</v>
      </c>
      <c r="B137" s="49" t="s">
        <v>171</v>
      </c>
      <c r="C137" s="27" t="s">
        <v>145</v>
      </c>
      <c r="D137" s="13" t="s">
        <v>4</v>
      </c>
      <c r="E137" s="9">
        <v>615100</v>
      </c>
      <c r="F137" s="9">
        <v>65000</v>
      </c>
      <c r="G137" s="40" t="s">
        <v>155</v>
      </c>
    </row>
    <row r="138" spans="1:7" x14ac:dyDescent="0.25">
      <c r="A138" s="26" t="str">
        <f>_xlfn.CONCAT(TablaMeta[[#This Row],[AÑO]],TablaMeta[[#This Row],[mes]],TablaMeta[[#This Row],[Equipo]])</f>
        <v>2025JULIOJORDAN</v>
      </c>
      <c r="B138" s="49" t="s">
        <v>171</v>
      </c>
      <c r="C138" s="27" t="s">
        <v>145</v>
      </c>
      <c r="D138" s="13" t="s">
        <v>5</v>
      </c>
      <c r="E138" s="9">
        <v>458800</v>
      </c>
      <c r="F138" s="9">
        <v>54000</v>
      </c>
      <c r="G138" s="40" t="s">
        <v>150</v>
      </c>
    </row>
    <row r="139" spans="1:7" x14ac:dyDescent="0.25">
      <c r="A139" s="26" t="str">
        <f>_xlfn.CONCAT(TablaMeta[[#This Row],[AÑO]],TablaMeta[[#This Row],[mes]],TablaMeta[[#This Row],[Equipo]])</f>
        <v>2025JULIOJORGE</v>
      </c>
      <c r="B139" s="49" t="s">
        <v>171</v>
      </c>
      <c r="C139" s="27" t="s">
        <v>145</v>
      </c>
      <c r="D139" s="13" t="s">
        <v>2</v>
      </c>
      <c r="E139" s="9">
        <v>458800</v>
      </c>
      <c r="F139" s="9">
        <v>54000</v>
      </c>
      <c r="G139" s="40" t="s">
        <v>150</v>
      </c>
    </row>
    <row r="140" spans="1:7" x14ac:dyDescent="0.25">
      <c r="A140" s="26" t="str">
        <f>_xlfn.CONCAT(TablaMeta[[#This Row],[AÑO]],TablaMeta[[#This Row],[mes]],TablaMeta[[#This Row],[Equipo]])</f>
        <v>2025JULIOKENNETH</v>
      </c>
      <c r="B140" s="49" t="s">
        <v>171</v>
      </c>
      <c r="C140" s="27" t="s">
        <v>145</v>
      </c>
      <c r="D140" s="13" t="s">
        <v>6</v>
      </c>
      <c r="E140" s="9">
        <v>260350</v>
      </c>
      <c r="F140" s="9">
        <v>26000</v>
      </c>
      <c r="G140" s="40" t="s">
        <v>156</v>
      </c>
    </row>
    <row r="141" spans="1:7" x14ac:dyDescent="0.25">
      <c r="A141" s="26" t="str">
        <f>_xlfn.CONCAT(TablaMeta[[#This Row],[AÑO]],TablaMeta[[#This Row],[mes]],TablaMeta[[#This Row],[Equipo]])</f>
        <v>2025JULIOLEONOR</v>
      </c>
      <c r="B141" s="49" t="s">
        <v>171</v>
      </c>
      <c r="C141" s="27" t="s">
        <v>145</v>
      </c>
      <c r="D141" s="13" t="s">
        <v>7</v>
      </c>
      <c r="E141" s="9">
        <v>154800</v>
      </c>
      <c r="F141" s="9">
        <v>15500</v>
      </c>
      <c r="G141" s="40" t="s">
        <v>152</v>
      </c>
    </row>
    <row r="142" spans="1:7" x14ac:dyDescent="0.25">
      <c r="A142" s="26" t="str">
        <f>_xlfn.CONCAT(TablaMeta[[#This Row],[AÑO]],TablaMeta[[#This Row],[mes]],TablaMeta[[#This Row],[Equipo]])</f>
        <v>2025JULIOLUIS</v>
      </c>
      <c r="B142" s="49" t="s">
        <v>171</v>
      </c>
      <c r="C142" s="27" t="s">
        <v>145</v>
      </c>
      <c r="D142" s="13" t="s">
        <v>9</v>
      </c>
      <c r="E142" s="9">
        <v>130825</v>
      </c>
      <c r="F142" s="9">
        <v>15500</v>
      </c>
      <c r="G142" s="40" t="s">
        <v>153</v>
      </c>
    </row>
    <row r="143" spans="1:7" x14ac:dyDescent="0.25">
      <c r="A143" s="26" t="str">
        <f>_xlfn.CONCAT(TablaMeta[[#This Row],[AÑO]],TablaMeta[[#This Row],[mes]],TablaMeta[[#This Row],[Equipo]])</f>
        <v>2025JULIOBRYAN</v>
      </c>
      <c r="B143" s="50" t="s">
        <v>171</v>
      </c>
      <c r="C143" s="28" t="s">
        <v>145</v>
      </c>
      <c r="D143" s="29" t="s">
        <v>8</v>
      </c>
      <c r="E143" s="30">
        <v>130825</v>
      </c>
      <c r="F143" s="9">
        <v>15500</v>
      </c>
      <c r="G143" s="40" t="s">
        <v>153</v>
      </c>
    </row>
    <row r="144" spans="1:7" x14ac:dyDescent="0.25">
      <c r="A144" s="26" t="str">
        <f>_xlfn.CONCAT(TablaMeta[[#This Row],[AÑO]],TablaMeta[[#This Row],[mes]],TablaMeta[[#This Row],[Equipo]])</f>
        <v>2025AGOSTOSANDY</v>
      </c>
      <c r="B144" s="49" t="s">
        <v>171</v>
      </c>
      <c r="C144" s="27" t="s">
        <v>146</v>
      </c>
      <c r="D144" s="13" t="s">
        <v>3</v>
      </c>
      <c r="E144" s="9">
        <v>683530</v>
      </c>
      <c r="F144" s="9">
        <v>72000</v>
      </c>
      <c r="G144" s="40" t="s">
        <v>155</v>
      </c>
    </row>
    <row r="145" spans="1:7" x14ac:dyDescent="0.25">
      <c r="A145" s="26" t="str">
        <f>_xlfn.CONCAT(TablaMeta[[#This Row],[AÑO]],TablaMeta[[#This Row],[mes]],TablaMeta[[#This Row],[Equipo]])</f>
        <v>2025AGOSTOMELINA</v>
      </c>
      <c r="B145" s="49" t="s">
        <v>171</v>
      </c>
      <c r="C145" s="27" t="s">
        <v>146</v>
      </c>
      <c r="D145" s="13" t="s">
        <v>4</v>
      </c>
      <c r="E145" s="9">
        <v>683530</v>
      </c>
      <c r="F145" s="9">
        <v>72000</v>
      </c>
      <c r="G145" s="40" t="s">
        <v>155</v>
      </c>
    </row>
    <row r="146" spans="1:7" x14ac:dyDescent="0.25">
      <c r="A146" s="26" t="str">
        <f>_xlfn.CONCAT(TablaMeta[[#This Row],[AÑO]],TablaMeta[[#This Row],[mes]],TablaMeta[[#This Row],[Equipo]])</f>
        <v>2025AGOSTOJORDAN</v>
      </c>
      <c r="B146" s="49" t="s">
        <v>171</v>
      </c>
      <c r="C146" s="27" t="s">
        <v>146</v>
      </c>
      <c r="D146" s="13" t="s">
        <v>5</v>
      </c>
      <c r="E146" s="9">
        <v>458800</v>
      </c>
      <c r="F146" s="9">
        <v>54000</v>
      </c>
      <c r="G146" s="40" t="s">
        <v>150</v>
      </c>
    </row>
    <row r="147" spans="1:7" x14ac:dyDescent="0.25">
      <c r="A147" s="26" t="str">
        <f>_xlfn.CONCAT(TablaMeta[[#This Row],[AÑO]],TablaMeta[[#This Row],[mes]],TablaMeta[[#This Row],[Equipo]])</f>
        <v>2025AGOSTOJORGE</v>
      </c>
      <c r="B147" s="49" t="s">
        <v>171</v>
      </c>
      <c r="C147" s="27" t="s">
        <v>146</v>
      </c>
      <c r="D147" s="13" t="s">
        <v>2</v>
      </c>
      <c r="E147" s="9">
        <v>458800</v>
      </c>
      <c r="F147" s="9">
        <v>54000</v>
      </c>
      <c r="G147" s="40" t="s">
        <v>150</v>
      </c>
    </row>
    <row r="148" spans="1:7" x14ac:dyDescent="0.25">
      <c r="A148" s="26" t="str">
        <f>_xlfn.CONCAT(TablaMeta[[#This Row],[AÑO]],TablaMeta[[#This Row],[mes]],TablaMeta[[#This Row],[Equipo]])</f>
        <v>2025AGOSTOKENNETH</v>
      </c>
      <c r="B148" s="49" t="s">
        <v>171</v>
      </c>
      <c r="C148" s="27" t="s">
        <v>146</v>
      </c>
      <c r="D148" s="13" t="s">
        <v>6</v>
      </c>
      <c r="E148" s="9">
        <v>260350</v>
      </c>
      <c r="F148" s="9">
        <v>26000</v>
      </c>
      <c r="G148" s="40" t="s">
        <v>156</v>
      </c>
    </row>
    <row r="149" spans="1:7" x14ac:dyDescent="0.25">
      <c r="A149" s="26" t="str">
        <f>_xlfn.CONCAT(TablaMeta[[#This Row],[AÑO]],TablaMeta[[#This Row],[mes]],TablaMeta[[#This Row],[Equipo]])</f>
        <v>2025AGOSTOLEONOR</v>
      </c>
      <c r="B149" s="49" t="s">
        <v>171</v>
      </c>
      <c r="C149" s="27" t="s">
        <v>146</v>
      </c>
      <c r="D149" s="13" t="s">
        <v>7</v>
      </c>
      <c r="E149" s="9">
        <v>154800</v>
      </c>
      <c r="F149" s="9">
        <v>15500</v>
      </c>
      <c r="G149" s="40" t="s">
        <v>152</v>
      </c>
    </row>
    <row r="150" spans="1:7" x14ac:dyDescent="0.25">
      <c r="A150" s="26" t="str">
        <f>_xlfn.CONCAT(TablaMeta[[#This Row],[AÑO]],TablaMeta[[#This Row],[mes]],TablaMeta[[#This Row],[Equipo]])</f>
        <v>2025AGOSTOLUIS</v>
      </c>
      <c r="B150" s="49" t="s">
        <v>171</v>
      </c>
      <c r="C150" s="27" t="s">
        <v>146</v>
      </c>
      <c r="D150" s="13" t="s">
        <v>9</v>
      </c>
      <c r="E150" s="9">
        <v>132595</v>
      </c>
      <c r="F150" s="9">
        <v>16000</v>
      </c>
      <c r="G150" s="40" t="s">
        <v>153</v>
      </c>
    </row>
    <row r="151" spans="1:7" x14ac:dyDescent="0.25">
      <c r="A151" s="26" t="str">
        <f>_xlfn.CONCAT(TablaMeta[[#This Row],[AÑO]],TablaMeta[[#This Row],[mes]],TablaMeta[[#This Row],[Equipo]])</f>
        <v>2025AGOSTOBRYAN</v>
      </c>
      <c r="B151" s="50" t="s">
        <v>171</v>
      </c>
      <c r="C151" s="28" t="s">
        <v>146</v>
      </c>
      <c r="D151" s="29" t="s">
        <v>8</v>
      </c>
      <c r="E151" s="30">
        <v>132595</v>
      </c>
      <c r="F151" s="9">
        <v>16000</v>
      </c>
      <c r="G151" s="40" t="s">
        <v>153</v>
      </c>
    </row>
    <row r="152" spans="1:7" x14ac:dyDescent="0.25">
      <c r="A152" s="26" t="str">
        <f>_xlfn.CONCAT(TablaMeta[[#This Row],[AÑO]],TablaMeta[[#This Row],[mes]],TablaMeta[[#This Row],[Equipo]])</f>
        <v>2025SETIEMBRESANDY</v>
      </c>
      <c r="B152" s="49" t="s">
        <v>171</v>
      </c>
      <c r="C152" s="27" t="s">
        <v>147</v>
      </c>
      <c r="D152" s="13" t="s">
        <v>3</v>
      </c>
      <c r="E152" s="9">
        <v>200950</v>
      </c>
      <c r="F152" s="9">
        <v>14000</v>
      </c>
      <c r="G152" s="40" t="s">
        <v>157</v>
      </c>
    </row>
    <row r="153" spans="1:7" x14ac:dyDescent="0.25">
      <c r="A153" s="26" t="str">
        <f>_xlfn.CONCAT(TablaMeta[[#This Row],[AÑO]],TablaMeta[[#This Row],[mes]],TablaMeta[[#This Row],[Equipo]])</f>
        <v>2025SETIEMBREMELINA</v>
      </c>
      <c r="B153" s="49" t="s">
        <v>171</v>
      </c>
      <c r="C153" s="27" t="s">
        <v>147</v>
      </c>
      <c r="D153" s="13" t="s">
        <v>4</v>
      </c>
      <c r="E153" s="9">
        <v>200950</v>
      </c>
      <c r="F153" s="9">
        <v>14000</v>
      </c>
      <c r="G153" s="40" t="s">
        <v>157</v>
      </c>
    </row>
    <row r="154" spans="1:7" x14ac:dyDescent="0.25">
      <c r="A154" s="26" t="str">
        <f>_xlfn.CONCAT(TablaMeta[[#This Row],[AÑO]],TablaMeta[[#This Row],[mes]],TablaMeta[[#This Row],[Equipo]])</f>
        <v>2025SETIEMBREJORDAN</v>
      </c>
      <c r="B154" s="49" t="s">
        <v>171</v>
      </c>
      <c r="C154" s="27" t="s">
        <v>147</v>
      </c>
      <c r="D154" s="13" t="s">
        <v>5</v>
      </c>
      <c r="E154" s="9">
        <v>301000</v>
      </c>
      <c r="F154" s="9">
        <v>38000</v>
      </c>
      <c r="G154" s="40" t="s">
        <v>158</v>
      </c>
    </row>
    <row r="155" spans="1:7" x14ac:dyDescent="0.25">
      <c r="A155" s="26" t="str">
        <f>_xlfn.CONCAT(TablaMeta[[#This Row],[AÑO]],TablaMeta[[#This Row],[mes]],TablaMeta[[#This Row],[Equipo]])</f>
        <v>2025SETIEMBREJORGE</v>
      </c>
      <c r="B155" s="49" t="s">
        <v>171</v>
      </c>
      <c r="C155" s="27" t="s">
        <v>147</v>
      </c>
      <c r="D155" s="13" t="s">
        <v>2</v>
      </c>
      <c r="E155" s="9">
        <v>301000</v>
      </c>
      <c r="F155" s="9">
        <v>38000</v>
      </c>
      <c r="G155" s="40" t="s">
        <v>158</v>
      </c>
    </row>
    <row r="156" spans="1:7" x14ac:dyDescent="0.25">
      <c r="A156" s="26" t="str">
        <f>_xlfn.CONCAT(TablaMeta[[#This Row],[AÑO]],TablaMeta[[#This Row],[mes]],TablaMeta[[#This Row],[Equipo]])</f>
        <v>2025SETIEMBREJOHAN</v>
      </c>
      <c r="B156" s="49" t="s">
        <v>171</v>
      </c>
      <c r="C156" s="27" t="s">
        <v>147</v>
      </c>
      <c r="D156" s="13" t="s">
        <v>125</v>
      </c>
      <c r="E156" s="9">
        <v>643200</v>
      </c>
      <c r="F156" s="9">
        <v>92000</v>
      </c>
      <c r="G156" s="40" t="s">
        <v>159</v>
      </c>
    </row>
    <row r="157" spans="1:7" x14ac:dyDescent="0.25">
      <c r="A157" s="26" t="str">
        <f>_xlfn.CONCAT(TablaMeta[[#This Row],[AÑO]],TablaMeta[[#This Row],[mes]],TablaMeta[[#This Row],[Equipo]])</f>
        <v>2025SETIEMBRELEONOR</v>
      </c>
      <c r="B157" s="49" t="s">
        <v>171</v>
      </c>
      <c r="C157" s="27" t="s">
        <v>147</v>
      </c>
      <c r="D157" s="13" t="s">
        <v>7</v>
      </c>
      <c r="E157" s="9">
        <v>643200</v>
      </c>
      <c r="F157" s="9">
        <v>92000</v>
      </c>
      <c r="G157" s="40" t="s">
        <v>159</v>
      </c>
    </row>
    <row r="158" spans="1:7" x14ac:dyDescent="0.25">
      <c r="A158" s="26" t="str">
        <f>_xlfn.CONCAT(TablaMeta[[#This Row],[AÑO]],TablaMeta[[#This Row],[mes]],TablaMeta[[#This Row],[Equipo]])</f>
        <v>2025SETIEMBRELUIS</v>
      </c>
      <c r="B158" s="49" t="s">
        <v>171</v>
      </c>
      <c r="C158" s="27" t="s">
        <v>147</v>
      </c>
      <c r="D158" s="13" t="s">
        <v>9</v>
      </c>
      <c r="E158" s="9">
        <v>209800</v>
      </c>
      <c r="F158" s="9">
        <v>21000</v>
      </c>
      <c r="G158" s="40" t="s">
        <v>156</v>
      </c>
    </row>
    <row r="159" spans="1:7" x14ac:dyDescent="0.25">
      <c r="A159" s="26" t="str">
        <f>_xlfn.CONCAT(TablaMeta[[#This Row],[AÑO]],TablaMeta[[#This Row],[mes]],TablaMeta[[#This Row],[Equipo]])</f>
        <v>2025SETIEMBREBRYAN</v>
      </c>
      <c r="B159" s="50" t="s">
        <v>171</v>
      </c>
      <c r="C159" s="28" t="s">
        <v>147</v>
      </c>
      <c r="D159" s="29" t="s">
        <v>8</v>
      </c>
      <c r="E159" s="30">
        <v>749600</v>
      </c>
      <c r="F159" s="9">
        <v>75000</v>
      </c>
      <c r="G159" s="40" t="s">
        <v>155</v>
      </c>
    </row>
    <row r="160" spans="1:7" x14ac:dyDescent="0.25">
      <c r="A160" s="26" t="str">
        <f>_xlfn.CONCAT(TablaMeta[[#This Row],[AÑO]],TablaMeta[[#This Row],[mes]],TablaMeta[[#This Row],[Equipo]])</f>
        <v>2025OCTUBRESANDY</v>
      </c>
      <c r="B160" s="49" t="s">
        <v>171</v>
      </c>
      <c r="C160" s="27" t="s">
        <v>148</v>
      </c>
      <c r="D160" s="13" t="s">
        <v>3</v>
      </c>
      <c r="E160" s="9">
        <v>239472</v>
      </c>
      <c r="F160" s="9">
        <v>22000</v>
      </c>
      <c r="G160" s="40" t="s">
        <v>157</v>
      </c>
    </row>
    <row r="161" spans="1:12" x14ac:dyDescent="0.25">
      <c r="A161" s="26" t="str">
        <f>_xlfn.CONCAT(TablaMeta[[#This Row],[AÑO]],TablaMeta[[#This Row],[mes]],TablaMeta[[#This Row],[Equipo]])</f>
        <v>2025OCTUBREMELINA</v>
      </c>
      <c r="B161" s="49" t="s">
        <v>171</v>
      </c>
      <c r="C161" s="27" t="s">
        <v>148</v>
      </c>
      <c r="D161" s="13" t="s">
        <v>4</v>
      </c>
      <c r="E161" s="9">
        <v>239472</v>
      </c>
      <c r="F161" s="9">
        <v>22000</v>
      </c>
      <c r="G161" s="40" t="s">
        <v>157</v>
      </c>
    </row>
    <row r="162" spans="1:12" x14ac:dyDescent="0.25">
      <c r="A162" s="26" t="str">
        <f>_xlfn.CONCAT(TablaMeta[[#This Row],[AÑO]],TablaMeta[[#This Row],[mes]],TablaMeta[[#This Row],[Equipo]])</f>
        <v>2025OCTUBREJORDAN</v>
      </c>
      <c r="B162" s="49" t="s">
        <v>171</v>
      </c>
      <c r="C162" s="27" t="s">
        <v>148</v>
      </c>
      <c r="D162" s="13" t="s">
        <v>5</v>
      </c>
      <c r="E162" s="9">
        <v>253237</v>
      </c>
      <c r="F162" s="9">
        <v>32000</v>
      </c>
      <c r="G162" s="40" t="s">
        <v>158</v>
      </c>
    </row>
    <row r="163" spans="1:12" x14ac:dyDescent="0.25">
      <c r="A163" s="26" t="str">
        <f>_xlfn.CONCAT(TablaMeta[[#This Row],[AÑO]],TablaMeta[[#This Row],[mes]],TablaMeta[[#This Row],[Equipo]])</f>
        <v>2025OCTUBREJORGE</v>
      </c>
      <c r="B163" s="49" t="s">
        <v>171</v>
      </c>
      <c r="C163" s="27" t="s">
        <v>148</v>
      </c>
      <c r="D163" s="13" t="s">
        <v>2</v>
      </c>
      <c r="E163" s="9">
        <v>253237</v>
      </c>
      <c r="F163" s="9">
        <v>32000</v>
      </c>
      <c r="G163" s="40" t="s">
        <v>158</v>
      </c>
    </row>
    <row r="164" spans="1:12" x14ac:dyDescent="0.25">
      <c r="A164" s="26" t="str">
        <f>_xlfn.CONCAT(TablaMeta[[#This Row],[AÑO]],TablaMeta[[#This Row],[mes]],TablaMeta[[#This Row],[Equipo]])</f>
        <v>2025OCTUBREKENNETH</v>
      </c>
      <c r="B164" s="49" t="s">
        <v>171</v>
      </c>
      <c r="C164" s="27" t="s">
        <v>148</v>
      </c>
      <c r="D164" s="13" t="s">
        <v>6</v>
      </c>
      <c r="E164" s="9">
        <v>420827</v>
      </c>
      <c r="F164" s="9">
        <v>53000</v>
      </c>
      <c r="G164" s="40" t="s">
        <v>159</v>
      </c>
    </row>
    <row r="165" spans="1:12" x14ac:dyDescent="0.25">
      <c r="A165" s="26" t="str">
        <f>_xlfn.CONCAT(TablaMeta[[#This Row],[AÑO]],TablaMeta[[#This Row],[mes]],TablaMeta[[#This Row],[Equipo]])</f>
        <v>2025OCTUBRELEONOR</v>
      </c>
      <c r="B165" s="49" t="s">
        <v>171</v>
      </c>
      <c r="C165" s="27" t="s">
        <v>148</v>
      </c>
      <c r="D165" s="13" t="s">
        <v>7</v>
      </c>
      <c r="E165" s="9">
        <v>420827</v>
      </c>
      <c r="F165" s="9">
        <v>53000</v>
      </c>
      <c r="G165" s="40" t="s">
        <v>159</v>
      </c>
    </row>
    <row r="166" spans="1:12" x14ac:dyDescent="0.25">
      <c r="A166" s="26" t="str">
        <f>_xlfn.CONCAT(TablaMeta[[#This Row],[AÑO]],TablaMeta[[#This Row],[mes]],TablaMeta[[#This Row],[Equipo]])</f>
        <v>2025OCTUBRELUIS</v>
      </c>
      <c r="B166" s="49" t="s">
        <v>171</v>
      </c>
      <c r="C166" s="27" t="s">
        <v>148</v>
      </c>
      <c r="D166" s="13" t="s">
        <v>9</v>
      </c>
      <c r="E166" s="9">
        <v>230608</v>
      </c>
      <c r="F166" s="9">
        <v>23000</v>
      </c>
      <c r="G166" s="40" t="s">
        <v>156</v>
      </c>
    </row>
    <row r="167" spans="1:12" x14ac:dyDescent="0.25">
      <c r="A167" s="26" t="str">
        <f>_xlfn.CONCAT(TablaMeta[[#This Row],[AÑO]],TablaMeta[[#This Row],[mes]],TablaMeta[[#This Row],[Equipo]])</f>
        <v>2025OCTUBREBRYAN</v>
      </c>
      <c r="B167" s="50" t="s">
        <v>171</v>
      </c>
      <c r="C167" s="28" t="s">
        <v>148</v>
      </c>
      <c r="D167" s="29" t="s">
        <v>8</v>
      </c>
      <c r="E167" s="9">
        <v>698156</v>
      </c>
      <c r="F167" s="9">
        <v>70000</v>
      </c>
      <c r="G167" s="40" t="s">
        <v>155</v>
      </c>
    </row>
    <row r="168" spans="1:12" x14ac:dyDescent="0.25">
      <c r="A168" s="26" t="str">
        <f>_xlfn.CONCAT(TablaMeta[[#This Row],[AÑO]],TablaMeta[[#This Row],[mes]],TablaMeta[[#This Row],[Equipo]])</f>
        <v>2025NOVIEMBRESANDY</v>
      </c>
      <c r="B168" s="49" t="s">
        <v>171</v>
      </c>
      <c r="C168" s="27" t="s">
        <v>149</v>
      </c>
      <c r="D168" s="13" t="s">
        <v>3</v>
      </c>
      <c r="E168" s="9">
        <v>599640</v>
      </c>
      <c r="F168" s="9">
        <v>55000</v>
      </c>
      <c r="G168" s="40" t="s">
        <v>159</v>
      </c>
    </row>
    <row r="169" spans="1:12" x14ac:dyDescent="0.25">
      <c r="A169" s="26" t="str">
        <f>_xlfn.CONCAT(TablaMeta[[#This Row],[AÑO]],TablaMeta[[#This Row],[mes]],TablaMeta[[#This Row],[Equipo]])</f>
        <v>2025NOVIEMBREMELINA</v>
      </c>
      <c r="B169" s="49" t="s">
        <v>171</v>
      </c>
      <c r="C169" s="27" t="s">
        <v>149</v>
      </c>
      <c r="D169" s="13" t="s">
        <v>4</v>
      </c>
      <c r="E169" s="9">
        <v>599640</v>
      </c>
      <c r="F169" s="9">
        <v>55000</v>
      </c>
      <c r="G169" s="40" t="s">
        <v>159</v>
      </c>
    </row>
    <row r="170" spans="1:12" x14ac:dyDescent="0.25">
      <c r="A170" s="26" t="str">
        <f>_xlfn.CONCAT(TablaMeta[[#This Row],[AÑO]],TablaMeta[[#This Row],[mes]],TablaMeta[[#This Row],[Equipo]])</f>
        <v>2025NOVIEMBREJORDAN</v>
      </c>
      <c r="B170" s="49" t="s">
        <v>171</v>
      </c>
      <c r="C170" s="27" t="s">
        <v>149</v>
      </c>
      <c r="D170" s="13" t="s">
        <v>5</v>
      </c>
      <c r="E170" s="9">
        <v>100323</v>
      </c>
      <c r="F170" s="9">
        <v>14000</v>
      </c>
      <c r="G170" s="40" t="s">
        <v>160</v>
      </c>
    </row>
    <row r="171" spans="1:12" x14ac:dyDescent="0.25">
      <c r="A171" s="26" t="str">
        <f>_xlfn.CONCAT(TablaMeta[[#This Row],[AÑO]],TablaMeta[[#This Row],[mes]],TablaMeta[[#This Row],[Equipo]])</f>
        <v>2025NOVIEMBREJORGE</v>
      </c>
      <c r="B171" s="49" t="s">
        <v>171</v>
      </c>
      <c r="C171" s="27" t="s">
        <v>149</v>
      </c>
      <c r="D171" s="13" t="s">
        <v>2</v>
      </c>
      <c r="E171" s="9">
        <v>144490</v>
      </c>
      <c r="F171" s="9">
        <v>15000</v>
      </c>
      <c r="G171" s="40" t="s">
        <v>158</v>
      </c>
    </row>
    <row r="172" spans="1:12" x14ac:dyDescent="0.25">
      <c r="A172" s="26" t="str">
        <f>_xlfn.CONCAT(TablaMeta[[#This Row],[AÑO]],TablaMeta[[#This Row],[mes]],TablaMeta[[#This Row],[Equipo]])</f>
        <v>2025NOVIEMBREKENNETH</v>
      </c>
      <c r="B172" s="49" t="s">
        <v>171</v>
      </c>
      <c r="C172" s="27" t="s">
        <v>149</v>
      </c>
      <c r="D172" s="13" t="s">
        <v>6</v>
      </c>
      <c r="E172" s="9">
        <v>346906</v>
      </c>
      <c r="F172" s="9">
        <v>63000</v>
      </c>
      <c r="G172" s="40" t="s">
        <v>161</v>
      </c>
    </row>
    <row r="173" spans="1:12" x14ac:dyDescent="0.25">
      <c r="A173" s="26" t="str">
        <f>_xlfn.CONCAT(TablaMeta[[#This Row],[AÑO]],TablaMeta[[#This Row],[mes]],TablaMeta[[#This Row],[Equipo]])</f>
        <v>2025NOVIEMBRELEONOR</v>
      </c>
      <c r="B173" s="50" t="s">
        <v>171</v>
      </c>
      <c r="C173" s="28" t="s">
        <v>149</v>
      </c>
      <c r="D173" s="29" t="s">
        <v>7</v>
      </c>
      <c r="E173" s="9">
        <v>100323</v>
      </c>
      <c r="F173" s="9">
        <v>14000</v>
      </c>
      <c r="G173" s="40" t="s">
        <v>160</v>
      </c>
    </row>
    <row r="174" spans="1:12" x14ac:dyDescent="0.25">
      <c r="A174" s="26" t="str">
        <f>_xlfn.CONCAT(TablaMeta[[#This Row],[AÑO]],TablaMeta[[#This Row],[mes]],TablaMeta[[#This Row],[Equipo]])</f>
        <v>2025DICIEMBRESANDY</v>
      </c>
      <c r="B174" s="49" t="s">
        <v>171</v>
      </c>
      <c r="C174" s="27" t="s">
        <v>176</v>
      </c>
      <c r="D174" s="13" t="s">
        <v>3</v>
      </c>
      <c r="E174" s="9">
        <v>555813</v>
      </c>
      <c r="F174" s="9">
        <v>55500</v>
      </c>
      <c r="G174" s="40" t="s">
        <v>159</v>
      </c>
    </row>
    <row r="175" spans="1:12" x14ac:dyDescent="0.25">
      <c r="A175" s="26" t="str">
        <f>_xlfn.CONCAT(TablaMeta[[#This Row],[AÑO]],TablaMeta[[#This Row],[mes]],TablaMeta[[#This Row],[Equipo]])</f>
        <v>2025DICIEMBREMELINA</v>
      </c>
      <c r="B175" s="49" t="s">
        <v>171</v>
      </c>
      <c r="C175" s="27" t="s">
        <v>176</v>
      </c>
      <c r="D175" s="13" t="s">
        <v>4</v>
      </c>
      <c r="E175" s="9">
        <v>555813</v>
      </c>
      <c r="F175" s="9">
        <v>55500</v>
      </c>
      <c r="G175" s="40" t="s">
        <v>159</v>
      </c>
      <c r="K175" s="46"/>
      <c r="L175" s="46"/>
    </row>
    <row r="176" spans="1:12" x14ac:dyDescent="0.25">
      <c r="A176" s="26" t="str">
        <f>_xlfn.CONCAT(TablaMeta[[#This Row],[AÑO]],TablaMeta[[#This Row],[mes]],TablaMeta[[#This Row],[Equipo]])</f>
        <v>2025DICIEMBREJORGE</v>
      </c>
      <c r="B176" s="49" t="s">
        <v>171</v>
      </c>
      <c r="C176" s="27" t="s">
        <v>176</v>
      </c>
      <c r="D176" s="13" t="s">
        <v>2</v>
      </c>
      <c r="E176" s="9">
        <v>319493</v>
      </c>
      <c r="F176" s="9">
        <v>35500</v>
      </c>
      <c r="G176" s="40" t="s">
        <v>205</v>
      </c>
      <c r="K176" s="46"/>
      <c r="L176" s="46"/>
    </row>
    <row r="177" spans="1:12" x14ac:dyDescent="0.25">
      <c r="A177" s="26" t="str">
        <f>_xlfn.CONCAT(TablaMeta[[#This Row],[AÑO]],TablaMeta[[#This Row],[mes]],TablaMeta[[#This Row],[Equipo]])</f>
        <v>2025DICIEMBREKENNETH</v>
      </c>
      <c r="B177" s="49" t="s">
        <v>171</v>
      </c>
      <c r="C177" s="27" t="s">
        <v>176</v>
      </c>
      <c r="D177" s="13" t="s">
        <v>6</v>
      </c>
      <c r="E177" s="9">
        <v>262676</v>
      </c>
      <c r="F177" s="9">
        <v>29000</v>
      </c>
      <c r="G177" s="40" t="s">
        <v>204</v>
      </c>
      <c r="K177" s="46"/>
      <c r="L177" s="46"/>
    </row>
    <row r="178" spans="1:12" x14ac:dyDescent="0.25">
      <c r="A178" s="51" t="str">
        <f>_xlfn.CONCAT(TablaMeta[[#This Row],[AÑO]],TablaMeta[[#This Row],[mes]],TablaMeta[[#This Row],[Equipo]])</f>
        <v>2025DICIEMBRELEONOR</v>
      </c>
      <c r="B178" s="50" t="s">
        <v>171</v>
      </c>
      <c r="C178" s="28" t="s">
        <v>176</v>
      </c>
      <c r="D178" s="29" t="s">
        <v>7</v>
      </c>
      <c r="E178" s="30">
        <v>269196</v>
      </c>
      <c r="F178" s="9">
        <v>21000</v>
      </c>
      <c r="G178" s="40" t="s">
        <v>175</v>
      </c>
      <c r="K178" s="46"/>
      <c r="L178" s="46"/>
    </row>
    <row r="179" spans="1:12" x14ac:dyDescent="0.25">
      <c r="A179" s="52" t="str">
        <f>_xlfn.CONCAT(TablaMeta[[#This Row],[AÑO]],TablaMeta[[#This Row],[mes]],TablaMeta[[#This Row],[Equipo]])</f>
        <v>2026ENEROSANDY</v>
      </c>
      <c r="B179" s="50" t="s">
        <v>210</v>
      </c>
      <c r="C179" s="27" t="s">
        <v>139</v>
      </c>
      <c r="D179" s="53" t="s">
        <v>3</v>
      </c>
      <c r="E179" s="9">
        <v>431682</v>
      </c>
      <c r="F179" s="9">
        <v>48000</v>
      </c>
      <c r="G179" s="40" t="s">
        <v>159</v>
      </c>
    </row>
    <row r="180" spans="1:12" x14ac:dyDescent="0.25">
      <c r="A180" s="52" t="str">
        <f>_xlfn.CONCAT(TablaMeta[[#This Row],[AÑO]],TablaMeta[[#This Row],[mes]],TablaMeta[[#This Row],[Equipo]])</f>
        <v>2026ENEROMELINA</v>
      </c>
      <c r="B180" s="49" t="s">
        <v>210</v>
      </c>
      <c r="C180" s="27" t="s">
        <v>139</v>
      </c>
      <c r="D180" s="53" t="s">
        <v>4</v>
      </c>
      <c r="E180" s="9">
        <v>431682</v>
      </c>
      <c r="F180" s="9">
        <v>48000</v>
      </c>
      <c r="G180" s="40" t="s">
        <v>159</v>
      </c>
    </row>
    <row r="181" spans="1:12" x14ac:dyDescent="0.25">
      <c r="A181" s="52" t="str">
        <f>_xlfn.CONCAT(TablaMeta[[#This Row],[AÑO]],TablaMeta[[#This Row],[mes]],TablaMeta[[#This Row],[Equipo]])</f>
        <v>2026ENEROJORGE</v>
      </c>
      <c r="B181" s="49" t="s">
        <v>210</v>
      </c>
      <c r="C181" s="27" t="s">
        <v>139</v>
      </c>
      <c r="D181" s="53" t="s">
        <v>2</v>
      </c>
      <c r="E181" s="9">
        <v>294010</v>
      </c>
      <c r="F181" s="9">
        <v>32600</v>
      </c>
      <c r="G181" s="40" t="s">
        <v>211</v>
      </c>
    </row>
    <row r="182" spans="1:12" x14ac:dyDescent="0.25">
      <c r="A182" s="52" t="str">
        <f>_xlfn.CONCAT(TablaMeta[[#This Row],[AÑO]],TablaMeta[[#This Row],[mes]],TablaMeta[[#This Row],[Equipo]])</f>
        <v>2026ENEROKENNETH</v>
      </c>
      <c r="B182" s="49" t="s">
        <v>210</v>
      </c>
      <c r="C182" s="27" t="s">
        <v>139</v>
      </c>
      <c r="D182" s="53" t="s">
        <v>6</v>
      </c>
      <c r="E182" s="9">
        <v>251174</v>
      </c>
      <c r="F182" s="9">
        <v>27900</v>
      </c>
      <c r="G182" s="40" t="s">
        <v>211</v>
      </c>
    </row>
    <row r="183" spans="1:12" x14ac:dyDescent="0.25">
      <c r="A183" s="54" t="str">
        <f>_xlfn.CONCAT(TablaMeta[[#This Row],[AÑO]],TablaMeta[[#This Row],[mes]],TablaMeta[[#This Row],[Equipo]])</f>
        <v>2026ENEROJOHAN</v>
      </c>
      <c r="B183" s="50" t="s">
        <v>210</v>
      </c>
      <c r="C183" s="28" t="s">
        <v>139</v>
      </c>
      <c r="D183" s="55" t="s">
        <v>125</v>
      </c>
      <c r="E183" s="30">
        <v>297083</v>
      </c>
      <c r="F183" s="30">
        <v>24500</v>
      </c>
      <c r="G183" s="56" t="s">
        <v>175</v>
      </c>
    </row>
    <row r="187" spans="1:12" x14ac:dyDescent="0.25">
      <c r="E187" s="46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0101-F202-471D-93F8-EEE150B32728}">
  <sheetPr>
    <tabColor theme="8" tint="-0.499984740745262"/>
  </sheetPr>
  <dimension ref="A1:G31"/>
  <sheetViews>
    <sheetView workbookViewId="0">
      <selection activeCell="G10" sqref="G10"/>
    </sheetView>
  </sheetViews>
  <sheetFormatPr baseColWidth="10" defaultRowHeight="15" x14ac:dyDescent="0.25"/>
  <cols>
    <col min="1" max="1" width="20" bestFit="1" customWidth="1"/>
    <col min="2" max="2" width="22.7109375" customWidth="1"/>
    <col min="3" max="3" width="17" customWidth="1"/>
    <col min="4" max="4" width="14.140625" customWidth="1"/>
    <col min="5" max="5" width="13.42578125" bestFit="1" customWidth="1"/>
    <col min="6" max="6" width="20.7109375" bestFit="1" customWidth="1"/>
    <col min="7" max="7" width="18.7109375" bestFit="1" customWidth="1"/>
  </cols>
  <sheetData>
    <row r="1" spans="1:7" x14ac:dyDescent="0.25">
      <c r="A1" t="s">
        <v>531</v>
      </c>
      <c r="B1" t="s">
        <v>0</v>
      </c>
      <c r="C1" t="s">
        <v>403</v>
      </c>
      <c r="D1" t="s">
        <v>530</v>
      </c>
      <c r="E1" t="s">
        <v>95</v>
      </c>
      <c r="F1" s="65" t="s">
        <v>532</v>
      </c>
      <c r="G1" s="65" t="s">
        <v>90</v>
      </c>
    </row>
    <row r="2" spans="1:7" x14ac:dyDescent="0.25">
      <c r="A2" t="s">
        <v>7</v>
      </c>
      <c r="B2" t="s">
        <v>40</v>
      </c>
      <c r="C2" t="str">
        <f>VLOOKUP(Tabla31[[#This Row],[ASESOR]],DIM!$A:$D,4,0)</f>
        <v>60976055</v>
      </c>
      <c r="D2" t="str">
        <f>VLOOKUP(Tabla31[[#This Row],[ASESOR]],ENERO_2026!$B:$E,4,0)</f>
        <v>JOHAN</v>
      </c>
      <c r="E2">
        <f>VLOOKUP(Tabla31[[#This Row],[ASESOR]],ENERO_2026!B:G,6,0)</f>
        <v>10638</v>
      </c>
      <c r="F2">
        <v>88973</v>
      </c>
      <c r="G2">
        <v>85650</v>
      </c>
    </row>
    <row r="3" spans="1:7" x14ac:dyDescent="0.25">
      <c r="A3" t="s">
        <v>7</v>
      </c>
      <c r="B3" t="s">
        <v>48</v>
      </c>
      <c r="C3" t="str">
        <f>VLOOKUP(Tabla31[[#This Row],[ASESOR]],DIM!$A:$D,4,0)</f>
        <v>43307898</v>
      </c>
      <c r="D3" t="str">
        <f>VLOOKUP(Tabla31[[#This Row],[ASESOR]],ENERO_2026!$B:$E,4,0)</f>
        <v>JOHAN</v>
      </c>
      <c r="E3">
        <f>VLOOKUP(Tabla31[[#This Row],[ASESOR]],ENERO_2026!B:G,6,0)</f>
        <v>26390</v>
      </c>
      <c r="F3">
        <v>54655</v>
      </c>
      <c r="G3">
        <v>58000</v>
      </c>
    </row>
    <row r="4" spans="1:7" x14ac:dyDescent="0.25">
      <c r="A4" t="s">
        <v>7</v>
      </c>
      <c r="B4" t="s">
        <v>97</v>
      </c>
      <c r="C4" t="str">
        <f>VLOOKUP(Tabla31[[#This Row],[ASESOR]],DIM!$A:$D,4,0)</f>
        <v>74602206</v>
      </c>
      <c r="D4" t="str">
        <f>VLOOKUP(Tabla31[[#This Row],[ASESOR]],ENERO_2026!$B:$E,4,0)</f>
        <v>JOHAN</v>
      </c>
      <c r="E4">
        <f>VLOOKUP(Tabla31[[#This Row],[ASESOR]],ENERO_2026!B:G,6,0)</f>
        <v>28784</v>
      </c>
      <c r="F4">
        <v>73038</v>
      </c>
      <c r="G4">
        <v>85650</v>
      </c>
    </row>
    <row r="5" spans="1:7" x14ac:dyDescent="0.25">
      <c r="A5" t="s">
        <v>7</v>
      </c>
      <c r="B5" t="s">
        <v>41</v>
      </c>
      <c r="C5" t="str">
        <f>VLOOKUP(Tabla31[[#This Row],[ASESOR]],DIM!$A:$D,4,0)</f>
        <v>46461021</v>
      </c>
      <c r="D5" t="str">
        <f>VLOOKUP(Tabla31[[#This Row],[ASESOR]],ENERO_2026!$B:$E,4,0)</f>
        <v>JOHAN</v>
      </c>
      <c r="E5">
        <f>VLOOKUP(Tabla31[[#This Row],[ASESOR]],ENERO_2026!B:G,6,0)</f>
        <v>16036</v>
      </c>
      <c r="F5">
        <v>49166</v>
      </c>
      <c r="G5">
        <v>73000</v>
      </c>
    </row>
    <row r="6" spans="1:7" x14ac:dyDescent="0.25">
      <c r="A6" t="s">
        <v>7</v>
      </c>
      <c r="B6" t="s">
        <v>76</v>
      </c>
      <c r="C6" t="str">
        <f>VLOOKUP(Tabla31[[#This Row],[ASESOR]],DIM!$A:$D,4,0)</f>
        <v>60914051</v>
      </c>
      <c r="D6" t="str">
        <f>VLOOKUP(Tabla31[[#This Row],[ASESOR]],ENERO_2026!$B:$E,4,0)</f>
        <v>JORGE</v>
      </c>
      <c r="E6">
        <f>VLOOKUP(Tabla31[[#This Row],[ASESOR]],ENERO_2026!B:G,6,0)</f>
        <v>54355</v>
      </c>
      <c r="F6">
        <v>167758</v>
      </c>
      <c r="G6">
        <v>148150</v>
      </c>
    </row>
    <row r="7" spans="1:7" x14ac:dyDescent="0.25">
      <c r="A7" t="s">
        <v>7</v>
      </c>
      <c r="B7" t="s">
        <v>79</v>
      </c>
      <c r="C7" t="str">
        <f>VLOOKUP(Tabla31[[#This Row],[ASESOR]],DIM!$A:$D,4,0)</f>
        <v>71262377</v>
      </c>
      <c r="D7" t="str">
        <f>VLOOKUP(Tabla31[[#This Row],[ASESOR]],ENERO_2026!$B:$E,4,0)</f>
        <v>JORGE</v>
      </c>
      <c r="E7">
        <f>VLOOKUP(Tabla31[[#This Row],[ASESOR]],ENERO_2026!B:G,6,0)</f>
        <v>29257</v>
      </c>
      <c r="F7">
        <v>78379</v>
      </c>
      <c r="G7">
        <v>81500</v>
      </c>
    </row>
    <row r="8" spans="1:7" x14ac:dyDescent="0.25">
      <c r="A8" t="s">
        <v>7</v>
      </c>
      <c r="B8" t="s">
        <v>78</v>
      </c>
      <c r="C8" t="str">
        <f>VLOOKUP(Tabla31[[#This Row],[ASESOR]],DIM!$A:$D,4,0)</f>
        <v>10706451</v>
      </c>
      <c r="D8" t="str">
        <f>VLOOKUP(Tabla31[[#This Row],[ASESOR]],ENERO_2026!$B:$E,4,0)</f>
        <v>JORGE</v>
      </c>
      <c r="E8">
        <f>VLOOKUP(Tabla31[[#This Row],[ASESOR]],ENERO_2026!B:G,6,0)</f>
        <v>16738</v>
      </c>
      <c r="F8">
        <v>117079</v>
      </c>
      <c r="G8">
        <v>131500</v>
      </c>
    </row>
    <row r="9" spans="1:7" x14ac:dyDescent="0.25">
      <c r="A9" t="s">
        <v>7</v>
      </c>
      <c r="B9" t="s">
        <v>80</v>
      </c>
      <c r="C9" t="str">
        <f>VLOOKUP(Tabla31[[#This Row],[ASESOR]],DIM!$A:$D,4,0)</f>
        <v>45084594</v>
      </c>
      <c r="D9" t="str">
        <f>VLOOKUP(Tabla31[[#This Row],[ASESOR]],ENERO_2026!$B:$E,4,0)</f>
        <v>KENNETH</v>
      </c>
      <c r="E9">
        <f>VLOOKUP(Tabla31[[#This Row],[ASESOR]],ENERO_2026!B:G,6,0)</f>
        <v>21030</v>
      </c>
      <c r="F9">
        <v>113987</v>
      </c>
      <c r="G9">
        <v>94650</v>
      </c>
    </row>
    <row r="10" spans="1:7" x14ac:dyDescent="0.25">
      <c r="A10" t="s">
        <v>7</v>
      </c>
      <c r="B10" t="s">
        <v>37</v>
      </c>
      <c r="C10" t="str">
        <f>VLOOKUP(Tabla31[[#This Row],[ASESOR]],DIM!$A:$D,4,0)</f>
        <v>70988976</v>
      </c>
      <c r="D10" t="str">
        <f>VLOOKUP(Tabla31[[#This Row],[ASESOR]],ENERO_2026!$B:$E,4,0)</f>
        <v>KENNETH</v>
      </c>
      <c r="E10">
        <f>VLOOKUP(Tabla31[[#This Row],[ASESOR]],ENERO_2026!B:G,6,0)</f>
        <v>6134</v>
      </c>
      <c r="F10">
        <v>49224</v>
      </c>
      <c r="G10">
        <v>71650</v>
      </c>
    </row>
    <row r="11" spans="1:7" x14ac:dyDescent="0.25">
      <c r="A11" t="s">
        <v>7</v>
      </c>
      <c r="B11" t="s">
        <v>72</v>
      </c>
      <c r="C11" t="str">
        <f>VLOOKUP(Tabla31[[#This Row],[ASESOR]],DIM!$A:$D,4,0)</f>
        <v>47690367</v>
      </c>
      <c r="D11" t="str">
        <f>VLOOKUP(Tabla31[[#This Row],[ASESOR]],ENERO_2026!$B:$E,4,0)</f>
        <v>MELINA</v>
      </c>
      <c r="E11">
        <f>VLOOKUP(Tabla31[[#This Row],[ASESOR]],ENERO_2026!B:G,6,0)</f>
        <v>16422</v>
      </c>
      <c r="F11">
        <v>112579</v>
      </c>
      <c r="G11">
        <v>101500</v>
      </c>
    </row>
    <row r="12" spans="1:7" x14ac:dyDescent="0.25">
      <c r="A12" t="s">
        <v>7</v>
      </c>
      <c r="B12" t="s">
        <v>18</v>
      </c>
      <c r="C12" t="str">
        <f>VLOOKUP(Tabla31[[#This Row],[ASESOR]],DIM!$A:$D,4,0)</f>
        <v>76214436</v>
      </c>
      <c r="D12" t="str">
        <f>VLOOKUP(Tabla31[[#This Row],[ASESOR]],ENERO_2026!$B:$E,4,0)</f>
        <v>MELINA</v>
      </c>
      <c r="E12">
        <f>VLOOKUP(Tabla31[[#This Row],[ASESOR]],ENERO_2026!B:G,6,0)</f>
        <v>35155</v>
      </c>
      <c r="F12">
        <v>153298</v>
      </c>
      <c r="G12">
        <v>151500</v>
      </c>
    </row>
    <row r="13" spans="1:7" x14ac:dyDescent="0.25">
      <c r="A13" t="s">
        <v>7</v>
      </c>
      <c r="B13" t="s">
        <v>60</v>
      </c>
      <c r="C13" t="str">
        <f>VLOOKUP(Tabla31[[#This Row],[ASESOR]],DIM!$A:$D,4,0)</f>
        <v>72839865</v>
      </c>
      <c r="D13" t="str">
        <f>VLOOKUP(Tabla31[[#This Row],[ASESOR]],ENERO_2026!$B:$E,4,0)</f>
        <v>MELINA</v>
      </c>
      <c r="E13">
        <f>VLOOKUP(Tabla31[[#This Row],[ASESOR]],ENERO_2026!B:G,6,0)</f>
        <v>65690</v>
      </c>
      <c r="F13">
        <v>144579</v>
      </c>
      <c r="G13">
        <v>151150</v>
      </c>
    </row>
    <row r="14" spans="1:7" x14ac:dyDescent="0.25">
      <c r="A14" t="s">
        <v>7</v>
      </c>
      <c r="B14" t="s">
        <v>31</v>
      </c>
      <c r="C14" t="str">
        <f>VLOOKUP(Tabla31[[#This Row],[ASESOR]],DIM!$A:$D,4,0)</f>
        <v>75882265</v>
      </c>
      <c r="D14" t="str">
        <f>VLOOKUP(Tabla31[[#This Row],[ASESOR]],ENERO_2026!$B:$E,4,0)</f>
        <v>SANDY</v>
      </c>
      <c r="E14">
        <f>VLOOKUP(Tabla31[[#This Row],[ASESOR]],ENERO_2026!B:G,6,0)</f>
        <v>41734</v>
      </c>
      <c r="F14">
        <v>135400</v>
      </c>
      <c r="G14">
        <v>151150</v>
      </c>
    </row>
    <row r="15" spans="1:7" x14ac:dyDescent="0.25">
      <c r="A15" t="s">
        <v>7</v>
      </c>
      <c r="B15" t="s">
        <v>65</v>
      </c>
      <c r="C15" t="str">
        <f>VLOOKUP(Tabla31[[#This Row],[ASESOR]],DIM!$A:$D,4,0)</f>
        <v>47659267</v>
      </c>
      <c r="D15" t="str">
        <f>VLOOKUP(Tabla31[[#This Row],[ASESOR]],ENERO_2026!$B:$E,4,0)</f>
        <v>SANDY</v>
      </c>
      <c r="E15">
        <f>VLOOKUP(Tabla31[[#This Row],[ASESOR]],ENERO_2026!B:G,6,0)</f>
        <v>35095</v>
      </c>
      <c r="F15">
        <v>81522</v>
      </c>
      <c r="G15">
        <v>107500</v>
      </c>
    </row>
    <row r="16" spans="1:7" x14ac:dyDescent="0.25">
      <c r="A16" t="s">
        <v>7</v>
      </c>
      <c r="B16" t="s">
        <v>17</v>
      </c>
      <c r="C16" t="str">
        <f>VLOOKUP(Tabla31[[#This Row],[ASESOR]],DIM!$A:$D,4,0)</f>
        <v>70876605</v>
      </c>
      <c r="D16" t="str">
        <f>VLOOKUP(Tabla31[[#This Row],[ASESOR]],ENERO_2026!$B:$E,4,0)</f>
        <v>SANDY</v>
      </c>
      <c r="E16">
        <f>VLOOKUP(Tabla31[[#This Row],[ASESOR]],ENERO_2026!B:G,6,0)</f>
        <v>36933</v>
      </c>
      <c r="F16">
        <v>65806</v>
      </c>
      <c r="G16">
        <v>98150</v>
      </c>
    </row>
    <row r="17" spans="1:7" x14ac:dyDescent="0.25">
      <c r="A17" t="s">
        <v>5</v>
      </c>
      <c r="B17" t="s">
        <v>77</v>
      </c>
      <c r="C17" t="str">
        <f>VLOOKUP(Tabla31[[#This Row],[ASESOR]],DIM!$A:$D,4,0)</f>
        <v>42251780</v>
      </c>
      <c r="D17" t="str">
        <f>VLOOKUP(Tabla31[[#This Row],[ASESOR]],ENERO_2026!$B:$E,4,0)</f>
        <v>JOHAN</v>
      </c>
      <c r="E17">
        <f>VLOOKUP(Tabla31[[#This Row],[ASESOR]],ENERO_2026!B:G,6,0)</f>
        <v>45553</v>
      </c>
      <c r="F17">
        <v>63778</v>
      </c>
      <c r="G17">
        <v>58000</v>
      </c>
    </row>
    <row r="18" spans="1:7" x14ac:dyDescent="0.25">
      <c r="A18" t="s">
        <v>5</v>
      </c>
      <c r="B18" t="s">
        <v>58</v>
      </c>
      <c r="C18" t="str">
        <f>VLOOKUP(Tabla31[[#This Row],[ASESOR]],DIM!$A:$D,4,0)</f>
        <v>72519113</v>
      </c>
      <c r="D18" t="str">
        <f>VLOOKUP(Tabla31[[#This Row],[ASESOR]],ENERO_2026!$B:$E,4,0)</f>
        <v>JOHAN</v>
      </c>
      <c r="E18">
        <f>VLOOKUP(Tabla31[[#This Row],[ASESOR]],ENERO_2026!B:G,6,0)</f>
        <v>49431</v>
      </c>
      <c r="F18">
        <v>112806</v>
      </c>
      <c r="G18">
        <v>116650</v>
      </c>
    </row>
    <row r="19" spans="1:7" x14ac:dyDescent="0.25">
      <c r="A19" t="s">
        <v>5</v>
      </c>
      <c r="B19" t="s">
        <v>51</v>
      </c>
      <c r="C19" t="str">
        <f>VLOOKUP(Tabla31[[#This Row],[ASESOR]],DIM!$A:$D,4,0)</f>
        <v>76089925</v>
      </c>
      <c r="D19" t="str">
        <f>VLOOKUP(Tabla31[[#This Row],[ASESOR]],ENERO_2026!$B:$E,4,0)</f>
        <v>JOHAN</v>
      </c>
      <c r="E19">
        <f>VLOOKUP(Tabla31[[#This Row],[ASESOR]],ENERO_2026!B:G,6,0)</f>
        <v>25273</v>
      </c>
      <c r="F19">
        <v>46605</v>
      </c>
      <c r="G19">
        <v>58000</v>
      </c>
    </row>
    <row r="20" spans="1:7" x14ac:dyDescent="0.25">
      <c r="A20" t="s">
        <v>5</v>
      </c>
      <c r="B20" t="s">
        <v>73</v>
      </c>
      <c r="C20" t="str">
        <f>VLOOKUP(Tabla31[[#This Row],[ASESOR]],DIM!$A:$D,4,0)</f>
        <v>40318129</v>
      </c>
      <c r="D20" t="str">
        <f>VLOOKUP(Tabla31[[#This Row],[ASESOR]],ENERO_2026!$B:$E,4,0)</f>
        <v>JOHAN</v>
      </c>
      <c r="E20">
        <f>VLOOKUP(Tabla31[[#This Row],[ASESOR]],ENERO_2026!B:G,6,0)</f>
        <v>17430</v>
      </c>
      <c r="F20">
        <v>43034</v>
      </c>
      <c r="G20">
        <v>68000</v>
      </c>
    </row>
    <row r="21" spans="1:7" x14ac:dyDescent="0.25">
      <c r="A21" t="s">
        <v>5</v>
      </c>
      <c r="B21" t="s">
        <v>42</v>
      </c>
      <c r="C21" t="str">
        <f>VLOOKUP(Tabla31[[#This Row],[ASESOR]],DIM!$A:$D,4,0)</f>
        <v>73725129</v>
      </c>
      <c r="D21" t="str">
        <f>VLOOKUP(Tabla31[[#This Row],[ASESOR]],ENERO_2026!$B:$E,4,0)</f>
        <v>JORGE</v>
      </c>
      <c r="E21">
        <f>VLOOKUP(Tabla31[[#This Row],[ASESOR]],ENERO_2026!B:G,6,0)</f>
        <v>30478.13</v>
      </c>
      <c r="F21">
        <v>118444</v>
      </c>
      <c r="G21">
        <v>120500</v>
      </c>
    </row>
    <row r="22" spans="1:7" x14ac:dyDescent="0.25">
      <c r="A22" t="s">
        <v>5</v>
      </c>
      <c r="B22" t="s">
        <v>25</v>
      </c>
      <c r="C22" t="str">
        <f>VLOOKUP(Tabla31[[#This Row],[ASESOR]],DIM!$A:$D,4,0)</f>
        <v>72373931</v>
      </c>
      <c r="D22" t="str">
        <f>VLOOKUP(Tabla31[[#This Row],[ASESOR]],ENERO_2026!$B:$E,4,0)</f>
        <v>JORGE</v>
      </c>
      <c r="E22">
        <f>VLOOKUP(Tabla31[[#This Row],[ASESOR]],ENERO_2026!B:G,6,0)</f>
        <v>52888</v>
      </c>
      <c r="F22">
        <v>87118</v>
      </c>
      <c r="G22">
        <v>105500</v>
      </c>
    </row>
    <row r="23" spans="1:7" x14ac:dyDescent="0.25">
      <c r="A23" t="s">
        <v>5</v>
      </c>
      <c r="B23" t="s">
        <v>29</v>
      </c>
      <c r="C23" t="str">
        <f>VLOOKUP(Tabla31[[#This Row],[ASESOR]],DIM!$A:$D,4,0)</f>
        <v>72758956</v>
      </c>
      <c r="D23" t="str">
        <f>VLOOKUP(Tabla31[[#This Row],[ASESOR]],ENERO_2026!$B:$E,4,0)</f>
        <v>JORGE</v>
      </c>
      <c r="E23">
        <f>VLOOKUP(Tabla31[[#This Row],[ASESOR]],ENERO_2026!B:G,6,0)</f>
        <v>28107.4</v>
      </c>
      <c r="F23">
        <v>70860</v>
      </c>
      <c r="G23">
        <v>102500</v>
      </c>
    </row>
    <row r="24" spans="1:7" x14ac:dyDescent="0.25">
      <c r="A24" t="s">
        <v>5</v>
      </c>
      <c r="B24" t="s">
        <v>11</v>
      </c>
      <c r="C24" t="str">
        <f>VLOOKUP(Tabla31[[#This Row],[ASESOR]],DIM!$A:$D,4,0)</f>
        <v>45139159</v>
      </c>
      <c r="D24" t="str">
        <f>VLOOKUP(Tabla31[[#This Row],[ASESOR]],ENERO_2026!$B:$E,4,0)</f>
        <v>KENNETH</v>
      </c>
      <c r="E24">
        <f>VLOOKUP(Tabla31[[#This Row],[ASESOR]],ENERO_2026!B:G,6,0)</f>
        <v>38665</v>
      </c>
      <c r="F24">
        <v>95684</v>
      </c>
      <c r="G24">
        <v>102000</v>
      </c>
    </row>
    <row r="25" spans="1:7" x14ac:dyDescent="0.25">
      <c r="A25" t="s">
        <v>5</v>
      </c>
      <c r="B25" t="s">
        <v>59</v>
      </c>
      <c r="C25" t="str">
        <f>VLOOKUP(Tabla31[[#This Row],[ASESOR]],DIM!$A:$D,4,0)</f>
        <v>60870839</v>
      </c>
      <c r="D25" t="str">
        <f>VLOOKUP(Tabla31[[#This Row],[ASESOR]],ENERO_2026!$B:$E,4,0)</f>
        <v>MELINA</v>
      </c>
      <c r="E25">
        <f>VLOOKUP(Tabla31[[#This Row],[ASESOR]],ENERO_2026!B:G,6,0)</f>
        <v>98158</v>
      </c>
      <c r="F25">
        <v>116372</v>
      </c>
      <c r="G25">
        <v>98150</v>
      </c>
    </row>
    <row r="26" spans="1:7" x14ac:dyDescent="0.25">
      <c r="A26" t="s">
        <v>5</v>
      </c>
      <c r="B26" t="s">
        <v>12</v>
      </c>
      <c r="C26" t="str">
        <f>VLOOKUP(Tabla31[[#This Row],[ASESOR]],DIM!$A:$D,4,0)</f>
        <v>45262585</v>
      </c>
      <c r="D26" t="str">
        <f>VLOOKUP(Tabla31[[#This Row],[ASESOR]],ENERO_2026!$B:$E,4,0)</f>
        <v>MELINA</v>
      </c>
      <c r="E26">
        <f>VLOOKUP(Tabla31[[#This Row],[ASESOR]],ENERO_2026!B:G,6,0)</f>
        <v>39010</v>
      </c>
      <c r="F26">
        <v>55273</v>
      </c>
      <c r="G26">
        <v>53000</v>
      </c>
    </row>
    <row r="27" spans="1:7" x14ac:dyDescent="0.25">
      <c r="A27" t="s">
        <v>5</v>
      </c>
      <c r="B27" t="s">
        <v>10</v>
      </c>
      <c r="C27" t="str">
        <f>VLOOKUP(Tabla31[[#This Row],[ASESOR]],DIM!$A:$D,4,0)</f>
        <v>40980108</v>
      </c>
      <c r="D27" t="str">
        <f>VLOOKUP(Tabla31[[#This Row],[ASESOR]],ENERO_2026!$B:$E,4,0)</f>
        <v>MELINA</v>
      </c>
      <c r="E27">
        <f>VLOOKUP(Tabla31[[#This Row],[ASESOR]],ENERO_2026!B:G,6,0)</f>
        <v>64434</v>
      </c>
      <c r="F27">
        <v>170664</v>
      </c>
      <c r="G27">
        <v>168150</v>
      </c>
    </row>
    <row r="28" spans="1:7" x14ac:dyDescent="0.25">
      <c r="A28" t="s">
        <v>5</v>
      </c>
      <c r="B28" t="s">
        <v>13</v>
      </c>
      <c r="C28" t="str">
        <f>VLOOKUP(Tabla31[[#This Row],[ASESOR]],DIM!$A:$D,4,0)</f>
        <v>72512391</v>
      </c>
      <c r="D28" t="str">
        <f>VLOOKUP(Tabla31[[#This Row],[ASESOR]],ENERO_2026!$B:$E,4,0)</f>
        <v>SANDY</v>
      </c>
      <c r="E28">
        <f>VLOOKUP(Tabla31[[#This Row],[ASESOR]],ENERO_2026!B:G,6,0)</f>
        <v>62172.5</v>
      </c>
      <c r="F28">
        <v>125384</v>
      </c>
      <c r="G28">
        <v>121150</v>
      </c>
    </row>
    <row r="29" spans="1:7" x14ac:dyDescent="0.25">
      <c r="A29" t="s">
        <v>5</v>
      </c>
      <c r="B29" t="s">
        <v>96</v>
      </c>
      <c r="C29" t="str">
        <f>VLOOKUP(Tabla31[[#This Row],[ASESOR]],DIM!$A:$D,4,0)</f>
        <v>46793103</v>
      </c>
      <c r="D29" t="str">
        <f>VLOOKUP(Tabla31[[#This Row],[ASESOR]],ENERO_2026!$B:$E,4,0)</f>
        <v>SANDY</v>
      </c>
      <c r="E29">
        <f>VLOOKUP(Tabla31[[#This Row],[ASESOR]],ENERO_2026!B:G,6,0)</f>
        <v>61746</v>
      </c>
      <c r="F29">
        <v>96948</v>
      </c>
      <c r="G29">
        <v>101500</v>
      </c>
    </row>
    <row r="30" spans="1:7" x14ac:dyDescent="0.25">
      <c r="A30" t="s">
        <v>5</v>
      </c>
      <c r="B30" t="s">
        <v>32</v>
      </c>
      <c r="C30" t="str">
        <f>VLOOKUP(Tabla31[[#This Row],[ASESOR]],DIM!$A:$D,4,0)</f>
        <v>48584670</v>
      </c>
      <c r="D30" t="str">
        <f>VLOOKUP(Tabla31[[#This Row],[ASESOR]],ENERO_2026!$B:$E,4,0)</f>
        <v>SANDY</v>
      </c>
      <c r="E30">
        <f>VLOOKUP(Tabla31[[#This Row],[ASESOR]],ENERO_2026!B:G,6,0)</f>
        <v>90780</v>
      </c>
      <c r="F30">
        <v>91052</v>
      </c>
      <c r="G30">
        <v>98150</v>
      </c>
    </row>
    <row r="31" spans="1:7" x14ac:dyDescent="0.25">
      <c r="A31" t="s">
        <v>5</v>
      </c>
      <c r="B31" t="s">
        <v>33</v>
      </c>
      <c r="C31" t="str">
        <f>VLOOKUP(Tabla31[[#This Row],[ASESOR]],DIM!$A:$D,4,0)</f>
        <v>80689573</v>
      </c>
      <c r="D31" t="str">
        <f>VLOOKUP(Tabla31[[#This Row],[ASESOR]],ENERO_2026!$B:$E,4,0)</f>
        <v>SANDY</v>
      </c>
      <c r="E31">
        <f>VLOOKUP(Tabla31[[#This Row],[ASESOR]],ENERO_2026!B:G,6,0)</f>
        <v>26314</v>
      </c>
      <c r="F31">
        <v>56307</v>
      </c>
      <c r="G31">
        <v>77500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17</vt:i4>
      </vt:variant>
    </vt:vector>
  </HeadingPairs>
  <TitlesOfParts>
    <vt:vector size="17" baseType="lpstr"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INF</vt:lpstr>
      <vt:lpstr>DIM</vt:lpstr>
      <vt:lpstr>METAS</vt:lpstr>
      <vt:lpstr>CAPA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2026-02-03T12:32:39Z</dcterms:modified>
</cp:coreProperties>
</file>