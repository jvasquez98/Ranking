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30B39C9-EAB3-4649-BB66-E92FDC9BE9DC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A3" i="17" s="1"/>
  <c r="C3" i="17" s="1"/>
  <c r="B4" i="17" a="1"/>
  <c r="B4" i="17" s="1"/>
  <c r="A4" i="17" s="1"/>
  <c r="C4" i="17" s="1"/>
  <c r="B5" i="17" a="1"/>
  <c r="B5" i="17" s="1"/>
  <c r="A5" i="17" s="1"/>
  <c r="C5" i="17" s="1"/>
  <c r="C3" i="16"/>
  <c r="B55" i="17" a="1"/>
  <c r="B55" i="17" s="1"/>
  <c r="J55" i="17" s="1"/>
  <c r="B56" i="17" a="1"/>
  <c r="B56" i="17" s="1"/>
  <c r="J56" i="17" s="1"/>
  <c r="B6" i="17" a="1"/>
  <c r="B6" i="17" s="1"/>
  <c r="J6" i="17" s="1"/>
  <c r="B7" i="17" a="1"/>
  <c r="B7" i="17" s="1"/>
  <c r="J7" i="17" s="1"/>
  <c r="B8" i="17" a="1"/>
  <c r="B8" i="17" s="1"/>
  <c r="J8" i="17" s="1"/>
  <c r="B9" i="17" a="1"/>
  <c r="B9" i="17" s="1"/>
  <c r="J9" i="17" s="1"/>
  <c r="B10" i="17" a="1"/>
  <c r="B10" i="17" s="1"/>
  <c r="J10" i="17" s="1"/>
  <c r="B11" i="17" a="1"/>
  <c r="B11" i="17" s="1"/>
  <c r="J11" i="17" s="1"/>
  <c r="B12" i="17" a="1"/>
  <c r="B12" i="17" s="1"/>
  <c r="J12" i="17" s="1"/>
  <c r="B13" i="17" a="1"/>
  <c r="B13" i="17" s="1"/>
  <c r="J13" i="17" s="1"/>
  <c r="B14" i="17" a="1"/>
  <c r="B14" i="17" s="1"/>
  <c r="J14" i="17" s="1"/>
  <c r="B15" i="17" a="1"/>
  <c r="B15" i="17" s="1"/>
  <c r="J15" i="17" s="1"/>
  <c r="B16" i="17" a="1"/>
  <c r="B16" i="17" s="1"/>
  <c r="J16" i="17" s="1"/>
  <c r="B17" i="17" a="1"/>
  <c r="B17" i="17" s="1"/>
  <c r="J17" i="17" s="1"/>
  <c r="B18" i="17" a="1"/>
  <c r="B18" i="17" s="1"/>
  <c r="J18" i="17" s="1"/>
  <c r="B19" i="17" a="1"/>
  <c r="B19" i="17" s="1"/>
  <c r="J19" i="17" s="1"/>
  <c r="B20" i="17" a="1"/>
  <c r="B20" i="17" s="1"/>
  <c r="J20" i="17" s="1"/>
  <c r="B21" i="17" a="1"/>
  <c r="B21" i="17" s="1"/>
  <c r="J21" i="17" s="1"/>
  <c r="B22" i="17" a="1"/>
  <c r="B22" i="17" s="1"/>
  <c r="J22" i="17" s="1"/>
  <c r="B23" i="17" a="1"/>
  <c r="B23" i="17" s="1"/>
  <c r="J23" i="17" s="1"/>
  <c r="B24" i="17" a="1"/>
  <c r="B24" i="17" s="1"/>
  <c r="J24" i="17" s="1"/>
  <c r="B25" i="17" a="1"/>
  <c r="B25" i="17" s="1"/>
  <c r="J25" i="17" s="1"/>
  <c r="B26" i="17" a="1"/>
  <c r="B26" i="17" s="1"/>
  <c r="J26" i="17" s="1"/>
  <c r="B27" i="17" a="1"/>
  <c r="B27" i="17" s="1"/>
  <c r="J27" i="17" s="1"/>
  <c r="B28" i="17" a="1"/>
  <c r="B28" i="17" s="1"/>
  <c r="J28" i="17" s="1"/>
  <c r="B29" i="17" a="1"/>
  <c r="B29" i="17" s="1"/>
  <c r="J29" i="17" s="1"/>
  <c r="B30" i="17" a="1"/>
  <c r="B30" i="17" s="1"/>
  <c r="J30" i="17" s="1"/>
  <c r="B31" i="17" a="1"/>
  <c r="B31" i="17" s="1"/>
  <c r="J31" i="17" s="1"/>
  <c r="B32" i="17" a="1"/>
  <c r="B32" i="17" s="1"/>
  <c r="J32" i="17" s="1"/>
  <c r="B33" i="17" a="1"/>
  <c r="B33" i="17" s="1"/>
  <c r="J33" i="17" s="1"/>
  <c r="B34" i="17" a="1"/>
  <c r="B34" i="17" s="1"/>
  <c r="J34" i="17" s="1"/>
  <c r="B35" i="17" a="1"/>
  <c r="B35" i="17" s="1"/>
  <c r="J35" i="17" s="1"/>
  <c r="B36" i="17" a="1"/>
  <c r="B36" i="17" s="1"/>
  <c r="J36" i="17" s="1"/>
  <c r="B37" i="17" a="1"/>
  <c r="B37" i="17" s="1"/>
  <c r="J37" i="17" s="1"/>
  <c r="B38" i="17" a="1"/>
  <c r="B38" i="17" s="1"/>
  <c r="J38" i="17" s="1"/>
  <c r="B39" i="17" a="1"/>
  <c r="B39" i="17" s="1"/>
  <c r="J39" i="17" s="1"/>
  <c r="B40" i="17" a="1"/>
  <c r="B40" i="17" s="1"/>
  <c r="J40" i="17" s="1"/>
  <c r="B41" i="17" a="1"/>
  <c r="B41" i="17" s="1"/>
  <c r="J41" i="17" s="1"/>
  <c r="B42" i="17" a="1"/>
  <c r="B42" i="17" s="1"/>
  <c r="J42" i="17" s="1"/>
  <c r="B43" i="17" a="1"/>
  <c r="B43" i="17" s="1"/>
  <c r="J43" i="17" s="1"/>
  <c r="B44" i="17" a="1"/>
  <c r="B44" i="17" s="1"/>
  <c r="J44" i="17" s="1"/>
  <c r="B45" i="17" a="1"/>
  <c r="B45" i="17" s="1"/>
  <c r="J45" i="17" s="1"/>
  <c r="B46" i="17" a="1"/>
  <c r="B46" i="17" s="1"/>
  <c r="J46" i="17" s="1"/>
  <c r="B47" i="17" a="1"/>
  <c r="B47" i="17" s="1"/>
  <c r="J47" i="17" s="1"/>
  <c r="B48" i="17" a="1"/>
  <c r="B48" i="17" s="1"/>
  <c r="J48" i="17" s="1"/>
  <c r="B49" i="17" a="1"/>
  <c r="B49" i="17" s="1"/>
  <c r="J49" i="17" s="1"/>
  <c r="B50" i="17" a="1"/>
  <c r="B50" i="17" s="1"/>
  <c r="J50" i="17" s="1"/>
  <c r="B51" i="17" a="1"/>
  <c r="B51" i="17" s="1"/>
  <c r="J51" i="17" s="1"/>
  <c r="B52" i="17" a="1"/>
  <c r="B52" i="17" s="1"/>
  <c r="J52" i="17" s="1"/>
  <c r="B53" i="17" a="1"/>
  <c r="B53" i="17" s="1"/>
  <c r="J53" i="17" s="1"/>
  <c r="B54" i="17" a="1"/>
  <c r="B54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7" i="21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9" i="18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11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9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54" i="20"/>
  <c r="AU20" i="18"/>
  <c r="J3" i="17" l="1"/>
  <c r="D3" i="17"/>
  <c r="E3" i="17"/>
  <c r="J4" i="17"/>
  <c r="D4" i="17"/>
  <c r="E4" i="17"/>
  <c r="D5" i="17"/>
  <c r="J5" i="17"/>
  <c r="E5" i="17"/>
  <c r="A54" i="17"/>
  <c r="J54" i="17"/>
  <c r="A56" i="17"/>
  <c r="C56" i="17" s="1"/>
  <c r="E56" i="17"/>
  <c r="A55" i="17"/>
  <c r="C55" i="17" s="1"/>
  <c r="E55" i="17"/>
  <c r="E54" i="17"/>
  <c r="D54" i="17" l="1"/>
  <c r="C54" i="17"/>
  <c r="D55" i="17"/>
  <c r="D56" i="17"/>
  <c r="E53" i="17"/>
  <c r="A53" i="17" l="1"/>
  <c r="D53" i="17" l="1"/>
  <c r="C53" i="17"/>
  <c r="A179" i="22"/>
  <c r="A180" i="22"/>
  <c r="A181" i="22"/>
  <c r="A182" i="22"/>
  <c r="A183" i="22"/>
  <c r="C53" i="20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O59" i="17" l="1"/>
  <c r="P59" i="17" s="1"/>
  <c r="O58" i="17"/>
  <c r="P58" i="17" s="1"/>
  <c r="D5" i="29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6" i="29"/>
  <c r="E6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AO59" i="17" l="1"/>
  <c r="AO58" i="17"/>
  <c r="D13" i="29"/>
  <c r="H3" i="17"/>
  <c r="I3" i="17"/>
  <c r="H4" i="17"/>
  <c r="I5" i="17"/>
  <c r="I4" i="17"/>
  <c r="H5" i="17"/>
  <c r="I6" i="17"/>
  <c r="H46" i="17"/>
  <c r="H22" i="17"/>
  <c r="H45" i="17"/>
  <c r="I9" i="17"/>
  <c r="H20" i="17"/>
  <c r="H47" i="17"/>
  <c r="I22" i="17"/>
  <c r="H21" i="17"/>
  <c r="I44" i="17"/>
  <c r="H8" i="17"/>
  <c r="H31" i="17"/>
  <c r="H19" i="17"/>
  <c r="I19" i="17"/>
  <c r="I7" i="17"/>
  <c r="H7" i="17"/>
  <c r="I42" i="17"/>
  <c r="H42" i="17"/>
  <c r="I30" i="17"/>
  <c r="H30" i="17"/>
  <c r="I18" i="17"/>
  <c r="H18" i="17"/>
  <c r="H41" i="17"/>
  <c r="I41" i="17"/>
  <c r="H29" i="17"/>
  <c r="I29" i="17"/>
  <c r="H17" i="17"/>
  <c r="I17" i="17"/>
  <c r="H52" i="17"/>
  <c r="I52" i="17"/>
  <c r="I40" i="17"/>
  <c r="H40" i="17"/>
  <c r="I28" i="17"/>
  <c r="H28" i="17"/>
  <c r="H16" i="17"/>
  <c r="I16" i="17"/>
  <c r="I51" i="17"/>
  <c r="H51" i="17"/>
  <c r="I39" i="17"/>
  <c r="H39" i="17"/>
  <c r="I27" i="17"/>
  <c r="H27" i="17"/>
  <c r="H15" i="17"/>
  <c r="I15" i="17"/>
  <c r="I50" i="17"/>
  <c r="H50" i="17"/>
  <c r="I38" i="17"/>
  <c r="H38" i="17"/>
  <c r="I26" i="17"/>
  <c r="H26" i="17"/>
  <c r="I14" i="17"/>
  <c r="H14" i="17"/>
  <c r="H11" i="17"/>
  <c r="I11" i="17"/>
  <c r="I49" i="17"/>
  <c r="H49" i="17"/>
  <c r="I37" i="17"/>
  <c r="H37" i="17"/>
  <c r="I25" i="17"/>
  <c r="H25" i="17"/>
  <c r="H13" i="17"/>
  <c r="I13" i="17"/>
  <c r="I48" i="17"/>
  <c r="H48" i="17"/>
  <c r="H36" i="17"/>
  <c r="I36" i="17"/>
  <c r="I24" i="17"/>
  <c r="H24" i="17"/>
  <c r="H12" i="17"/>
  <c r="I12" i="17"/>
  <c r="H23" i="17"/>
  <c r="I10" i="17"/>
  <c r="H33" i="17"/>
  <c r="H44" i="17"/>
  <c r="I8" i="17"/>
  <c r="I46" i="17"/>
  <c r="I33" i="17"/>
  <c r="H32" i="17"/>
  <c r="I43" i="17"/>
  <c r="I35" i="17"/>
  <c r="H6" i="17"/>
  <c r="I23" i="17"/>
  <c r="I34" i="17"/>
  <c r="H10" i="17"/>
  <c r="I21" i="17"/>
  <c r="I32" i="17"/>
  <c r="H43" i="17"/>
  <c r="H35" i="17"/>
  <c r="I47" i="17"/>
  <c r="H34" i="17"/>
  <c r="I45" i="17"/>
  <c r="H9" i="17"/>
  <c r="I20" i="17"/>
  <c r="I31" i="17"/>
  <c r="H55" i="17"/>
  <c r="H56" i="17"/>
  <c r="I55" i="17"/>
  <c r="I54" i="17"/>
  <c r="H54" i="17"/>
  <c r="I56" i="17"/>
  <c r="H53" i="17"/>
  <c r="I53" i="17"/>
  <c r="BQ16" i="18"/>
  <c r="BQ15" i="18"/>
  <c r="AQ9" i="18"/>
  <c r="AQ15" i="18"/>
  <c r="BQ13" i="18"/>
  <c r="BQ12" i="18"/>
  <c r="AQ11" i="18"/>
  <c r="BQ14" i="18"/>
  <c r="AQ12" i="18"/>
  <c r="AQ16" i="18"/>
  <c r="AQ14" i="18"/>
  <c r="AQ13" i="18"/>
  <c r="BQ11" i="18"/>
  <c r="BQ10" i="18"/>
  <c r="AQ10" i="18"/>
  <c r="BQ9" i="18"/>
  <c r="BQ13" i="17"/>
  <c r="AR13" i="17" s="1"/>
  <c r="BQ12" i="17"/>
  <c r="AR12" i="17" s="1"/>
  <c r="BQ11" i="17"/>
  <c r="AR11" i="17" s="1"/>
  <c r="BQ10" i="17"/>
  <c r="AR10" i="17" s="1"/>
  <c r="BQ9" i="17"/>
  <c r="AR9" i="17" s="1"/>
  <c r="AQ9" i="17"/>
  <c r="AQ13" i="17"/>
  <c r="AQ12" i="17"/>
  <c r="AQ11" i="17"/>
  <c r="AQ10" i="17"/>
  <c r="A7" i="17" l="1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D7" i="17" l="1"/>
  <c r="C7" i="17"/>
  <c r="D8" i="17"/>
  <c r="C8" i="17"/>
  <c r="D9" i="17"/>
  <c r="C9" i="17"/>
  <c r="D10" i="17"/>
  <c r="C10" i="17"/>
  <c r="Q54" i="17" s="1"/>
  <c r="D11" i="17"/>
  <c r="C11" i="17"/>
  <c r="D12" i="17"/>
  <c r="C12" i="17"/>
  <c r="D13" i="17"/>
  <c r="C13" i="17"/>
  <c r="D14" i="17"/>
  <c r="C14" i="17"/>
  <c r="D15" i="17"/>
  <c r="C15" i="17"/>
  <c r="D16" i="17"/>
  <c r="C16" i="17"/>
  <c r="D17" i="17"/>
  <c r="C17" i="17"/>
  <c r="D18" i="17"/>
  <c r="C18" i="17"/>
  <c r="D19" i="17"/>
  <c r="C19" i="17"/>
  <c r="D20" i="17"/>
  <c r="C20" i="17"/>
  <c r="D21" i="17"/>
  <c r="C21" i="17"/>
  <c r="D22" i="17"/>
  <c r="C22" i="17"/>
  <c r="D23" i="17"/>
  <c r="C23" i="17"/>
  <c r="D24" i="17"/>
  <c r="C24" i="17"/>
  <c r="D25" i="17"/>
  <c r="C25" i="17"/>
  <c r="D26" i="17"/>
  <c r="C26" i="17"/>
  <c r="D27" i="17"/>
  <c r="C27" i="17"/>
  <c r="D28" i="17"/>
  <c r="C28" i="17"/>
  <c r="D29" i="17"/>
  <c r="C29" i="17"/>
  <c r="D30" i="17"/>
  <c r="C30" i="17"/>
  <c r="D31" i="17"/>
  <c r="C31" i="17"/>
  <c r="D32" i="17"/>
  <c r="C32" i="17"/>
  <c r="D33" i="17"/>
  <c r="C33" i="17"/>
  <c r="D34" i="17"/>
  <c r="C34" i="17"/>
  <c r="D35" i="17"/>
  <c r="C35" i="17"/>
  <c r="D36" i="17"/>
  <c r="C36" i="17"/>
  <c r="D37" i="17"/>
  <c r="C37" i="17"/>
  <c r="D38" i="17"/>
  <c r="C38" i="17"/>
  <c r="D39" i="17"/>
  <c r="C39" i="17"/>
  <c r="D40" i="17"/>
  <c r="C40" i="17"/>
  <c r="D41" i="17"/>
  <c r="C41" i="17"/>
  <c r="D42" i="17"/>
  <c r="C42" i="17"/>
  <c r="D43" i="17"/>
  <c r="C43" i="17"/>
  <c r="D44" i="17"/>
  <c r="C44" i="17"/>
  <c r="D45" i="17"/>
  <c r="C45" i="17"/>
  <c r="D46" i="17"/>
  <c r="C46" i="17"/>
  <c r="D47" i="17"/>
  <c r="C47" i="17"/>
  <c r="D48" i="17"/>
  <c r="C48" i="17"/>
  <c r="Q13" i="17" s="1"/>
  <c r="D49" i="17"/>
  <c r="C49" i="17"/>
  <c r="D50" i="17"/>
  <c r="C50" i="17"/>
  <c r="D51" i="17"/>
  <c r="C51" i="17"/>
  <c r="D52" i="17"/>
  <c r="C52" i="17"/>
  <c r="O54" i="17"/>
  <c r="A6" i="17"/>
  <c r="Q35" i="17" l="1"/>
  <c r="Q31" i="17"/>
  <c r="Q32" i="17"/>
  <c r="Q28" i="17"/>
  <c r="Q36" i="17"/>
  <c r="Q50" i="17"/>
  <c r="Q21" i="17"/>
  <c r="Q16" i="17"/>
  <c r="Q25" i="17"/>
  <c r="Q24" i="17"/>
  <c r="Q11" i="17"/>
  <c r="Q27" i="17"/>
  <c r="Q26" i="17"/>
  <c r="Q18" i="17"/>
  <c r="Q33" i="17"/>
  <c r="Q29" i="17"/>
  <c r="Q42" i="17"/>
  <c r="Q34" i="17"/>
  <c r="Q30" i="17"/>
  <c r="M59" i="17"/>
  <c r="N59" i="17" s="1" a="1"/>
  <c r="N59" i="17" s="1"/>
  <c r="Q53" i="17"/>
  <c r="Q59" i="17"/>
  <c r="Q55" i="17"/>
  <c r="Q43" i="17"/>
  <c r="Q58" i="17"/>
  <c r="Q51" i="17"/>
  <c r="Q57" i="17"/>
  <c r="M58" i="17"/>
  <c r="N58" i="17" s="1" a="1"/>
  <c r="N58" i="17" s="1"/>
  <c r="Q41" i="17"/>
  <c r="Q39" i="17"/>
  <c r="Q49" i="17"/>
  <c r="Q38" i="17"/>
  <c r="Q44" i="17"/>
  <c r="Q40" i="17"/>
  <c r="Q47" i="17"/>
  <c r="Q37" i="17"/>
  <c r="Q10" i="17"/>
  <c r="Q45" i="17"/>
  <c r="Q12" i="17"/>
  <c r="Q46" i="17"/>
  <c r="Q9" i="17"/>
  <c r="Q48" i="17"/>
  <c r="Q17" i="17"/>
  <c r="Q14" i="17"/>
  <c r="Q15" i="17"/>
  <c r="Q22" i="17"/>
  <c r="Q23" i="17"/>
  <c r="Q19" i="17"/>
  <c r="P54" i="17"/>
  <c r="AO54" i="17"/>
  <c r="D6" i="17"/>
  <c r="M56" i="17" s="1"/>
  <c r="N56" i="17" s="1" a="1"/>
  <c r="N56" i="17" s="1"/>
  <c r="C6" i="17"/>
  <c r="Q56" i="17" s="1"/>
  <c r="O57" i="17"/>
  <c r="O49" i="17"/>
  <c r="M57" i="17"/>
  <c r="N57" i="17" s="1" a="1"/>
  <c r="N57" i="17" s="1"/>
  <c r="M25" i="17"/>
  <c r="N25" i="17" s="1" a="1"/>
  <c r="N25" i="17" s="1"/>
  <c r="O41" i="17"/>
  <c r="O44" i="17"/>
  <c r="O25" i="17"/>
  <c r="O27" i="17"/>
  <c r="M27" i="17"/>
  <c r="N27" i="17" s="1" a="1"/>
  <c r="N27" i="17" s="1"/>
  <c r="O36" i="17"/>
  <c r="M49" i="17"/>
  <c r="N49" i="17" s="1" a="1"/>
  <c r="N49" i="17" s="1"/>
  <c r="O50" i="17"/>
  <c r="O56" i="17"/>
  <c r="O53" i="17"/>
  <c r="M53" i="17"/>
  <c r="N53" i="17" s="1" a="1"/>
  <c r="N53" i="17" s="1"/>
  <c r="O34" i="17"/>
  <c r="O9" i="17"/>
  <c r="AO9" i="17" s="1"/>
  <c r="O28" i="17"/>
  <c r="M28" i="17"/>
  <c r="N28" i="17" s="1" a="1"/>
  <c r="N28" i="17" s="1"/>
  <c r="M55" i="17"/>
  <c r="N55" i="17" s="1" a="1"/>
  <c r="N55" i="17" s="1"/>
  <c r="M31" i="17"/>
  <c r="N31" i="17" s="1" a="1"/>
  <c r="N31" i="17" s="1"/>
  <c r="M34" i="17"/>
  <c r="N34" i="17" s="1" a="1"/>
  <c r="N34" i="17" s="1"/>
  <c r="O31" i="17"/>
  <c r="O20" i="17"/>
  <c r="O21" i="17"/>
  <c r="M21" i="17"/>
  <c r="N21" i="17" s="1" a="1"/>
  <c r="N21" i="17" s="1"/>
  <c r="O30" i="17"/>
  <c r="M30" i="17"/>
  <c r="N30" i="17" s="1" a="1"/>
  <c r="N30" i="17" s="1"/>
  <c r="M44" i="17"/>
  <c r="N44" i="17" s="1" a="1"/>
  <c r="N44" i="17" s="1"/>
  <c r="O43" i="17"/>
  <c r="M43" i="17"/>
  <c r="N43" i="17" s="1" a="1"/>
  <c r="N43" i="17" s="1"/>
  <c r="O40" i="17"/>
  <c r="M40" i="17"/>
  <c r="N40" i="17" s="1" a="1"/>
  <c r="N40" i="17" s="1"/>
  <c r="O48" i="17"/>
  <c r="O51" i="17"/>
  <c r="M36" i="17"/>
  <c r="O52" i="17"/>
  <c r="M54" i="17"/>
  <c r="M50" i="17"/>
  <c r="N50" i="17" s="1" a="1"/>
  <c r="N50" i="17" s="1"/>
  <c r="M41" i="17"/>
  <c r="N41" i="17" s="1" a="1"/>
  <c r="N41" i="17" s="1"/>
  <c r="M48" i="17"/>
  <c r="N48" i="17" s="1" a="1"/>
  <c r="N48" i="17" s="1"/>
  <c r="M51" i="17"/>
  <c r="N51" i="17" s="1" a="1"/>
  <c r="N51" i="17" s="1"/>
  <c r="O55" i="17"/>
  <c r="M37" i="17"/>
  <c r="N37" i="17" s="1" a="1"/>
  <c r="N37" i="17" s="1"/>
  <c r="M39" i="17"/>
  <c r="N39" i="17" s="1" a="1"/>
  <c r="N39" i="17" s="1"/>
  <c r="O37" i="17"/>
  <c r="O39" i="17"/>
  <c r="O38" i="17"/>
  <c r="M38" i="17"/>
  <c r="N38" i="17" s="1" a="1"/>
  <c r="N38" i="17" s="1"/>
  <c r="M9" i="17"/>
  <c r="N9" i="17" s="1" a="1"/>
  <c r="N9" i="17" s="1"/>
  <c r="O32" i="17"/>
  <c r="M32" i="17"/>
  <c r="N32" i="17" s="1" a="1"/>
  <c r="N32" i="17" s="1"/>
  <c r="O33" i="17"/>
  <c r="O12" i="17"/>
  <c r="M33" i="17"/>
  <c r="M12" i="17"/>
  <c r="N12" i="17" s="1" a="1"/>
  <c r="N12" i="17" s="1"/>
  <c r="O19" i="17"/>
  <c r="M19" i="17"/>
  <c r="N19" i="17" s="1" a="1"/>
  <c r="N19" i="17" s="1"/>
  <c r="O18" i="17"/>
  <c r="M18" i="17"/>
  <c r="N18" i="17" s="1" a="1"/>
  <c r="N18" i="17" s="1"/>
  <c r="O10" i="17"/>
  <c r="O23" i="17"/>
  <c r="O26" i="17"/>
  <c r="O24" i="17"/>
  <c r="O22" i="17"/>
  <c r="M23" i="17"/>
  <c r="N23" i="17" s="1" a="1"/>
  <c r="N23" i="17" s="1"/>
  <c r="M26" i="17"/>
  <c r="N26" i="17" s="1" a="1"/>
  <c r="N26" i="17" s="1"/>
  <c r="M24" i="17"/>
  <c r="N24" i="17" s="1" a="1"/>
  <c r="N24" i="17" s="1"/>
  <c r="M22" i="17"/>
  <c r="N22" i="17" s="1" a="1"/>
  <c r="N22" i="17" s="1"/>
  <c r="O15" i="17"/>
  <c r="O14" i="17"/>
  <c r="M15" i="17"/>
  <c r="N15" i="17" s="1" a="1"/>
  <c r="N15" i="17" s="1"/>
  <c r="M14" i="17"/>
  <c r="N14" i="17" s="1" a="1"/>
  <c r="N14" i="17" s="1"/>
  <c r="O17" i="17"/>
  <c r="M10" i="17"/>
  <c r="N10" i="17" s="1" a="1"/>
  <c r="N10" i="17" s="1"/>
  <c r="M17" i="17"/>
  <c r="N17" i="17" s="1" a="1"/>
  <c r="N17" i="17" s="1"/>
  <c r="O11" i="17"/>
  <c r="M11" i="17"/>
  <c r="M47" i="17"/>
  <c r="N47" i="17" s="1" a="1"/>
  <c r="N47" i="17" s="1"/>
  <c r="O47" i="17"/>
  <c r="Q52" i="17" l="1"/>
  <c r="M52" i="17"/>
  <c r="N52" i="17" s="1" a="1"/>
  <c r="N52" i="17" s="1"/>
  <c r="M20" i="17"/>
  <c r="N20" i="17" s="1" a="1"/>
  <c r="N20" i="17" s="1"/>
  <c r="Q20" i="17"/>
  <c r="P57" i="17"/>
  <c r="AO57" i="17"/>
  <c r="P49" i="17"/>
  <c r="AO49" i="17"/>
  <c r="P41" i="17"/>
  <c r="AO41" i="17"/>
  <c r="P44" i="17"/>
  <c r="AO44" i="17"/>
  <c r="P25" i="17"/>
  <c r="AO25" i="17"/>
  <c r="P27" i="17"/>
  <c r="AO27" i="17"/>
  <c r="P36" i="17"/>
  <c r="AO36" i="17"/>
  <c r="P50" i="17"/>
  <c r="AO50" i="17"/>
  <c r="P56" i="17"/>
  <c r="AO56" i="17"/>
  <c r="P53" i="17"/>
  <c r="AO53" i="17"/>
  <c r="P34" i="17"/>
  <c r="AO34" i="17"/>
  <c r="P28" i="17"/>
  <c r="AO28" i="17"/>
  <c r="P31" i="17"/>
  <c r="AO31" i="17"/>
  <c r="P20" i="17"/>
  <c r="AO20" i="17"/>
  <c r="P21" i="17"/>
  <c r="AO21" i="17"/>
  <c r="P30" i="17"/>
  <c r="AO30" i="17"/>
  <c r="P43" i="17"/>
  <c r="AO43" i="17"/>
  <c r="P40" i="17"/>
  <c r="AO40" i="17"/>
  <c r="P48" i="17"/>
  <c r="AO48" i="17"/>
  <c r="P51" i="17"/>
  <c r="AO51" i="17"/>
  <c r="P52" i="17"/>
  <c r="AO52" i="17"/>
  <c r="P55" i="17"/>
  <c r="AO55" i="17"/>
  <c r="P37" i="17"/>
  <c r="AO37" i="17"/>
  <c r="P39" i="17"/>
  <c r="AO39" i="17"/>
  <c r="P38" i="17"/>
  <c r="AO38" i="17"/>
  <c r="P32" i="17"/>
  <c r="AO32" i="17"/>
  <c r="P33" i="17"/>
  <c r="AO33" i="17"/>
  <c r="P12" i="17"/>
  <c r="AO12" i="17"/>
  <c r="P19" i="17"/>
  <c r="AO19" i="17"/>
  <c r="P18" i="17"/>
  <c r="AO18" i="17"/>
  <c r="P10" i="17"/>
  <c r="AO10" i="17"/>
  <c r="P23" i="17"/>
  <c r="AO23" i="17"/>
  <c r="P26" i="17"/>
  <c r="AO26" i="17"/>
  <c r="P24" i="17"/>
  <c r="AO24" i="17"/>
  <c r="P22" i="17"/>
  <c r="AO22" i="17"/>
  <c r="P15" i="17"/>
  <c r="AO15" i="17"/>
  <c r="P14" i="17"/>
  <c r="AO14" i="17"/>
  <c r="P17" i="17"/>
  <c r="AO17" i="17"/>
  <c r="P11" i="17"/>
  <c r="AO11" i="17"/>
  <c r="P47" i="17"/>
  <c r="AO47" i="17"/>
  <c r="P9" i="17"/>
  <c r="M45" i="17"/>
  <c r="N45" i="17" s="1" a="1"/>
  <c r="N45" i="17" s="1"/>
  <c r="O45" i="17"/>
  <c r="O42" i="17"/>
  <c r="M42" i="17"/>
  <c r="N42" i="17" s="1" a="1"/>
  <c r="N42" i="17" s="1"/>
  <c r="M35" i="17"/>
  <c r="N35" i="17" s="1" a="1"/>
  <c r="N35" i="17" s="1"/>
  <c r="O35" i="17"/>
  <c r="O29" i="17"/>
  <c r="M29" i="17"/>
  <c r="N29" i="17" s="1" a="1"/>
  <c r="N29" i="17" s="1"/>
  <c r="O13" i="17"/>
  <c r="M13" i="17"/>
  <c r="N13" i="17" s="1" a="1"/>
  <c r="N13" i="17" s="1"/>
  <c r="M46" i="17"/>
  <c r="N46" i="17" s="1" a="1"/>
  <c r="N46" i="17" s="1"/>
  <c r="O46" i="17"/>
  <c r="O16" i="17"/>
  <c r="M16" i="17"/>
  <c r="N16" i="17" s="1" a="1"/>
  <c r="N16" i="17" s="1"/>
  <c r="N33" i="17" a="1"/>
  <c r="N33" i="17" s="1"/>
  <c r="N11" i="17" a="1"/>
  <c r="N11" i="17" s="1"/>
  <c r="N36" i="17" a="1"/>
  <c r="N36" i="17" s="1"/>
  <c r="N54" i="17" a="1"/>
  <c r="N54" i="17" s="1"/>
  <c r="P45" i="17" l="1"/>
  <c r="AO45" i="17"/>
  <c r="P42" i="17"/>
  <c r="AO42" i="17"/>
  <c r="P35" i="17"/>
  <c r="AO35" i="17"/>
  <c r="P29" i="17"/>
  <c r="AO29" i="17"/>
  <c r="P13" i="17"/>
  <c r="AO13" i="17"/>
  <c r="P46" i="17"/>
  <c r="AO46" i="17"/>
  <c r="P16" i="17"/>
  <c r="AO16" i="17"/>
  <c r="AS13" i="17"/>
  <c r="AS11" i="17"/>
  <c r="AS12" i="17"/>
  <c r="AS10" i="17"/>
  <c r="AS9" i="17"/>
  <c r="AR11" i="18"/>
  <c r="AR15" i="18"/>
  <c r="AR12" i="18"/>
  <c r="AR10" i="18"/>
  <c r="AR16" i="18"/>
  <c r="AR14" i="18"/>
  <c r="AR13" i="18"/>
  <c r="AR9" i="18"/>
  <c r="AS9" i="18" l="1"/>
  <c r="AS14" i="18"/>
  <c r="AS13" i="18"/>
  <c r="AS16" i="18"/>
  <c r="AS11" i="18"/>
  <c r="AS15" i="18"/>
  <c r="AS10" i="18"/>
  <c r="AS1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<sst xmlns="http://schemas.openxmlformats.org/spreadsheetml/2006/main" count="10847" uniqueCount="572">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</sst>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0" fontId="7" fillId="14" borderId="0" xfId="0" applyFont="1" applyFill="1" applyBorder="1"/>
    <xf numFmtId="14" fontId="7" fillId="14" borderId="0" xfId="0" applyNumberFormat="1" applyFont="1" applyFill="1" applyBorder="1"/>
    <xf numFmtId="14" fontId="5" fillId="3" borderId="15" xfId="0" applyNumberFormat="1" applyFont="1" applyFill="1" applyBorder="1"/>
  </cellXfs>
  <cellStyles count="2">
    <cellStyle name="Normal" xfId="0" builtinId="0"/>
    <cellStyle name="Porcentaje" xfId="1" builtinId="5"/>
  </cellStyles>
  <dxfs count="749"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48"/>
    </tableStyle>
    <tableStyle name="Estilo de tabla dinámica 2" table="0" count="1" xr9:uid="{9E60CF16-845A-4669-9AA4-E5ACD7B8B1A8}">
      <tableStyleElement type="headerRow" dxfId="747"/>
    </tableStyle>
    <tableStyle name="Estilo de tabla dinámica 3" table="0" count="1" xr9:uid="{A9F08836-5681-4078-A387-711930301837}">
      <tableStyleElement type="headerRow" dxfId="74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4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44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43"/>
    <tableColumn id="9" xr3:uid="{AAABF626-1A15-4E7A-A444-7423611F1BB2}" name="FECHA DE INGRESO" dataDxfId="742"/>
    <tableColumn id="10" xr3:uid="{CACFA6D6-8D93-432C-AAD6-E9CBF58F5197}" name="ESTADO" dataDxfId="7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S79" totalsRowShown="0" headerRowDxfId="740" headerRowBorderDxfId="739" tableBorderDxfId="738">
  <autoFilter ref="M8:S79" xr:uid="{F9313B9F-39C6-4A12-8F5B-FED5B42DCC51}"/>
  <tableColumns count="7">
    <tableColumn id="2" xr3:uid="{8AB5D9E7-4408-4FC9-BFF6-A0452692116C}" name="AL_AC" dataDxfId="737"/>
    <tableColumn id="3" xr3:uid="{16F39E06-76AE-43AD-903E-9F641E37CB06}" name="CLASIFICACIÓN" dataDxfId="736"/>
    <tableColumn id="1" xr3:uid="{EEB18830-CD66-4BAC-81C5-B5940467DF41}" name="SUPERVISOR" dataDxfId="735"/>
    <tableColumn id="6" xr3:uid="{087774B2-9699-454D-B0E9-E9D62B239262}" name="RECUPERO" dataDxfId="734"/>
    <tableColumn id="7" xr3:uid="{B938E452-5678-4623-B9AD-47B290EB3B56}" name="META" dataDxfId="733"/>
    <tableColumn id="5" xr3:uid="{A39094CA-883F-4450-A53A-370F0AE54B0C}" name="ASER_" dataDxfId="732"/>
    <tableColumn id="4" xr3:uid="{00CF892C-802F-4B74-8714-2C45F4DEAD73}" name="CARTERA ASESOR" dataDxfId="7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U8:AU15" totalsRowShown="0" headerRowDxfId="730" dataDxfId="728" headerRowBorderDxfId="729" tableBorderDxfId="727" totalsRowBorderDxfId="726">
  <autoFilter ref="U8:AU15" xr:uid="{E6812878-A002-44BE-A5F5-A1BD7B73CAE8}"/>
  <tableColumns count="27">
    <tableColumn id="5" xr3:uid="{D940A1C4-A356-4E96-973D-81CE0B6B74AF}" name="META SUPER" dataDxfId="725"/>
    <tableColumn id="1" xr3:uid="{5A7C4C9C-3E71-483D-9C6F-3AFA18F0B768}" name="RECUPERO SUPERVISOR" dataDxfId="724"/>
    <tableColumn id="2" xr3:uid="{1DBABE23-BC0D-4016-A3DE-102C34B93437}" name="ALCANCE SUPERVISOR" dataDxfId="723"/>
    <tableColumn id="4" xr3:uid="{AAFE5F6A-D443-4B76-896C-3012A63A21B1}" name="SUPER" dataDxfId="722"/>
    <tableColumn id="6" xr3:uid="{CAC1468E-FE7F-46E8-8FA8-2EBFE78F55CF}" name="2" dataDxfId="721"/>
    <tableColumn id="7" xr3:uid="{2C1F1DCC-5615-43E9-8493-73A6B92A7B8C}" name="3" dataDxfId="720"/>
    <tableColumn id="8" xr3:uid="{CB1DD332-E0A5-4BEF-8B71-8820CA4A145B}" name="6" dataDxfId="719"/>
    <tableColumn id="9" xr3:uid="{1BB0DD4F-A73A-4F8E-93FB-252CA932D637}" name="7" dataDxfId="718"/>
    <tableColumn id="10" xr3:uid="{F4A27082-EDDE-411F-B0E7-C50309499B06}" name="8" dataDxfId="717"/>
    <tableColumn id="11" xr3:uid="{DDC3545E-22B2-4DEC-A217-59650C8BAC95}" name="9" dataDxfId="716"/>
    <tableColumn id="12" xr3:uid="{F4B5BD15-E4EF-4A2E-9071-FE5F69E48F1F}" name="10" dataDxfId="715"/>
    <tableColumn id="13" xr3:uid="{BB490521-3D08-4C83-9065-B52FD273A638}" name="13" dataDxfId="714"/>
    <tableColumn id="14" xr3:uid="{1DE13FA2-B93D-487E-A105-3A5622C997DE}" name="14" dataDxfId="713"/>
    <tableColumn id="15" xr3:uid="{6273FFBE-FC81-40C7-91CB-E95ECAD8BE5D}" name="15" dataDxfId="712"/>
    <tableColumn id="16" xr3:uid="{35253537-0DA1-45D4-B9A3-D1CBC6E92B8B}" name="16" dataDxfId="711"/>
    <tableColumn id="17" xr3:uid="{4BF3707C-841F-4140-B63C-5B47863B4CA4}" name="17" dataDxfId="710"/>
    <tableColumn id="18" xr3:uid="{1F7B79C3-A22C-49D8-9C1F-629E6C41B955}" name="20" dataDxfId="709"/>
    <tableColumn id="19" xr3:uid="{361B16CF-A887-4C9E-88B3-E8A7F4F314B0}" name="21" dataDxfId="708"/>
    <tableColumn id="20" xr3:uid="{9B3EDA9C-6CB0-4D9F-965A-6EB0593C19D9}" name="22" dataDxfId="707"/>
    <tableColumn id="21" xr3:uid="{B02655DA-D4F9-4926-88A4-5E8B2F4DF911}" name="23" dataDxfId="706"/>
    <tableColumn id="22" xr3:uid="{43854B99-1BF7-4DF3-8A04-A277447DE3B8}" name="24" dataDxfId="705"/>
    <tableColumn id="23" xr3:uid="{CAC2F677-42BD-4EFA-8E99-ABA2036DAF56}" name="27" dataDxfId="704"/>
    <tableColumn id="24" xr3:uid="{20489B5B-5885-4E43-B5F0-4EAAEE4E8EB8}" name="28" dataDxfId="703"/>
    <tableColumn id="25" xr3:uid="{B4D29A08-5206-4DCD-AF4C-9B7ABB8D3CFF}" name="29" dataDxfId="702"/>
    <tableColumn id="26" xr3:uid="{7B49DBDA-317E-4CFB-B7FA-841DFC27E42B}" name="30" dataDxfId="701"/>
    <tableColumn id="27" xr3:uid="{0126152E-7354-43DB-A75E-4841194C453D}" name="31" dataDxfId="700"/>
    <tableColumn id="3" xr3:uid="{93315C06-D400-4502-BDDD-AC5886091EC6}" name="CARTERA" dataDxfId="6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69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97"/>
    <tableColumn id="5" xr3:uid="{44178C41-B41B-4820-A8E8-222FE453335F}" name="ASESOR" dataDxfId="696"/>
    <tableColumn id="6" xr3:uid="{AC6EB590-A7E8-408F-A892-A1851BCCF0B5}" name="RECUPERO"/>
    <tableColumn id="8" xr3:uid="{9B60B527-D768-46F8-BB97-824B255159D2}" name="DNI" dataDxfId="695"/>
    <tableColumn id="9" xr3:uid="{BDF8C571-22FC-498B-99CF-8D578B086437}" name="FECHA DE INGRESO" dataDxfId="694"/>
    <tableColumn id="10" xr3:uid="{4A0E2A05-69C0-48C2-B0D3-4D952F052DB2}" name="ESTADO" dataDxfId="6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692" headerRowBorderDxfId="691" tableBorderDxfId="690">
  <autoFilter ref="M8:S78" xr:uid="{89A51909-AC95-49E8-8345-D544ACD1F830}"/>
  <tableColumns count="7">
    <tableColumn id="2" xr3:uid="{DAC112DC-4F95-46E1-A307-6AA9F60DB951}" name="AL_AC" dataDxfId="689"/>
    <tableColumn id="3" xr3:uid="{AE4A1FA5-3083-4CA4-B657-D2D0F2E20004}" name="CLASIFICACIÓN" dataDxfId="688"/>
    <tableColumn id="1" xr3:uid="{16B2CCFD-0F54-4846-AA70-4C06CEC9176C}" name="SUPERVISOR" dataDxfId="687"/>
    <tableColumn id="6" xr3:uid="{2DE1A6CE-7493-4B20-83EE-59078393B5AF}" name="RECUPERO" dataDxfId="686"/>
    <tableColumn id="7" xr3:uid="{24FB90FB-A888-41AB-9B19-627A74DA2062}" name="META" dataDxfId="685"/>
    <tableColumn id="5" xr3:uid="{E6A5C563-3502-4EF4-8D06-C88816E905A8}" name="ASER_" dataDxfId="684"/>
    <tableColumn id="4" xr3:uid="{1AB4C76D-3918-4961-B05E-216E9D0F2A8C}" name="CARTERA ASESOR" dataDxfId="68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82" dataDxfId="680" headerRowBorderDxfId="681" tableBorderDxfId="679" totalsRowBorderDxfId="678">
  <autoFilter ref="U8:AS15" xr:uid="{E527C2E2-32E2-49CA-9D9E-F70EC25D5514}"/>
  <tableColumns count="25">
    <tableColumn id="5" xr3:uid="{27DAF7E5-964C-4280-AB26-7715BE71CF28}" name="META SUPER" dataDxfId="677"/>
    <tableColumn id="1" xr3:uid="{C46409A5-9201-4E30-A3EB-7B6FC2DAF473}" name="RECUPERO SUPERVISOR" dataDxfId="676"/>
    <tableColumn id="2" xr3:uid="{445C2C89-5F44-46FD-8C70-EF4EE30F232E}" name="ALCANCE SUPERVISOR" dataDxfId="675"/>
    <tableColumn id="4" xr3:uid="{55D4E2C7-B609-4C8C-A5DE-AABFFD74BEB8}" name="SUPER" dataDxfId="674"/>
    <tableColumn id="6" xr3:uid="{29925D04-B597-415A-B40B-62A3FBA8B23D}" name="3" dataDxfId="673"/>
    <tableColumn id="7" xr3:uid="{31865A72-E634-4CB8-8660-811FA8147632}" name="4" dataDxfId="672"/>
    <tableColumn id="8" xr3:uid="{C70A98A0-1CB0-425B-975B-D4464009CDD0}" name="5" dataDxfId="671"/>
    <tableColumn id="9" xr3:uid="{F56CF612-0AA5-44CB-878D-FA59D84052AD}" name="6" dataDxfId="670"/>
    <tableColumn id="10" xr3:uid="{3CC1D48D-8A84-4931-841A-8283B47C8687}" name="7" dataDxfId="669"/>
    <tableColumn id="11" xr3:uid="{A6DAF4DF-EAFF-47AB-9A6F-0B2896AE1A18}" name="10" dataDxfId="668"/>
    <tableColumn id="12" xr3:uid="{3DC03FF0-BAC6-4F5D-B5DE-18A95E2C1B97}" name="11" dataDxfId="667"/>
    <tableColumn id="13" xr3:uid="{A90729AA-CC5E-4236-924F-A736B7A4BE93}" name="12" dataDxfId="666"/>
    <tableColumn id="14" xr3:uid="{B48B5FF0-5C49-4DDC-AC33-B45D349AD044}" name="13" dataDxfId="665"/>
    <tableColumn id="15" xr3:uid="{D36E617E-0BBB-4BC1-BBF1-EB24E3C2CE90}" name="14" dataDxfId="664"/>
    <tableColumn id="16" xr3:uid="{BD346F05-FCC2-4EA9-8F0F-B55AB2E68BE0}" name="17" dataDxfId="663"/>
    <tableColumn id="17" xr3:uid="{F5BB9730-A5AE-4489-9CB0-182052BA6557}" name="18" dataDxfId="662"/>
    <tableColumn id="18" xr3:uid="{B3DEF063-7A67-4F08-9D09-8310B4B64F2B}" name="19" dataDxfId="661"/>
    <tableColumn id="19" xr3:uid="{558BE332-1E67-4EF7-9FF1-541A019A7066}" name="20" dataDxfId="660"/>
    <tableColumn id="20" xr3:uid="{073BAAB2-EF92-4A82-B7FE-8339FF3A62EA}" name="21" dataDxfId="659"/>
    <tableColumn id="21" xr3:uid="{6EC9D118-EB0A-4FDC-A694-0A630EB1048E}" name="24" dataDxfId="658"/>
    <tableColumn id="22" xr3:uid="{DFF298CB-C24B-4F90-BD14-F99C28391208}" name="25" dataDxfId="657"/>
    <tableColumn id="23" xr3:uid="{7EF0365B-2B81-4022-84F3-7A3859D35934}" name="26" dataDxfId="656"/>
    <tableColumn id="24" xr3:uid="{D92D6A29-5A30-4405-A019-D7F8F39E4176}" name="27" dataDxfId="655"/>
    <tableColumn id="25" xr3:uid="{9BFA1186-4A61-452A-8EAC-4FE410743029}" name="28" dataDxfId="654"/>
    <tableColumn id="3" xr3:uid="{5EBD9DD4-78E3-4E78-8FD5-A71A2DE2CBE8}" name="CARTERA" dataDxfId="6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5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51"/>
    <tableColumn id="5" xr3:uid="{C9BC0167-A73A-4B66-AB0E-BCC22F3CD7BF}" name="ASESOR" dataDxfId="650"/>
    <tableColumn id="6" xr3:uid="{32E44CF1-7B46-45AA-916C-7D5322097EFD}" name="RECUPERO"/>
    <tableColumn id="8" xr3:uid="{5504CD70-2376-413C-9DD9-7E1FC1D78F37}" name="DNI" dataDxfId="649"/>
    <tableColumn id="9" xr3:uid="{27659D49-6FC1-457B-BF33-A19DBF78CDF2}" name="FECHA DE INGRESO" dataDxfId="648"/>
    <tableColumn id="10" xr3:uid="{79E50096-FDE3-4403-8568-FF008447BCC2}" name="ESTADO" dataDxfId="6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46" headerRowBorderDxfId="645" tableBorderDxfId="644">
  <autoFilter ref="M8:S80" xr:uid="{46A1AC28-8F5A-449B-BE41-0BD3EA45E5F4}"/>
  <tableColumns count="7">
    <tableColumn id="2" xr3:uid="{291F0275-242F-4948-BE64-7F8C6727586A}" name="AL_AC" dataDxfId="643"/>
    <tableColumn id="3" xr3:uid="{6050B278-B3D2-4B4C-8475-D701C9B8AB17}" name="CLASIFICACIÓN" dataDxfId="642"/>
    <tableColumn id="1" xr3:uid="{A94CCC19-556A-4124-8949-24896CDBE45E}" name="SUPERVISOR" dataDxfId="641"/>
    <tableColumn id="6" xr3:uid="{EBBFD24C-8909-45B0-B8CB-4ED73B62F2AB}" name="RECUPERO" dataDxfId="640"/>
    <tableColumn id="7" xr3:uid="{D5702432-6067-40C7-B647-63D5EBDD13C2}" name="META" dataDxfId="639"/>
    <tableColumn id="5" xr3:uid="{40A208DF-2D8B-4D71-B923-6BFFA76CDA11}" name="ASER_" dataDxfId="638"/>
    <tableColumn id="4" xr3:uid="{5C22BA9B-EF5A-4F33-AE74-A82170985C85}" name="CARTERA ASESOR" dataDxfId="6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36" dataDxfId="634" headerRowBorderDxfId="635" tableBorderDxfId="633" totalsRowBorderDxfId="632">
  <autoFilter ref="U8:AT15" xr:uid="{58377685-C18F-4F73-9CAA-BD0654B19E94}"/>
  <tableColumns count="26">
    <tableColumn id="5" xr3:uid="{9B6AA382-98FA-4EBD-A213-DB4460B552CB}" name="META SUPER" dataDxfId="631"/>
    <tableColumn id="1" xr3:uid="{23B67F77-728E-46C0-B5B1-11CE8E08D862}" name="RECUPERO SUPERVISOR" dataDxfId="630"/>
    <tableColumn id="2" xr3:uid="{0BAE08AE-6A16-447E-9DDD-8800D68BFFA3}" name="ALCANCE SUPERVISOR" dataDxfId="629"/>
    <tableColumn id="4" xr3:uid="{663301EA-2B77-4C76-B8E0-713CAAD1AC41}" name="SUPER" dataDxfId="628"/>
    <tableColumn id="6" xr3:uid="{9A6FEB31-48E4-456F-8C1F-14055131E9D6}" name="3" dataDxfId="627"/>
    <tableColumn id="7" xr3:uid="{B8154FAF-39D2-4ED9-8DD7-C179156ECA39}" name="4" dataDxfId="626"/>
    <tableColumn id="8" xr3:uid="{E58A14C1-44D1-46A4-9137-21E70261FA76}" name="5" dataDxfId="625"/>
    <tableColumn id="9" xr3:uid="{EFDA2093-809C-4DA2-80F9-0388CCC5E290}" name="6" dataDxfId="624"/>
    <tableColumn id="10" xr3:uid="{634CF5F0-F36D-4B26-8143-8C3A6FB59216}" name="7" dataDxfId="623"/>
    <tableColumn id="11" xr3:uid="{77A0553B-7BDF-49B7-B459-701A77496BEA}" name="10" dataDxfId="622"/>
    <tableColumn id="12" xr3:uid="{5EFD93D5-61E2-4104-88B4-214E61D06A6D}" name="11" dataDxfId="621"/>
    <tableColumn id="13" xr3:uid="{C6D91E97-E16B-4E76-BE55-A08C2A1131DD}" name="12" dataDxfId="620"/>
    <tableColumn id="14" xr3:uid="{2A5F1078-A097-4171-BD28-7B9B623471D0}" name="13" dataDxfId="619"/>
    <tableColumn id="15" xr3:uid="{5E883D61-775A-4AD4-A304-156DCFD9F825}" name="14" dataDxfId="618"/>
    <tableColumn id="16" xr3:uid="{BEFB5788-590D-4EFA-8707-20BAAF7026F1}" name="17" dataDxfId="617"/>
    <tableColumn id="17" xr3:uid="{8FC06E69-FAE9-4DBE-9C75-7A6598DE29C6}" name="18" dataDxfId="616"/>
    <tableColumn id="18" xr3:uid="{966EC934-1D25-407E-AE13-8147AC3FF531}" name="19" dataDxfId="615"/>
    <tableColumn id="19" xr3:uid="{5437FF24-6F5D-412D-82EE-8C668C7DC853}" name="20" dataDxfId="614"/>
    <tableColumn id="20" xr3:uid="{204A7CBC-2C07-4027-851F-021033B930C1}" name="21" dataDxfId="613"/>
    <tableColumn id="21" xr3:uid="{DF491418-AC74-4C6A-852F-F0797487D11C}" name="24" dataDxfId="612"/>
    <tableColumn id="22" xr3:uid="{E184F0A4-EF1A-48F5-8166-10085FC40D13}" name="25" dataDxfId="611"/>
    <tableColumn id="23" xr3:uid="{66C12B87-BC6D-46BE-AF31-D0C68A22BC7E}" name="26" dataDxfId="610"/>
    <tableColumn id="24" xr3:uid="{A2DB9C74-4CB6-4BBF-A230-DF50FDE9380D}" name="27" dataDxfId="609"/>
    <tableColumn id="25" xr3:uid="{D54E02BE-AA16-43C7-ABD3-89326740EA63}" name="28" dataDxfId="608"/>
    <tableColumn id="26" xr3:uid="{11172EA7-856A-4297-8329-62917B649E9A}" name="31" dataDxfId="607"/>
    <tableColumn id="3" xr3:uid="{42C6AD34-2DFF-436B-BB22-6DE170226F44}" name="CARTERA" dataDxfId="6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0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04"/>
    <tableColumn id="5" xr3:uid="{D789E66F-CC8C-4715-A998-7AE532E85E8A}" name="ASESOR" dataDxfId="603"/>
    <tableColumn id="6" xr3:uid="{3455DB8A-5A64-4A8F-8153-2471763CA60D}" name="RECUPERO"/>
    <tableColumn id="8" xr3:uid="{F8575E1F-78C1-4E15-B505-1AECE8857345}" name="DNI" dataDxfId="602"/>
    <tableColumn id="9" xr3:uid="{BE130F2A-9B67-45D5-AA49-051D2F0A515B}" name="FECHA DE INGRESO" dataDxfId="601"/>
    <tableColumn id="10" xr3:uid="{31096FEC-094E-478E-A9F3-0023192798F0}" name="ESTADO" dataDxfId="6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599" headerRowBorderDxfId="598" tableBorderDxfId="597">
  <autoFilter ref="M8:S75" xr:uid="{4A270262-D445-41EE-9E8E-99052505C698}"/>
  <tableColumns count="7">
    <tableColumn id="2" xr3:uid="{ED28E462-F988-4D79-8917-612828B3B45E}" name="AL_AC" dataDxfId="596"/>
    <tableColumn id="3" xr3:uid="{1B1E8B7A-D562-46FD-89DE-12ADBC7146F2}" name="CLASIFICACIÓN" dataDxfId="595"/>
    <tableColumn id="1" xr3:uid="{B2C9AE52-4849-4DBA-83AD-3E350CC25C2D}" name="SUPERVISOR" dataDxfId="594"/>
    <tableColumn id="6" xr3:uid="{9C2D93B7-85A2-4E07-8DD4-3C81F7BF7EBF}" name="RECUPERO" dataDxfId="593"/>
    <tableColumn id="7" xr3:uid="{8F4173FF-BB8D-4C61-A5E9-1B6F872C619C}" name="META" dataDxfId="592"/>
    <tableColumn id="5" xr3:uid="{64151D2C-B822-41DF-8964-343214960730}" name="ASER_" dataDxfId="591"/>
    <tableColumn id="4" xr3:uid="{95AC6194-DE3F-4A47-94E1-2EB32D1B2DAF}" name="CARTERA ASESOR" dataDxfId="59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589" dataDxfId="587" headerRowBorderDxfId="588" tableBorderDxfId="586" totalsRowBorderDxfId="585">
  <autoFilter ref="U8:AS16" xr:uid="{91037D17-6E76-48A2-93CB-F090733274F3}"/>
  <tableColumns count="25">
    <tableColumn id="5" xr3:uid="{F0D5233F-ED84-4824-B218-63AAB5DF69A8}" name="META SUPER" dataDxfId="584"/>
    <tableColumn id="1" xr3:uid="{56AD13BC-F67F-4EBC-8601-073AD9D41E5D}" name="RECUPERO SUPERVISOR" dataDxfId="583"/>
    <tableColumn id="2" xr3:uid="{B40C8394-DA7A-4DDD-89EA-AE757C76DD20}" name="ALCANCE SUPERVISOR" dataDxfId="582"/>
    <tableColumn id="4" xr3:uid="{B71408F8-B985-4B11-8661-52EFC6FA8097}" name="SUPER" dataDxfId="581"/>
    <tableColumn id="6" xr3:uid="{9E37ADBB-A64C-4E4B-9AF4-6087C797FB5E}" name="1" dataDxfId="580"/>
    <tableColumn id="7" xr3:uid="{09E3EE83-45B5-4808-842B-71D4652DE46A}" name="2" dataDxfId="579"/>
    <tableColumn id="8" xr3:uid="{243F9102-2670-48D4-B25D-8432658D89F6}" name="3" dataDxfId="578"/>
    <tableColumn id="9" xr3:uid="{06003E0F-B470-4925-ACE4-1381347B3E87}" name="4" dataDxfId="577"/>
    <tableColumn id="10" xr3:uid="{DF8C4E72-181D-4E2F-A34D-2BB7FD231520}" name="7" dataDxfId="576"/>
    <tableColumn id="11" xr3:uid="{56E37C44-85E9-4431-A560-A54606105B9D}" name="8" dataDxfId="575"/>
    <tableColumn id="12" xr3:uid="{9ADEA573-5E4A-46C0-8569-AFED61AE0141}" name="9" dataDxfId="574"/>
    <tableColumn id="13" xr3:uid="{D44E56ED-D810-4F08-ACAA-0850A2CBA861}" name="10" dataDxfId="573"/>
    <tableColumn id="14" xr3:uid="{4F1A46EB-156C-42BB-A090-307A483EDA59}" name="11" dataDxfId="572"/>
    <tableColumn id="15" xr3:uid="{EA2196AC-4B67-4905-BF5F-D57BA3E6F3AD}" name="14" dataDxfId="571"/>
    <tableColumn id="16" xr3:uid="{C78E77EC-88A1-4EFD-AD1A-7DF788C46683}" name="15" dataDxfId="570"/>
    <tableColumn id="17" xr3:uid="{D5FD8172-0B95-4406-9239-1ABAD08F1B45}" name="16" dataDxfId="569"/>
    <tableColumn id="18" xr3:uid="{8E9BAC3F-3B04-449B-88EE-DBF57FA626AC}" name="21" dataDxfId="568"/>
    <tableColumn id="19" xr3:uid="{BFA3B7EB-0BC7-4311-8FCE-7C69A9357A03}" name="22" dataDxfId="567"/>
    <tableColumn id="20" xr3:uid="{D2BE25CA-961F-40EE-9EC1-A49EEA4DDB5A}" name="23" dataDxfId="566"/>
    <tableColumn id="21" xr3:uid="{77AAB025-517F-4236-B11B-AEE9B7399348}" name="24" dataDxfId="565"/>
    <tableColumn id="22" xr3:uid="{E35C7392-A09A-482A-9C37-79B0D6711E60}" name="25" dataDxfId="564"/>
    <tableColumn id="23" xr3:uid="{B9F1E360-1FEC-4978-B5DB-3DECA1925AE9}" name="28" dataDxfId="563"/>
    <tableColumn id="24" xr3:uid="{89A20735-1F9D-4A38-9BEB-B3BD56D1FD35}" name="29" dataDxfId="562"/>
    <tableColumn id="25" xr3:uid="{4BE1A809-8A7F-4933-9AB7-B0E4C9CDDD7E}" name="30" dataDxfId="561"/>
    <tableColumn id="3" xr3:uid="{8BAF39B2-F0EB-433E-8F3A-FEAC89C5F9BF}" name="CARTERA" dataDxfId="56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58"/>
    <tableColumn id="5" xr3:uid="{5FAC7613-1036-4D50-9A09-AB4F41D88D12}" name="ASESOR" dataDxfId="557"/>
    <tableColumn id="6" xr3:uid="{373B07DA-C176-4486-843D-36C5A3043867}" name="RECUPERO"/>
    <tableColumn id="8" xr3:uid="{CDBFB8A5-E15E-4513-B245-3523278CBBD2}" name="DNI" dataDxfId="556"/>
    <tableColumn id="9" xr3:uid="{64A6BF66-DB3B-4ED3-B1A9-2DF71B8D1ACE}" name="FECHA DE INGRESO" dataDxfId="555"/>
    <tableColumn id="10" xr3:uid="{9DD10A75-AE91-4226-BF53-FBC3A38A3094}" name="ESTADO" dataDxfId="55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53" headerRowBorderDxfId="552" tableBorderDxfId="551">
  <autoFilter ref="M8:S84" xr:uid="{3430F05E-BC8F-402B-8A1E-08930825C5B5}"/>
  <tableColumns count="7">
    <tableColumn id="2" xr3:uid="{C6ACB1FD-DF21-4A7E-80CD-085902D05EAD}" name="AL_AC" dataDxfId="550"/>
    <tableColumn id="3" xr3:uid="{8551335D-BE40-494B-A806-42FAA211C207}" name="CLASIFICACIÓN" dataDxfId="549"/>
    <tableColumn id="1" xr3:uid="{1F17A9F8-FF2D-4D38-ADF0-9C21DD7CE96D}" name="SUPERVISOR" dataDxfId="548"/>
    <tableColumn id="6" xr3:uid="{85DC5B94-4FF7-4224-A993-E56A00A5F6DA}" name="RECUPERO" dataDxfId="547"/>
    <tableColumn id="7" xr3:uid="{E2EB46E1-D5BC-46B2-859F-8C05EBBE26F5}" name="META" dataDxfId="546"/>
    <tableColumn id="5" xr3:uid="{A8ED42EF-7F3D-47A1-A928-02CDC650D596}" name="ASER_" dataDxfId="545"/>
    <tableColumn id="4" xr3:uid="{4BCD1AFA-D27F-47E5-8B9D-1FD6AB797002}" name="CARTERA ASESOR" dataDxfId="5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43" dataDxfId="541" headerRowBorderDxfId="542" tableBorderDxfId="540" totalsRowBorderDxfId="539">
  <autoFilter ref="U8:AT16" xr:uid="{7D264E3B-5554-4E56-BAB0-6F3EEF5A5778}"/>
  <tableColumns count="26">
    <tableColumn id="5" xr3:uid="{1904281A-2BE1-4A00-9848-D90C0A837D4D}" name="META SUPER" dataDxfId="538"/>
    <tableColumn id="1" xr3:uid="{E8B4D119-C811-4392-9EE6-8F0C79BEE9E9}" name="RECUPERO SUPERVISOR" dataDxfId="537"/>
    <tableColumn id="2" xr3:uid="{B44E621C-D444-4670-8FB8-CA1A1E3293FE}" name="ALCANCE SUPERVISOR" dataDxfId="536"/>
    <tableColumn id="4" xr3:uid="{63B60F11-ECE7-4839-BADE-F875CF35D6C8}" name="SUPER" dataDxfId="535"/>
    <tableColumn id="6" xr3:uid="{795F9848-930D-4B49-893D-00DA36A6069C}" name="2" dataDxfId="534"/>
    <tableColumn id="7" xr3:uid="{A0F1B09B-45CD-4449-B0E0-2A746353F5F6}" name="5" dataDxfId="533"/>
    <tableColumn id="8" xr3:uid="{42485F8E-3938-40CB-B75A-E12120AF085D}" name="6" dataDxfId="532"/>
    <tableColumn id="9" xr3:uid="{16CE59CD-D621-412D-8F6E-F5B8FEEFCBB4}" name="7" dataDxfId="531"/>
    <tableColumn id="10" xr3:uid="{D1B5939A-E95A-4BE2-BA16-796CFB62C7BB}" name="8" dataDxfId="530"/>
    <tableColumn id="11" xr3:uid="{42606FA2-25C4-48F7-BC25-B75CFBF93D7E}" name="9" dataDxfId="529"/>
    <tableColumn id="12" xr3:uid="{91DD2662-D657-4CF0-B378-5B3D9B374F80}" name="12" dataDxfId="528"/>
    <tableColumn id="13" xr3:uid="{02E91914-A4C0-4DF0-A670-ED42110CA3F2}" name="13" dataDxfId="527"/>
    <tableColumn id="14" xr3:uid="{FDAEFC46-2A8B-451E-929D-76EC4BC7CA39}" name="14" dataDxfId="526"/>
    <tableColumn id="15" xr3:uid="{1F944C9F-2359-45A9-8922-617195550B92}" name="15" dataDxfId="525"/>
    <tableColumn id="16" xr3:uid="{D023EA95-922B-4435-8A92-F165E2F3A560}" name="16" dataDxfId="524"/>
    <tableColumn id="17" xr3:uid="{7AC3BA92-E630-483B-B27E-18C40869116B}" name="19" dataDxfId="523"/>
    <tableColumn id="18" xr3:uid="{3609A57C-B1DB-4D87-9574-007183221000}" name="20" dataDxfId="522"/>
    <tableColumn id="19" xr3:uid="{98740490-1047-4343-85C8-834AE6AF935A}" name="21" dataDxfId="521"/>
    <tableColumn id="20" xr3:uid="{CE682DBD-B5A8-49C9-8A73-515C0BB553A8}" name="22" dataDxfId="520"/>
    <tableColumn id="21" xr3:uid="{2C63A6DB-A36B-488F-8D7C-F86E11CED59A}" name="23" dataDxfId="519"/>
    <tableColumn id="22" xr3:uid="{01511E88-F7F3-4FDD-998C-292B28698241}" name="26" dataDxfId="518"/>
    <tableColumn id="23" xr3:uid="{B0CE642E-7F10-4E00-9DD1-FC5CF0499DC2}" name="27" dataDxfId="517"/>
    <tableColumn id="24" xr3:uid="{EE9469B0-D486-4046-8AA2-36629B9D9667}" name="28" dataDxfId="516"/>
    <tableColumn id="25" xr3:uid="{D05B2A45-8E05-43BB-9FFA-CC56C7D8C31E}" name="29" dataDxfId="515"/>
    <tableColumn id="26" xr3:uid="{AE78D865-FDC9-4B75-AADF-A48F19C319DC}" name="31" dataDxfId="514"/>
    <tableColumn id="3" xr3:uid="{0887DE9C-F035-4EEC-B2F4-4C2CEB11922C}" name="CARTERA" dataDxfId="5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1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11"/>
    <tableColumn id="5" xr3:uid="{1BF578D9-FB1B-48B0-B732-40F721FD7C19}" name="ASESOR" dataDxfId="510"/>
    <tableColumn id="6" xr3:uid="{CA995F17-DCA5-4D19-B2E1-FD9362121A39}" name="RECUPERO"/>
    <tableColumn id="8" xr3:uid="{9BC620F7-3E10-4417-B0EA-F37D1F039447}" name="DNI" dataDxfId="2"/>
    <tableColumn id="9" xr3:uid="{0CBCBA61-9BA1-4E3D-B6CE-38E6C9A1078C}" name="FECHA DE INGRESO" dataDxfId="0"/>
    <tableColumn id="10" xr3:uid="{3A23F58F-8B92-4D7C-82D9-23C8B3B51E6F}" name="ESTADO" dataDxfId="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S83" totalsRowShown="0" headerRowDxfId="509" headerRowBorderDxfId="508" tableBorderDxfId="507">
  <autoFilter ref="M8:S83" xr:uid="{97B1AEE0-937A-4085-8A6E-FCEB23E4FC30}"/>
  <tableColumns count="7">
    <tableColumn id="2" xr3:uid="{1850D85D-70AA-4C8C-B259-0C0B744B6CE0}" name="AL_AC" dataDxfId="506"/>
    <tableColumn id="3" xr3:uid="{78E201C6-658E-4437-AC52-3D0E669D8389}" name="CLASIFICACIÓN" dataDxfId="505"/>
    <tableColumn id="1" xr3:uid="{C1D03C86-C680-4F57-A317-59AA1FC8881C}" name="SUPERVISOR" dataDxfId="504"/>
    <tableColumn id="6" xr3:uid="{3AD4A449-DB0B-4879-AD61-28FA40E45717}" name="RECUPERO" dataDxfId="503"/>
    <tableColumn id="7" xr3:uid="{2BD9FB92-38FC-44A8-B5F2-890569E48C37}" name="META" dataDxfId="502"/>
    <tableColumn id="5" xr3:uid="{9812F1F1-AB5A-41A6-A84D-86B290FCB7E7}" name="ASER_" dataDxfId="501"/>
    <tableColumn id="4" xr3:uid="{DAFD2DC8-78EF-4D1C-8D8A-59717D153EC7}" name="CARTERA ASESOR" dataDxfId="500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U8:AT16" totalsRowShown="0" headerRowDxfId="499" dataDxfId="497" headerRowBorderDxfId="498" tableBorderDxfId="496" totalsRowBorderDxfId="495">
  <autoFilter ref="U8:AT16" xr:uid="{9512D78B-B0C0-473E-AE3C-7C31C89EE38A}"/>
  <tableColumns count="26">
    <tableColumn id="5" xr3:uid="{2E4B2724-B4DE-4C03-B5C0-3E36829C3373}" name="META SUPER" dataDxfId="494"/>
    <tableColumn id="1" xr3:uid="{1A75BF93-811F-4AFA-86B4-9AD496200913}" name="RECUPERO SUPERVISOR" dataDxfId="493"/>
    <tableColumn id="2" xr3:uid="{60B107BC-0938-4363-BE59-47C4E7777D14}" name="ALCANCE SUPERVISOR" dataDxfId="492"/>
    <tableColumn id="4" xr3:uid="{846684E8-1F2C-4021-AB12-AFBE9E56FAA4}" name="SUPER" dataDxfId="491"/>
    <tableColumn id="6" xr3:uid="{A217DEAD-ACD7-4C63-A622-E2E01ECF328C}" name="2" dataDxfId="490"/>
    <tableColumn id="7" xr3:uid="{5CA18C0A-7D47-455B-B153-EFA8D01D32D6}" name="3" dataDxfId="489"/>
    <tableColumn id="8" xr3:uid="{3CBBE086-E28B-4224-AF45-5A4E7A009E3F}" name="4" dataDxfId="488"/>
    <tableColumn id="9" xr3:uid="{4B327145-F7C9-4ABC-A911-6EB2E553C986}" name="5" dataDxfId="487"/>
    <tableColumn id="10" xr3:uid="{C644450F-2149-4D87-8E04-D3DD6B99C066}" name="6" dataDxfId="486"/>
    <tableColumn id="11" xr3:uid="{92D6DA00-2083-479D-96F6-4B48312C9C12}" name="9" dataDxfId="485"/>
    <tableColumn id="12" xr3:uid="{2EC613D6-BDCD-416F-817F-42C8018B90FE}" name="10" dataDxfId="484"/>
    <tableColumn id="13" xr3:uid="{B55C5834-2D46-4D83-8429-14D18D9B95EF}" name="11" dataDxfId="483"/>
    <tableColumn id="14" xr3:uid="{5C6DF4C8-EDC0-4827-AA8B-9C2B7202A4DA}" name="12" dataDxfId="482"/>
    <tableColumn id="15" xr3:uid="{764D7AA1-F3E2-4E06-A4A9-952B47F95E76}" name="13" dataDxfId="481"/>
    <tableColumn id="16" xr3:uid="{6D896E44-118D-4124-BF4A-2E06B8568517}" name="16" dataDxfId="480"/>
    <tableColumn id="17" xr3:uid="{BE609D90-F294-44A1-B944-804292CC8FAC}" name="17" dataDxfId="479"/>
    <tableColumn id="18" xr3:uid="{E97C32F3-7B30-46E7-B4CD-72B412E48E28}" name="18" dataDxfId="478"/>
    <tableColumn id="19" xr3:uid="{FD784BF8-211E-4275-A9B4-168979C2AFD1}" name="19" dataDxfId="477"/>
    <tableColumn id="20" xr3:uid="{766DA9FA-C407-4AC5-BFFB-BF6A1B6D5B26}" name="20" dataDxfId="476"/>
    <tableColumn id="21" xr3:uid="{CD1B765C-53CF-4C5C-A708-487BC53AF68A}" name="23" dataDxfId="475"/>
    <tableColumn id="22" xr3:uid="{2800A805-A560-4CF0-B47E-4486A92755E4}" name="24" dataDxfId="474"/>
    <tableColumn id="23" xr3:uid="{7067EFFA-F2EA-4FFF-A281-8E3E0E718C87}" name="25" dataDxfId="473"/>
    <tableColumn id="24" xr3:uid="{BB01C4B5-FEB4-44E1-BF58-4C9BF81261B1}" name="26" dataDxfId="472"/>
    <tableColumn id="25" xr3:uid="{2116D7DE-6632-4314-9539-6B4BA9407512}" name="27" dataDxfId="471"/>
    <tableColumn id="26" xr3:uid="{B0D188FD-F41F-4C43-A42F-87048D9F3347}" name="30" dataDxfId="470"/>
    <tableColumn id="3" xr3:uid="{153A774F-FA3D-4DE9-A743-A193E9EC2BE7}" name="CARTERA" dataDxfId="46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S91" totalsRowShown="0" headerRowDxfId="468" headerRowBorderDxfId="467" tableBorderDxfId="466">
  <autoFilter ref="M8:S91" xr:uid="{13D0755C-A8D1-41FD-8722-0AA4CD765999}"/>
  <tableColumns count="7">
    <tableColumn id="2" xr3:uid="{72C3FA18-E65D-4943-AF0A-CD7AC5502A56}" name="AL_AC" dataDxfId="465"/>
    <tableColumn id="3" xr3:uid="{1754C817-3C23-490F-BEA3-3ACD2AC34A65}" name="CLASIFICACIÓN" dataDxfId="464"/>
    <tableColumn id="5" xr3:uid="{635B51D1-72B4-46A4-B795-4985950C2B5D}" name="SUPERVISOR" dataDxfId="463"/>
    <tableColumn id="6" xr3:uid="{BCDF5A35-E274-481A-8FAA-7585E0413D78}" name="RECUPERO" dataDxfId="462"/>
    <tableColumn id="7" xr3:uid="{8DE1FEE0-51D3-4EA8-A46E-89BEBA12056E}" name="META" dataDxfId="461"/>
    <tableColumn id="1" xr3:uid="{3C41F150-757E-4673-8594-D891B2820E33}" name="ASER_" dataDxfId="460"/>
    <tableColumn id="4" xr3:uid="{D825C99F-7926-4ACD-95E4-AD5D163C481B}" name="CARTERA ASESOR" dataDxfId="459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57" headerRowBorderDxfId="458" tableBorderDxfId="456">
  <autoFilter ref="A2:J85" xr:uid="{F460AB3C-55A7-4610-B74D-44400B82E396}"/>
  <tableColumns count="10">
    <tableColumn id="1" xr3:uid="{174E92CC-5FBB-42E6-ABBA-A2148115201A}" name="SUPER" dataDxfId="455"/>
    <tableColumn id="6" xr3:uid="{D87E1435-21B2-485D-8BCD-1C27FC523EEA}" name="ASESOR_CRR" dataDxfId="454"/>
    <tableColumn id="2" xr3:uid="{FC570054-965C-4F29-B04A-C58608AEAECA}" name="META" dataDxfId="453">
      <calculatedColumnFormula>VLOOKUP(D1_JULIO_2025[[#This Row],[SUPER]],DATA_JULIO_2025[[SUPERVISOR]:[META]],3,0)</calculatedColumnFormula>
    </tableColumn>
    <tableColumn id="3" xr3:uid="{CF023A93-4AFB-4349-9235-179A60BC2249}" name="ALCANCE" dataDxfId="452"/>
    <tableColumn id="7" xr3:uid="{59576C9E-00A8-419A-8EFC-86D74D6B4B3F}" name="SUPER2" dataDxfId="451"/>
    <tableColumn id="4" xr3:uid="{6F567985-92B6-498E-BDE9-81AA438ECD22}" name="ASESOR" dataDxfId="450"/>
    <tableColumn id="5" xr3:uid="{2DFC340F-6B74-4E64-B475-782D4A5F8B3E}" name="RECUPERO" dataDxfId="449"/>
    <tableColumn id="8" xr3:uid="{D42D0BDD-24C5-4390-9867-D5F3D45952CE}" name="DNI" dataDxfId="448"/>
    <tableColumn id="9" xr3:uid="{A9555617-B6CF-4123-9AD8-5E9DB6528E74}" name="FECHA DE INGRESO" dataDxfId="447"/>
    <tableColumn id="10" xr3:uid="{1C792B0A-E0F3-406D-8123-75E932FC95A1}" name="ESTADO" dataDxfId="44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U8:AS16" totalsRowShown="0" headerRowDxfId="445" dataDxfId="443" headerRowBorderDxfId="444" tableBorderDxfId="442" totalsRowBorderDxfId="441">
  <autoFilter ref="U8:AS16" xr:uid="{1FBB17F4-7F2F-4438-9C76-1C20A2CD5EED}"/>
  <tableColumns count="25">
    <tableColumn id="5" xr3:uid="{054DF3D6-44FE-4EF9-8B28-32077473621F}" name="META SUPER" dataDxfId="440"/>
    <tableColumn id="1" xr3:uid="{4CE2BFB4-C324-4ECE-B3B7-77A433373BEC}" name="RECUPERO SUPERVISOR" dataDxfId="439"/>
    <tableColumn id="2" xr3:uid="{76C6BCA1-6820-46A6-B790-01B3E88F6266}" name="ALCANCE SUPERVISOR" dataDxfId="438"/>
    <tableColumn id="4" xr3:uid="{FE9C5289-6F21-4D71-92B6-F36B6C9748E7}" name="SUPER" dataDxfId="437"/>
    <tableColumn id="6" xr3:uid="{A5188244-D142-4196-92CC-15B237C3E734}" name="1" dataDxfId="436"/>
    <tableColumn id="7" xr3:uid="{9754BD88-AFD1-4BCB-AF69-DA7B55E3A053}" name="2" dataDxfId="435"/>
    <tableColumn id="8" xr3:uid="{851C8CA8-D257-4BFB-B6BE-D82354200CA7}" name="3" dataDxfId="434"/>
    <tableColumn id="9" xr3:uid="{AE769B63-903F-46E5-A3F0-8DA27C689974}" name="4" dataDxfId="433"/>
    <tableColumn id="10" xr3:uid="{D09A5961-EE10-491A-BFFE-C5ABD80598A8}" name="7" dataDxfId="432"/>
    <tableColumn id="11" xr3:uid="{EC4AF483-303E-4488-AFA2-DD9A058F071A}" name="8" dataDxfId="431"/>
    <tableColumn id="12" xr3:uid="{E0699685-C582-4C4A-A838-E66961F44487}" name="9" dataDxfId="430"/>
    <tableColumn id="13" xr3:uid="{377D024A-00DD-4A77-A549-5C6BEBE894D0}" name="10" dataDxfId="429"/>
    <tableColumn id="14" xr3:uid="{8FABF999-C8BA-4B7D-980A-2659F766178B}" name="11" dataDxfId="428"/>
    <tableColumn id="15" xr3:uid="{06AC6AD7-A191-47DD-AE3F-9A0525AF8DD6}" name="14" dataDxfId="427"/>
    <tableColumn id="16" xr3:uid="{BB465107-63D7-443B-8989-EF197F62D322}" name="15" dataDxfId="426"/>
    <tableColumn id="17" xr3:uid="{3DFE5CBD-1315-4CBA-A14E-1763583D7BEC}" name="16" dataDxfId="425"/>
    <tableColumn id="18" xr3:uid="{5DB3135E-36A1-4F0D-890E-50AC461B96C4}" name="17" dataDxfId="424"/>
    <tableColumn id="19" xr3:uid="{57CA79FE-F6A3-4697-8926-36322AD1BC6C}" name="18" dataDxfId="423"/>
    <tableColumn id="20" xr3:uid="{A99C4302-A806-4344-ABAF-AF753E7EF30D}" name="21" dataDxfId="422"/>
    <tableColumn id="21" xr3:uid="{D1C3F20A-0988-4CC4-8D06-ED3EE15A7AB1}" name="22" dataDxfId="421"/>
    <tableColumn id="22" xr3:uid="{ECEC5739-F3E4-44C4-9408-4DAA6DE5069C}" name="24" dataDxfId="420"/>
    <tableColumn id="23" xr3:uid="{CD77FB96-6C17-47A0-82BA-2ABEA1725A41}" name="25" dataDxfId="419"/>
    <tableColumn id="24" xr3:uid="{87D0EFA1-B9FB-444F-B737-EE4C1B838FBC}" name="30" dataDxfId="418"/>
    <tableColumn id="25" xr3:uid="{BF0F5A29-80D1-482F-9C53-48E4478A5F1D}" name="31" dataDxfId="417"/>
    <tableColumn id="3" xr3:uid="{51B2E01F-098B-4EAB-AB37-99A7A456DDF6}" name="CARTERA" dataDxfId="416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0" totalsRowShown="0" dataDxfId="414" headerRowBorderDxfId="415" tableBorderDxfId="413">
  <autoFilter ref="A2:J90" xr:uid="{816CEBCE-101B-42C2-A45C-8113A647428A}"/>
  <tableColumns count="10">
    <tableColumn id="1" xr3:uid="{596664E6-24CF-4AF3-A84D-121AC4745B4C}" name="SUPER" dataDxfId="412"/>
    <tableColumn id="6" xr3:uid="{CA4B13E9-2CAB-42E2-A028-4DFB844CF726}" name="ASESOR_CRR" dataDxfId="411"/>
    <tableColumn id="2" xr3:uid="{B3C2F90C-6F59-4998-9F82-960596BF09D8}" name="META" dataDxfId="410">
      <calculatedColumnFormula>VLOOKUP(D1_AGOSTO_2025[[#This Row],[SUPER]],DATA_AGOSTO_2025[[SUPERVISOR]:[META]],3,0)</calculatedColumnFormula>
    </tableColumn>
    <tableColumn id="3" xr3:uid="{6CE379C4-19C8-4C90-81DB-EA83E873B03A}" name="ALCANCE" dataDxfId="409"/>
    <tableColumn id="7" xr3:uid="{28AC502F-3113-4B59-AA88-4F9E0E7D938B}" name="SUPER2" dataDxfId="408"/>
    <tableColumn id="4" xr3:uid="{9AE19661-0B03-4D03-9661-4B81FCE456D3}" name="ASESOR" dataDxfId="407"/>
    <tableColumn id="5" xr3:uid="{9CCAC285-FD2E-415B-BE6E-AD7E20CECF29}" name="RECUPERO" dataDxfId="406"/>
    <tableColumn id="8" xr3:uid="{043E81D5-B688-480A-9A28-C451E6CC8ACE}" name="DNI" dataDxfId="10"/>
    <tableColumn id="9" xr3:uid="{1F9CE105-EFA8-4FFE-9C5C-0AB581B961DE}" name="FECHA DE INGRESO" dataDxfId="8"/>
    <tableColumn id="10" xr3:uid="{6CA7DA08-8CCF-441D-AE86-422E2259780A}" name="ESTADO" dataDxfId="9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S88" totalsRowShown="0" headerRowDxfId="405" headerRowBorderDxfId="404" tableBorderDxfId="403">
  <autoFilter ref="M8:S88" xr:uid="{DB356FA9-1639-4BCD-8041-CDF840B60928}"/>
  <tableColumns count="7">
    <tableColumn id="2" xr3:uid="{1BEFB030-F8FC-467E-8D03-CF9E8433E11F}" name="AL_AC" dataDxfId="402"/>
    <tableColumn id="3" xr3:uid="{88C3CECE-F881-4C05-BA2B-95B253894A39}" name="CLASIFICACIÓN" dataDxfId="401"/>
    <tableColumn id="1" xr3:uid="{F581F4DA-B6F3-4641-93F9-FB4CABD3B045}" name="SUPERVISOR" dataDxfId="400"/>
    <tableColumn id="6" xr3:uid="{40820BC6-7E2D-416A-AC23-B4520FC0957D}" name="RECUPERO" dataDxfId="399"/>
    <tableColumn id="7" xr3:uid="{F7BC8835-EC2E-4047-8AE9-C742ABE03445}" name="META" dataDxfId="398"/>
    <tableColumn id="5" xr3:uid="{22298E20-98EB-421A-8978-F019348D2A10}" name="ASER_" dataDxfId="397"/>
    <tableColumn id="4" xr3:uid="{F509A7E9-F54E-4D91-BB48-3E4B1A6507B7}" name="CARTERA ASESOR" dataDxfId="39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U8:AS16" totalsRowShown="0" headerRowDxfId="395" dataDxfId="393" headerRowBorderDxfId="394" tableBorderDxfId="392" totalsRowBorderDxfId="391">
  <autoFilter ref="U8:AS16" xr:uid="{90430F39-92FE-4ECF-9803-071C2A54AA46}"/>
  <tableColumns count="25">
    <tableColumn id="5" xr3:uid="{0F1D2B08-548B-4035-A7F1-689294B1B15E}" name="META SUPER" dataDxfId="390"/>
    <tableColumn id="1" xr3:uid="{D853C78B-294B-4C5B-87F9-8B837DBCA858}" name="RECUPERO SUPERVISOR" dataDxfId="389"/>
    <tableColumn id="2" xr3:uid="{A6B49739-8C7F-42B7-AB2B-2D9B8785D8A7}" name="ALCANCE SUPERVISOR" dataDxfId="388"/>
    <tableColumn id="4" xr3:uid="{96D2A1C2-9EA3-4132-B41A-8B57BBB00DD3}" name="SUPER" dataDxfId="387"/>
    <tableColumn id="6" xr3:uid="{49EEE6CA-AF7B-4615-AE46-CA713F4E9209}" name="1" dataDxfId="386"/>
    <tableColumn id="7" xr3:uid="{61649C96-BFE5-4D18-BCE1-727E2E74D883}" name="4" dataDxfId="385"/>
    <tableColumn id="8" xr3:uid="{3D095B63-6086-4E9E-85B2-511507890CD8}" name="5" dataDxfId="384"/>
    <tableColumn id="9" xr3:uid="{36CD21E6-51F3-49C9-8448-36B269029EF6}" name="7" dataDxfId="383"/>
    <tableColumn id="10" xr3:uid="{D4DBAD01-5AE1-474A-AF64-A98DFD56153A}" name="8" dataDxfId="382"/>
    <tableColumn id="11" xr3:uid="{FDF3CA30-E7DF-4684-9747-03744CC16AAE}" name="11" dataDxfId="381"/>
    <tableColumn id="12" xr3:uid="{0D320307-8BC6-475A-9E12-91C32320EC74}" name="12" dataDxfId="380"/>
    <tableColumn id="13" xr3:uid="{55EA3D15-E74B-4AB3-B0D5-B387C3EAAB83}" name="13" dataDxfId="379"/>
    <tableColumn id="14" xr3:uid="{507E3CA9-692F-4A2D-BA96-B401D04EEDD0}" name="14" dataDxfId="378"/>
    <tableColumn id="15" xr3:uid="{E5F719C0-0646-408A-976E-C57966E876F4}" name="15" dataDxfId="377"/>
    <tableColumn id="16" xr3:uid="{8AC2AE0D-50EC-4387-A0A4-A1F2DF092A3C}" name="18" dataDxfId="376"/>
    <tableColumn id="17" xr3:uid="{7B1EE470-E258-4B37-BEC3-E798950632D8}" name="19" dataDxfId="375"/>
    <tableColumn id="18" xr3:uid="{F77C3800-E94B-4C32-A796-122D364094EA}" name="20" dataDxfId="374"/>
    <tableColumn id="19" xr3:uid="{0DA4161D-30F3-4E97-BCBB-4C1E891B36FB}" name="21" dataDxfId="373"/>
    <tableColumn id="20" xr3:uid="{94B916D9-415F-4F66-A6C0-0EE398A152E9}" name="22" dataDxfId="372"/>
    <tableColumn id="21" xr3:uid="{D814BC25-89A4-4A6B-B889-6BF06DD3D2EC}" name="25" dataDxfId="371"/>
    <tableColumn id="22" xr3:uid="{7DEFEDE7-498F-4CCF-A7C2-F63ACE1BA092}" name="26" dataDxfId="370"/>
    <tableColumn id="23" xr3:uid="{CA36A7C5-BBBD-47FB-AAB4-1F5CBDA1EE93}" name="27" dataDxfId="369"/>
    <tableColumn id="24" xr3:uid="{958DFD93-9566-47EC-807E-E21861CB1F39}" name="28" dataDxfId="368"/>
    <tableColumn id="25" xr3:uid="{C690FBB6-6A9F-4B4D-AEF8-49C27DFF4FCF}" name="29" dataDxfId="367"/>
    <tableColumn id="3" xr3:uid="{C5283215-E8BB-41D8-B093-AA31F8252394}" name="CARTERA" dataDxfId="36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64" headerRowBorderDxfId="365" tableBorderDxfId="363">
  <autoFilter ref="A2:I80" xr:uid="{111BC5E6-A71D-437E-ABD5-0E09FCDEF3FD}"/>
  <tableColumns count="9">
    <tableColumn id="1" xr3:uid="{EABDBA5F-3C1B-4AC8-8F40-8C9EED5560F3}" name="SUPER" dataDxfId="362"/>
    <tableColumn id="6" xr3:uid="{C37701A2-99CA-45B9-AA89-63D54C88C5B9}" name="ASESOR_CRR" dataDxfId="361"/>
    <tableColumn id="2" xr3:uid="{8360BA59-782B-4699-ABEA-458A3C9299AD}" name="RECUP" dataDxfId="360"/>
    <tableColumn id="3" xr3:uid="{BD5C8833-8CBB-40D9-BC66-F164208CFEC0}" name="ALCANCE" dataDxfId="359"/>
    <tableColumn id="7" xr3:uid="{07FA8551-F17A-4D20-BAC6-4B128B0ECF57}" name="SUPER2" dataDxfId="358"/>
    <tableColumn id="4" xr3:uid="{91470BB1-1A8E-4802-9D93-28E5A1DF6790}" name="ASESOR" dataDxfId="357"/>
    <tableColumn id="5" xr3:uid="{2B49EE5D-87EB-458C-99B1-7F94B8EDDE4B}" name="RECUPERO" dataDxfId="356"/>
    <tableColumn id="8" xr3:uid="{1A69791E-D827-4498-A9B8-C02ED9E8C0C0}" name="DNI" dataDxfId="355"/>
    <tableColumn id="9" xr3:uid="{17EC964E-623C-4526-9375-D1DFD0BBB147}" name="FECHA DE INGRESO" dataDxfId="35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3" headerRowBorderDxfId="352" tableBorderDxfId="351">
  <autoFilter ref="J8:O86" xr:uid="{91775BD2-E36D-479B-95DE-48127C3410BC}"/>
  <tableColumns count="6">
    <tableColumn id="2" xr3:uid="{033A6CF7-EC22-4EEE-8FF0-8C343161421D}" name="AL_AC" dataDxfId="350"/>
    <tableColumn id="3" xr3:uid="{2234E43A-FB04-4BD5-A5FB-BE681630D39D}" name="CLASIFICACIÓN" dataDxfId="349"/>
    <tableColumn id="1" xr3:uid="{E68E03C4-584B-48EC-AA41-D10E171DF6E2}" name="SUPERVISOR" dataDxfId="348"/>
    <tableColumn id="6" xr3:uid="{8FEE60A3-7153-47ED-82A3-25E3E95BD5B9}" name="RECUPERO" dataDxfId="347"/>
    <tableColumn id="5" xr3:uid="{96DEFE26-B796-4F9F-BB26-62A9B1295009}" name="META" dataDxfId="346"/>
    <tableColumn id="4" xr3:uid="{98491906-C3E6-4CCF-96D0-36184A648156}" name="ASER_" dataDxfId="34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44" dataDxfId="342" headerRowBorderDxfId="343" tableBorderDxfId="341" totalsRowBorderDxfId="340">
  <autoFilter ref="Q8:AQ16" xr:uid="{B03330B9-97D2-48C8-8B43-740321917DA5}"/>
  <tableColumns count="27">
    <tableColumn id="5" xr3:uid="{4E3B6BB8-3B21-487C-8667-D21D7F0B0DDF}" name="META SUPER" dataDxfId="339"/>
    <tableColumn id="1" xr3:uid="{C390EAAF-612A-443A-A32B-07A66CB5EF93}" name="RECUPERO SUPERVISOR" dataDxfId="338"/>
    <tableColumn id="2" xr3:uid="{BF66D468-0BA9-433F-A558-DB3EB49638C0}" name="ALCANCE SUPERVISOR" dataDxfId="337"/>
    <tableColumn id="4" xr3:uid="{833C2FF4-09CC-46A1-B127-078899129ED2}" name="SUPER" dataDxfId="336"/>
    <tableColumn id="6" xr3:uid="{7268ABE3-61CC-4084-9F8D-F9F866838337}" name="1-Set" dataDxfId="335"/>
    <tableColumn id="7" xr3:uid="{934984E8-2516-4844-B21B-29330A07EEE9}" name="2-Set" dataDxfId="334"/>
    <tableColumn id="8" xr3:uid="{5F8B97B9-8D43-4455-9D8F-E58FD0EDAC17}" name="3-Set" dataDxfId="333"/>
    <tableColumn id="9" xr3:uid="{85D24C9E-9252-4D30-9E54-18DBF77A6C70}" name="4-Set" dataDxfId="332"/>
    <tableColumn id="10" xr3:uid="{5A78F08C-1794-450A-88A4-F02CE65D2409}" name="5-Set" dataDxfId="331"/>
    <tableColumn id="11" xr3:uid="{C9868C58-D704-4A31-95DB-6D8FBCC63D90}" name="8-Set" dataDxfId="330"/>
    <tableColumn id="12" xr3:uid="{5A69AB6F-1CBE-456F-9AB1-9CFA02551564}" name="9-Set" dataDxfId="329"/>
    <tableColumn id="13" xr3:uid="{2FB09AC7-C3A6-45CD-8892-0B683DF946C3}" name="10-Set" dataDxfId="328"/>
    <tableColumn id="14" xr3:uid="{B8720ED9-AC2B-41EC-BFA3-A12BF9C966CC}" name="11-Set" dataDxfId="327"/>
    <tableColumn id="15" xr3:uid="{31CBBA73-A7BD-468C-BD0B-435687D2ACAD}" name="12-Set" dataDxfId="326"/>
    <tableColumn id="16" xr3:uid="{02C13EA1-381F-4C2D-B917-AF0FF1A9F773}" name="15-Set" dataDxfId="325"/>
    <tableColumn id="17" xr3:uid="{E6B04D90-5126-40CD-BDA1-E2B120BAD73C}" name="16-Set" dataDxfId="324"/>
    <tableColumn id="18" xr3:uid="{7CB5014E-CB0D-4F8A-A9D7-BD9A166A1B37}" name="17-Set" dataDxfId="323"/>
    <tableColumn id="19" xr3:uid="{040ABF10-1BFC-447A-AE21-D052CBC2ED82}" name="18-Set" dataDxfId="322"/>
    <tableColumn id="20" xr3:uid="{44DFBCB9-0C1E-48F5-ACC2-AC0990D1520D}" name="19-Set" dataDxfId="321"/>
    <tableColumn id="21" xr3:uid="{AFFC2ABC-F24F-4F16-B5DD-03747097DBCC}" name="22-Set" dataDxfId="320"/>
    <tableColumn id="22" xr3:uid="{E8A652BF-A601-498B-965E-DF95F032A19E}" name="23-Set" dataDxfId="319"/>
    <tableColumn id="23" xr3:uid="{E1A1F3EC-A932-4B54-BD80-6B3004BAC18C}" name="24-Set" dataDxfId="318"/>
    <tableColumn id="24" xr3:uid="{7F5C1B88-4DF8-4775-AEFB-F5F5D12AD778}" name="25-Set" dataDxfId="317"/>
    <tableColumn id="25" xr3:uid="{B40C371A-A255-4AD7-B43D-47350B1FF421}" name="26-Set" dataDxfId="316"/>
    <tableColumn id="26" xr3:uid="{AFFE8D31-2DD6-4039-8ED5-AD63D5758F88}" name="29-Set" dataDxfId="315"/>
    <tableColumn id="27" xr3:uid="{041693B7-E11C-4B55-8C93-8CFB39922E84}" name="30-Set" dataDxfId="314"/>
    <tableColumn id="3" xr3:uid="{1DAB60E5-FA3D-4422-89D0-AD46643BF45E}" name="CARTERA" dataDxfId="31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8" totalsRowShown="0">
  <autoFilter ref="A2:J78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2"/>
    <tableColumn id="5" xr3:uid="{2D06A3B4-3271-49A3-9C7C-FFC311CAB0D8}" name="ASESOR"/>
    <tableColumn id="6" xr3:uid="{7C83291E-5126-4377-B991-EBB23328360F}" name="RECUPERO"/>
    <tableColumn id="8" xr3:uid="{7F2D2756-92A6-4522-A15C-2F10A82AAD95}" name="DNI" dataDxfId="7"/>
    <tableColumn id="9" xr3:uid="{B01E98C6-A76C-417B-B7FA-B0F1C8C2C7C6}" name="FECHA DE INGRESO" dataDxfId="5"/>
    <tableColumn id="10" xr3:uid="{DEB6156D-2B0C-4157-8EE4-0EE1578CCF4A}" name="ESTADO" dataDxfId="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O78" totalsRowShown="0" headerRowBorderDxfId="311" tableBorderDxfId="310">
  <autoFilter ref="M8:AO78" xr:uid="{9F0A99F2-3C50-482B-B8B8-6D475831019E}"/>
  <tableColumns count="29">
    <tableColumn id="2" xr3:uid="{FD017399-1781-4BF7-BF22-C61DBDB7CC6F}" name="AL_AC" dataDxfId="309"/>
    <tableColumn id="3" xr3:uid="{EE681579-D463-48E9-A57F-B73D04925E37}" name="CLASIFICACIÓN" dataDxfId="308"/>
    <tableColumn id="1" xr3:uid="{DDD85E5B-35ED-4EC0-8A85-7316C4176729}" name="SUPERVISOR" dataDxfId="307"/>
    <tableColumn id="6" xr3:uid="{3B45E8CF-4BCD-492C-B1A3-3E157855AA4E}" name="RECUPERO" dataDxfId="306"/>
    <tableColumn id="7" xr3:uid="{2D762908-0860-493B-A482-9514EAD41E9B}" name="META" dataDxfId="305"/>
    <tableColumn id="4" xr3:uid="{B03F71B4-D73E-47CB-8F19-B1EBCB980D51}" name="ASER_" dataDxfId="304"/>
    <tableColumn id="8" xr3:uid="{DADEF8E1-B4EF-4A54-BDEA-772F65B2659B}" name="1" dataDxfId="303"/>
    <tableColumn id="9" xr3:uid="{09759773-B387-4885-980B-3377FCF2784C}" name="2" dataDxfId="302"/>
    <tableColumn id="10" xr3:uid="{0BEF3C74-7822-4935-9DEF-DBB8EF94B2E8}" name="3" dataDxfId="301"/>
    <tableColumn id="11" xr3:uid="{AB623BA8-8BC3-4899-82B4-0D2F75C64AC1}" name="6" dataDxfId="300"/>
    <tableColumn id="12" xr3:uid="{F3FF380C-FA1C-400D-953D-2426EC1D78FF}" name="7" dataDxfId="299"/>
    <tableColumn id="13" xr3:uid="{513A526B-B8DC-4F0A-BB71-A3C5DCBEE598}" name="9" dataDxfId="298"/>
    <tableColumn id="14" xr3:uid="{FE79AC7F-62E7-4115-BE1B-AAF936521653}" name="10" dataDxfId="297"/>
    <tableColumn id="15" xr3:uid="{68C170E4-F271-468B-91F8-3408D287CC52}" name="13" dataDxfId="296"/>
    <tableColumn id="16" xr3:uid="{AD7DCB27-1227-49CE-B962-67316F312A49}" name="14" dataDxfId="295"/>
    <tableColumn id="17" xr3:uid="{A28A426F-20DF-4E28-817D-D45F6DE67B10}" name="15" dataDxfId="294"/>
    <tableColumn id="18" xr3:uid="{E8A185AF-1E28-4F0F-9855-74F54DBD006B}" name="16" dataDxfId="293"/>
    <tableColumn id="19" xr3:uid="{63732328-29EA-40C6-ACD8-4B4DD4B4CF86}" name="17" dataDxfId="292"/>
    <tableColumn id="20" xr3:uid="{310FCF67-D23C-4020-A281-2A5E20DFB23F}" name="20" dataDxfId="291"/>
    <tableColumn id="21" xr3:uid="{C17C4587-18F5-4FBD-868F-EBEC86A07A20}" name="21" dataDxfId="290"/>
    <tableColumn id="22" xr3:uid="{A943FEC5-F867-455B-820F-28C4395DB276}" name="22" dataDxfId="289"/>
    <tableColumn id="23" xr3:uid="{A8FFD2FC-7F1E-4386-AF41-D5EEEF19CDD0}" name="23" dataDxfId="288"/>
    <tableColumn id="24" xr3:uid="{ADF6FE87-D285-4286-AA45-3909EFB078E5}" name="24" dataDxfId="287"/>
    <tableColumn id="25" xr3:uid="{2F0BE83F-F151-4F99-839F-143CA77B5B85}" name="27" dataDxfId="286"/>
    <tableColumn id="26" xr3:uid="{380107E6-E719-4EEB-80BE-3FC920AAB0D8}" name="28" dataDxfId="285"/>
    <tableColumn id="27" xr3:uid="{E4578405-DBB6-4571-976F-D9686E90472D}" name="29" dataDxfId="284"/>
    <tableColumn id="28" xr3:uid="{C03A0B6A-D740-474A-B5C0-16AD1C50D0EF}" name="30" dataDxfId="283"/>
    <tableColumn id="29" xr3:uid="{ABC45238-95B8-44E1-B32D-323E0E09BD1E}" name="31" dataDxfId="282"/>
    <tableColumn id="5" xr3:uid="{DFC53255-43CA-45C9-9269-4215B54AB062}" name="CARTERA ASESOR" dataDxfId="28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Q8:BQ16" totalsRowShown="0" headerRowDxfId="280" dataDxfId="278" headerRowBorderDxfId="279" tableBorderDxfId="277" totalsRowBorderDxfId="276">
  <autoFilter ref="AQ8:BQ16" xr:uid="{5954078F-00B5-453B-BA4F-96D1B0651C11}"/>
  <tableColumns count="27">
    <tableColumn id="5" xr3:uid="{FF5E1E87-686F-47B4-BFF5-1EFD8B824238}" name="META SUPER" dataDxfId="275">
      <calculatedColumnFormula>VLOOKUP($M$3&amp;$N$3&amp;DITE_OCTUBRE_2025[[#This Row],[SUPER]],TablaMeta[],5,0)</calculatedColumnFormula>
    </tableColumn>
    <tableColumn id="1" xr3:uid="{2B34CFC4-0C9F-41CE-999A-2588C7446A9F}" name="RECUPERO SUPERVISOR" dataDxfId="274">
      <calculatedColumnFormula>MAX(INDIRECT("DITE_"&amp;$N$3&amp;"_2025[@["&amp;"SUPER"&amp;"]:["&amp;"CARTERA"&amp;"]]"))</calculatedColumnFormula>
    </tableColumn>
    <tableColumn id="2" xr3:uid="{12F44D75-C159-4886-875E-F84E5B64A541}" name="ALCANCE SUPERVISOR" dataDxfId="27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2"/>
    <tableColumn id="6" xr3:uid="{949DC2F4-4585-4646-A396-157D2DF8052D}" name="1" dataDxfId="271"/>
    <tableColumn id="7" xr3:uid="{97391D14-7779-42A7-9DB8-C0989C430B43}" name="2" dataDxfId="270"/>
    <tableColumn id="8" xr3:uid="{6354D769-4310-45AC-8145-E44CED72B4A9}" name="3" dataDxfId="269"/>
    <tableColumn id="9" xr3:uid="{4656D04C-0F05-4626-AF66-C82B40AEFAD8}" name="6" dataDxfId="268"/>
    <tableColumn id="10" xr3:uid="{7D1ED70B-0155-4C0E-8A2F-37B332A6F313}" name="7" dataDxfId="267"/>
    <tableColumn id="11" xr3:uid="{0111FAC8-499F-4CC3-8375-0BF99A4C35FA}" name="9" dataDxfId="266"/>
    <tableColumn id="12" xr3:uid="{C0C00B80-78A4-43E2-93D4-3EE00B3626FF}" name="10" dataDxfId="265"/>
    <tableColumn id="13" xr3:uid="{83880E56-1497-4302-8CA7-1D39E0DC1A97}" name="13" dataDxfId="264"/>
    <tableColumn id="14" xr3:uid="{BE01EA14-2F15-437D-A238-21FF4B75A0DE}" name="14" dataDxfId="263"/>
    <tableColumn id="15" xr3:uid="{EB92F6CE-8ACE-4537-AECA-46B61474948E}" name="15" dataDxfId="262"/>
    <tableColumn id="16" xr3:uid="{6D6490DB-3DEB-438C-AB40-C97EC626F0BE}" name="16" dataDxfId="261"/>
    <tableColumn id="17" xr3:uid="{0392FF10-F85D-41D2-8460-C3A186218696}" name="17" dataDxfId="260"/>
    <tableColumn id="18" xr3:uid="{A5448450-2F70-4B3F-AA25-3C4713BF2DE8}" name="20" dataDxfId="259"/>
    <tableColumn id="19" xr3:uid="{3D252296-5BDD-4576-BACF-EBAA4EDD5204}" name="21" dataDxfId="258"/>
    <tableColumn id="20" xr3:uid="{23EB3C4F-7D5A-4D3B-8B24-D8DE6128BA5F}" name="22" dataDxfId="257"/>
    <tableColumn id="21" xr3:uid="{129CAF30-1851-4238-9880-454B24575BB9}" name="23" dataDxfId="256"/>
    <tableColumn id="22" xr3:uid="{72C02609-42DC-4EDE-B4E1-44D533A24355}" name="24" dataDxfId="255"/>
    <tableColumn id="23" xr3:uid="{9123D15C-9492-4356-8328-1BE17F140523}" name="27" dataDxfId="254"/>
    <tableColumn id="24" xr3:uid="{9D5D7ED1-F248-4C81-8326-BBA9C067C915}" name="28" dataDxfId="253"/>
    <tableColumn id="25" xr3:uid="{AF14494A-3DA5-4A85-BD20-353698E70147}" name="29" dataDxfId="252"/>
    <tableColumn id="26" xr3:uid="{B48EAE26-54B8-4E0C-A4A1-6956DA0D148E}" name="30" dataDxfId="251"/>
    <tableColumn id="27" xr3:uid="{85AC05C5-FE82-41A6-837C-F1F547FD8C2F}" name="31" dataDxfId="250"/>
    <tableColumn id="3" xr3:uid="{1CA2638D-96F9-4A0C-980A-6DAE6545AFFA}" name="CARTERA" dataDxfId="249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N68" totalsRowShown="0" headerRowBorderDxfId="248" tableBorderDxfId="247">
  <autoFilter ref="M8:AN68" xr:uid="{DAB8FAFE-224D-43C2-8CC5-F1C1350990D2}"/>
  <tableColumns count="28">
    <tableColumn id="2" xr3:uid="{47BD346F-18D2-49E6-8AEE-939CBC049365}" name="AL_AC" dataDxfId="246"/>
    <tableColumn id="3" xr3:uid="{855F5F44-294A-4871-9840-A24614956994}" name="CLASIFICACIÓN" dataDxfId="245"/>
    <tableColumn id="5" xr3:uid="{9D944B93-5BF5-4B70-A89F-707C3D5946DA}" name="SUPERVISOR" dataDxfId="244"/>
    <tableColumn id="6" xr3:uid="{C0A22187-40B7-435A-ABDA-27944F0D7030}" name="RECUPERO" dataDxfId="243"/>
    <tableColumn id="7" xr3:uid="{72E7F13E-9273-4AED-98D2-5508FB4A326C}" name="META" dataDxfId="242"/>
    <tableColumn id="30" xr3:uid="{CFEB99FE-9EED-4763-A696-5BC3DA916AC5}" name="ASER_"/>
    <tableColumn id="8" xr3:uid="{00AE5065-FE4D-45E6-A294-E826836A1E33}" name="3" dataDxfId="241"/>
    <tableColumn id="9" xr3:uid="{EF6C35AD-ACD8-4C7F-8937-91D53147656D}" name="4" dataDxfId="240"/>
    <tableColumn id="10" xr3:uid="{CF32F196-CA95-4750-A946-3E0AC1A85184}" name="5" dataDxfId="239"/>
    <tableColumn id="11" xr3:uid="{9F563EAD-A249-4851-B979-F5575DE957AB}" name="6" dataDxfId="238"/>
    <tableColumn id="12" xr3:uid="{D6A6323F-D160-499D-BD7C-7C323AE07CB0}" name="7" dataDxfId="237"/>
    <tableColumn id="13" xr3:uid="{D8839D7F-77FA-4448-ADBC-6D52D4F61BF2}" name="10" dataDxfId="236"/>
    <tableColumn id="14" xr3:uid="{46BCBBD6-EB67-46A1-A356-989FA4845EF7}" name="11" dataDxfId="235"/>
    <tableColumn id="15" xr3:uid="{B50A5F7B-5C7E-48C1-80DA-278B6510B811}" name="12" dataDxfId="234"/>
    <tableColumn id="16" xr3:uid="{05796B28-1DD1-422E-9658-78C2FB73FD83}" name="13" dataDxfId="233"/>
    <tableColumn id="17" xr3:uid="{DB0D6520-FFC2-440C-B97F-9604384ED84D}" name="14" dataDxfId="232"/>
    <tableColumn id="18" xr3:uid="{50423629-1D31-4CC8-B9D0-046394DFED68}" name="17" dataDxfId="231"/>
    <tableColumn id="19" xr3:uid="{80B70DB0-A059-4A28-A799-0529D6BF1263}" name="18" dataDxfId="230"/>
    <tableColumn id="20" xr3:uid="{CE0AE96C-2D78-4B18-ADD7-C86E26CE69AB}" name="19" dataDxfId="229"/>
    <tableColumn id="21" xr3:uid="{D6CA8ADF-F50B-4822-B7AD-A49AC8CD28E8}" name="20" dataDxfId="228"/>
    <tableColumn id="22" xr3:uid="{8D2522DF-F1BC-4031-89AD-8B4B3515396A}" name="21" dataDxfId="227"/>
    <tableColumn id="23" xr3:uid="{293ABA54-17AB-40AD-A5F9-E0308A358390}" name="24" dataDxfId="226"/>
    <tableColumn id="24" xr3:uid="{099B62F0-F67D-4CF2-8C6A-AD383B297F15}" name="25" dataDxfId="225"/>
    <tableColumn id="25" xr3:uid="{104E6C24-1381-41DA-BF76-0DD6D49DF0C1}" name="26" dataDxfId="224"/>
    <tableColumn id="26" xr3:uid="{095F601D-F187-4396-A356-C09936718FF5}" name="27" dataDxfId="223"/>
    <tableColumn id="27" xr3:uid="{4F9FCA77-406D-4319-913A-82D308726F04}" name="28" dataDxfId="222"/>
    <tableColumn id="28" xr3:uid="{5825F9EE-936A-4C38-B210-9DA3DA553F75}" name="29" dataDxfId="221"/>
    <tableColumn id="1" xr3:uid="{D8CEB774-F634-4903-AC1C-0BF18BDD3A03}" name="CARTERA ASESOR" dataDxfId="22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19"/>
    <tableColumn id="2" xr3:uid="{7E004A30-FB94-4ABB-88FD-3005F8FA00C6}" name="ASESOR_CRR" dataDxfId="218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7"/>
    <tableColumn id="7" xr3:uid="{AA9D9715-8EBE-4ECB-8BB4-3F41AF689173}" name="SUPER2" dataDxfId="216"/>
    <tableColumn id="5" xr3:uid="{DDD5C800-04E2-4D8A-8C83-C410D5DF7F70}" name="ASESOR" dataDxfId="215"/>
    <tableColumn id="6" xr3:uid="{88DDFA81-E306-4531-9C28-1EEEFB91AC37}" name="RECUPERO" dataDxfId="214"/>
    <tableColumn id="9" xr3:uid="{B4E0C179-9219-4DFF-AA71-3C7E15DC0CCB}" name="DNI" dataDxfId="13"/>
    <tableColumn id="10" xr3:uid="{A57DDDED-46A0-4CB6-B58A-B5F5FD8B6714}" name="FECHA DE INGRESO" dataDxfId="11"/>
    <tableColumn id="8" xr3:uid="{6D0B725E-AD90-4FB1-ACD9-0C7E61DBD30D}" name="ESTADO" dataDxfId="1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P8:BO14" totalsRowShown="0" headerRowDxfId="213" dataDxfId="212">
  <autoFilter ref="AP8:BO14" xr:uid="{EBC613B8-DDA0-40C2-A4A1-8722CD61E9A4}"/>
  <tableColumns count="26">
    <tableColumn id="5" xr3:uid="{074B6FAA-838C-491D-A02E-1DD85446A037}" name="META SUPER" dataDxfId="211"/>
    <tableColumn id="2" xr3:uid="{39564DF7-490C-4B42-BA0D-A0C7965369AD}" name="RECUPERO SUPERVISOR" dataDxfId="210"/>
    <tableColumn id="3" xr3:uid="{714DADEA-706C-4919-B3C2-F0BF1111E161}" name="ALCANCE SUPERVISOR" dataDxfId="209"/>
    <tableColumn id="1" xr3:uid="{9452BB90-F5DE-4B57-AF8A-BBAB41BDA625}" name="SUPER" dataDxfId="208"/>
    <tableColumn id="6" xr3:uid="{87C598B5-62D4-4EE7-861E-EEAA52C00585}" name="3" dataDxfId="207"/>
    <tableColumn id="7" xr3:uid="{633891A0-1EBF-4F76-A7F4-F66318664C43}" name="4" dataDxfId="206"/>
    <tableColumn id="8" xr3:uid="{0592F328-9F13-4B6C-80C9-E9F1845891CB}" name="5" dataDxfId="205"/>
    <tableColumn id="9" xr3:uid="{AE7882D8-BBFD-45AE-B2CB-28F66322BAEE}" name="6" dataDxfId="204"/>
    <tableColumn id="10" xr3:uid="{05F48497-7C3E-4EF2-8908-E3DDE502B309}" name="7" dataDxfId="203"/>
    <tableColumn id="11" xr3:uid="{BD05847D-8156-476D-9D43-53BF9B333675}" name="10" dataDxfId="202"/>
    <tableColumn id="12" xr3:uid="{407098C8-B89E-46C0-9B9A-DA4AD2929032}" name="11" dataDxfId="201"/>
    <tableColumn id="13" xr3:uid="{91FC56B9-68A8-46E6-AF86-C055E5241ADE}" name="12" dataDxfId="200"/>
    <tableColumn id="14" xr3:uid="{E1FFC0DE-105F-4D85-B671-ACC24555978C}" name="13" dataDxfId="199"/>
    <tableColumn id="15" xr3:uid="{6D9CB553-B7A7-4211-8DDF-E67D0F75BD0A}" name="14" dataDxfId="198"/>
    <tableColumn id="16" xr3:uid="{C060B537-6CE4-430B-8A22-7A540BACE464}" name="17" dataDxfId="197"/>
    <tableColumn id="17" xr3:uid="{4C8D59DE-F0E8-4B3F-8552-A394ADA4C013}" name="18" dataDxfId="196"/>
    <tableColumn id="18" xr3:uid="{3AB7DFB9-4558-4621-AB3C-3891ECC67DB4}" name="19" dataDxfId="195"/>
    <tableColumn id="19" xr3:uid="{ECC2D027-50E3-4374-BA37-6384A463E763}" name="20" dataDxfId="194"/>
    <tableColumn id="20" xr3:uid="{03C4446D-2883-4E24-87C6-489668916C57}" name="21" dataDxfId="193"/>
    <tableColumn id="21" xr3:uid="{1D103BD3-6849-47BB-B1AD-9FF31C3432E4}" name="24" dataDxfId="192"/>
    <tableColumn id="22" xr3:uid="{E2A6B954-BE7E-4918-9A92-245143E3726C}" name="25" dataDxfId="191"/>
    <tableColumn id="23" xr3:uid="{3BE5D700-08A4-480A-8651-AFBBD596763A}" name="26" dataDxfId="190"/>
    <tableColumn id="24" xr3:uid="{16A1ECF5-0D22-4B11-B95E-D5BF2A42B1A3}" name="27" dataDxfId="189"/>
    <tableColumn id="25" xr3:uid="{AACA19B9-FD00-4B90-8B58-181F058F24E3}" name="28" dataDxfId="188"/>
    <tableColumn id="26" xr3:uid="{2DE2D547-EE6E-49C4-858B-C4D674245BFC}" name="29" dataDxfId="187"/>
    <tableColumn id="4" xr3:uid="{9AD4619F-F825-4B54-8AE2-92E8B9E9E57F}" name="CARTERA" dataDxfId="18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M59" totalsRowShown="0" headerRowBorderDxfId="185" tableBorderDxfId="184">
  <autoFilter ref="M8:AM59" xr:uid="{90FB4C0E-F2DE-4EDC-B1EC-681DEA1C3B06}"/>
  <tableColumns count="27">
    <tableColumn id="5" xr3:uid="{B4C25367-266D-4CFD-B126-E990F1B705B9}" name="AL_AC" dataDxfId="183"/>
    <tableColumn id="2" xr3:uid="{B5D97F6A-AE7C-4FC3-8428-5737699DFEB1}" name="CLASIFICACIÓN" dataDxfId="182"/>
    <tableColumn id="3" xr3:uid="{BB03A19C-EA5E-4A7C-9910-2B74FE663EFC}" name="SUPERVISOR" dataDxfId="181"/>
    <tableColumn id="1" xr3:uid="{47FCFB9B-5515-45CC-BFF9-2785144AD854}" name="RECUPERO" dataDxfId="180"/>
    <tableColumn id="6" xr3:uid="{ED7BE75E-3624-4159-BFE7-645CEA862C3E}" name="META" dataDxfId="179"/>
    <tableColumn id="7" xr3:uid="{AD05A858-B012-4836-80E5-BF630A338442}" name="ASER_" dataDxfId="178"/>
    <tableColumn id="4" xr3:uid="{6792E8BB-5B6A-4E20-BC71-7F342FD1DE33}" name="1" dataDxfId="177"/>
    <tableColumn id="8" xr3:uid="{AFF95CFC-A6A6-4F82-9A47-D8F9735B080F}" name="2" dataDxfId="176"/>
    <tableColumn id="9" xr3:uid="{3EE2031A-4396-4C20-9B21-B423FD7A4983}" name="3" dataDxfId="175"/>
    <tableColumn id="10" xr3:uid="{98A61AE3-7932-414B-AE75-E4B9F37090B7}" name="4" dataDxfId="174"/>
    <tableColumn id="11" xr3:uid="{2B37FA03-0832-40E1-966B-188EC131A687}" name="5" dataDxfId="173"/>
    <tableColumn id="12" xr3:uid="{9A4E011C-C4A7-4F49-AD1B-BB28BEA4BF8C}" name="10" dataDxfId="172"/>
    <tableColumn id="13" xr3:uid="{EFB94F58-F00C-45C8-B4D0-E0C1802DF92E}" name="11" dataDxfId="171"/>
    <tableColumn id="14" xr3:uid="{F8800705-9DF6-4EEA-8D67-8321AE1E80D1}" name="12" dataDxfId="170"/>
    <tableColumn id="15" xr3:uid="{7B6D79FE-5D1B-462C-8037-0CACAB6F3911}" name="15" dataDxfId="169"/>
    <tableColumn id="16" xr3:uid="{E0E24420-1BF8-4BED-A5CC-D5EF1C7DF685}" name="16" dataDxfId="168"/>
    <tableColumn id="17" xr3:uid="{871FA82C-5019-42EF-A529-D11DB848F55F}" name="17" dataDxfId="167"/>
    <tableColumn id="18" xr3:uid="{388429A9-C1D2-4EE1-BB12-A7C9C48AA9F0}" name="18" dataDxfId="166"/>
    <tableColumn id="19" xr3:uid="{6D1522B5-D820-4F42-ADD5-A6062E68E06A}" name="19" dataDxfId="165"/>
    <tableColumn id="20" xr3:uid="{A78EF6CB-6A5A-488F-8EC5-34C0267191BD}" name="22" dataDxfId="164"/>
    <tableColumn id="21" xr3:uid="{0817989E-B5E4-435D-99FF-C9E1A1D429CD}" name="23" dataDxfId="163"/>
    <tableColumn id="22" xr3:uid="{5AE7BF00-6E17-4434-AFC3-A082971963E9}" name="24" dataDxfId="162"/>
    <tableColumn id="23" xr3:uid="{AC4528BB-516C-4650-8587-2267B9400C8D}" name="26" dataDxfId="161"/>
    <tableColumn id="24" xr3:uid="{AB7921F2-B36A-4ABC-9DBC-BB0EC20ACC62}" name="29" dataDxfId="160"/>
    <tableColumn id="25" xr3:uid="{5D1446EA-3DB7-4807-AE25-EB2149040D6D}" name="30" dataDxfId="159"/>
    <tableColumn id="26" xr3:uid="{B5F2A170-57DC-49D6-9752-24386332D295}" name="31" dataDxfId="158"/>
    <tableColumn id="27" xr3:uid="{D1831881-0F77-44D4-82FA-57779D5E74BA}" name="CARTERA ASESOR" dataDxfId="157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6">
  <autoFilter ref="A2:J53" xr:uid="{0A33CB5E-7EB5-4C86-9959-A823C2BDBBB9}"/>
  <tableColumns count="10">
    <tableColumn id="1" xr3:uid="{51989F96-0689-4D57-8685-B8A3DF492A97}" name="SUPER" dataDxfId="155"/>
    <tableColumn id="2" xr3:uid="{C1D8B208-A530-42D3-A6B3-202247844AC6}" name="ASESOR_CRR" dataDxfId="154"/>
    <tableColumn id="5" xr3:uid="{0E2E2A96-2FDE-425E-A454-24F26F26F817}" name="META" dataDxfId="153">
      <calculatedColumnFormula>VLOOKUP(D1_DICIEMBRE_2025[[#This Row],[SUPER]],DATA_DICIEMBRE_2025[[SUPERVISOR]:[META]],3,0)</calculatedColumnFormula>
    </tableColumn>
    <tableColumn id="6" xr3:uid="{99265ED5-3CFF-4A20-97B4-3560EE99C717}" name="ALCANCE" dataDxfId="152"/>
    <tableColumn id="7" xr3:uid="{374D40BE-0CEA-496A-A350-4762CACC979E}" name="SUPER2" dataDxfId="151"/>
    <tableColumn id="3" xr3:uid="{CE2FC99C-C2FA-4CF8-B4D5-38DB34F6C4C0}" name="ASESOR"/>
    <tableColumn id="4" xr3:uid="{1034AC9B-8A72-4332-A474-8471A1B8C391}" name="RECUPERO" dataDxfId="150"/>
    <tableColumn id="8" xr3:uid="{51D1D4C9-F574-4F9F-BB5F-619CFC8367F6}" name="DNI" dataDxfId="149"/>
    <tableColumn id="9" xr3:uid="{1F94989E-BD68-4711-BF6F-AABBC6D00AD3}" name="FECHA DE INGRESO" dataDxfId="148"/>
    <tableColumn id="10" xr3:uid="{26BBC886-44C6-4729-85D8-0B926A843BA1}" name="ESTADO" dataDxfId="147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O8:BM13" totalsRowShown="0" headerRowDxfId="146" dataDxfId="144" headerRowBorderDxfId="145" tableBorderDxfId="143" totalsRowBorderDxfId="142">
  <autoFilter ref="AO8:BM13" xr:uid="{85547817-F0EB-410B-A548-9876F8A51100}"/>
  <tableColumns count="25">
    <tableColumn id="2" xr3:uid="{68E67A80-18A4-4734-A9E7-E6917BDD1EDB}" name="META SUPER" dataDxfId="141"/>
    <tableColumn id="3" xr3:uid="{DED03312-7BDA-4CEA-9273-AA5DB2237A5F}" name="RECUPERO SUPERVISOR" dataDxfId="140"/>
    <tableColumn id="4" xr3:uid="{5A956735-F760-4B1F-B874-402D928B71EA}" name="ALCANCE SUPERVISOR" dataDxfId="139"/>
    <tableColumn id="1" xr3:uid="{ED2A948C-9442-4C47-9BE9-277A3D6239D3}" name="SUPER" dataDxfId="138"/>
    <tableColumn id="6" xr3:uid="{6E784300-7704-4F45-8E90-F7C2D4F71F66}" name="1" dataDxfId="137"/>
    <tableColumn id="7" xr3:uid="{EA789C05-CA47-4D66-B493-7D6222022389}" name="2" dataDxfId="136"/>
    <tableColumn id="8" xr3:uid="{4ACB3C1D-600B-4503-9368-987BC1B3B0EA}" name="3" dataDxfId="135"/>
    <tableColumn id="9" xr3:uid="{B5C8B277-5A83-47A1-95FD-A620D749E785}" name="4" dataDxfId="134"/>
    <tableColumn id="10" xr3:uid="{FB101921-E892-41E0-B8B7-4141F51A83BB}" name="5" dataDxfId="133"/>
    <tableColumn id="11" xr3:uid="{C777EEA2-F048-439C-9EA1-0C4C731AA6E9}" name="10" dataDxfId="132"/>
    <tableColumn id="12" xr3:uid="{7AA80CD7-0570-4507-8C49-9CF331F01C83}" name="11" dataDxfId="131"/>
    <tableColumn id="13" xr3:uid="{F115F6D4-E69D-46D7-AD4B-F13AFDF74268}" name="12" dataDxfId="130"/>
    <tableColumn id="14" xr3:uid="{393E1035-13E1-4131-B853-53B4CA536CF0}" name="15" dataDxfId="129"/>
    <tableColumn id="15" xr3:uid="{7FF1CB48-1402-460C-BDDE-C67F81F66807}" name="16" dataDxfId="128"/>
    <tableColumn id="16" xr3:uid="{419173FA-3C44-4167-9CA2-3C07CF180C9B}" name="17" dataDxfId="127"/>
    <tableColumn id="17" xr3:uid="{A8A10E2B-AFD7-46D0-8149-9A05D1EC2C03}" name="18" dataDxfId="126"/>
    <tableColumn id="18" xr3:uid="{CF29209E-568F-4788-AE4E-864CF179A3F5}" name="19" dataDxfId="125"/>
    <tableColumn id="19" xr3:uid="{C33D5154-B635-4235-8170-2F374C119543}" name="22" dataDxfId="124"/>
    <tableColumn id="20" xr3:uid="{70E870EC-47B5-4461-AC8F-7662212D49E0}" name="23" dataDxfId="123"/>
    <tableColumn id="21" xr3:uid="{2215DAF3-2DFC-47A4-940A-DC348054A7EB}" name="24" dataDxfId="122"/>
    <tableColumn id="22" xr3:uid="{BE707551-BD9D-4E46-9F38-1BF8DA272627}" name="26" dataDxfId="121"/>
    <tableColumn id="23" xr3:uid="{BA6108F0-3F12-4B54-8E19-7FF232FA9893}" name="29" dataDxfId="120"/>
    <tableColumn id="24" xr3:uid="{B18366FB-64C7-4779-8DB9-91A30E111223}" name="30" dataDxfId="119"/>
    <tableColumn id="25" xr3:uid="{8BD30A4B-DE19-4C3A-8A9E-7FFE10B8C56B}" name="31" dataDxfId="118"/>
    <tableColumn id="5" xr3:uid="{1A8ADD20-D8A3-4981-B322-7C16CBD19ABB}" name="CARTERA" dataDxfId="117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16" tableBorderDxfId="115">
  <autoFilter ref="M8:AO59" xr:uid="{C43AC382-896C-48E3-967E-003D8C3BB4E1}"/>
  <tableColumns count="29">
    <tableColumn id="5" xr3:uid="{3070F4BF-8DA0-42C9-A329-60BF3937C6CD}" name="AL_AC" dataDxfId="114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13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12">
      <calculatedColumnFormula>IFERROR(VLOOKUP(DATA_ENERO_2026[[#This Row],[ASER_]],$B:$G,4,0),"")</calculatedColumnFormula>
    </tableColumn>
    <tableColumn id="1" xr3:uid="{9CEE94D1-F610-44F2-BECC-051BA76BFF42}" name="RECUPERO" dataDxfId="111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110">
      <calculatedColumnFormula>VLOOKUP(DATA_ENERO_2026[[#This Row],[ASER_]],D1_ENERO_2026[[ASESOR_CRR]:[META]],2,0)</calculatedColumnFormula>
    </tableColumn>
    <tableColumn id="7" xr3:uid="{AC7A2592-ACAD-4ED6-8351-E4B65FF33302}" name="ASER_" dataDxfId="109"/>
    <tableColumn id="4" xr3:uid="{DA0D3C8E-070D-4088-AECD-5F2EBC6508EA}" name="2" dataDxfId="108"/>
    <tableColumn id="8" xr3:uid="{D7FBF1F2-5A46-485F-925D-86EC9088EE46}" name="5" dataDxfId="107"/>
    <tableColumn id="9" xr3:uid="{98D48677-E650-4067-8686-1CC9080B6D71}" name="6" dataDxfId="106"/>
    <tableColumn id="10" xr3:uid="{A974A4A9-21AF-43B2-9C93-C6F103E8C411}" name="7" dataDxfId="105"/>
    <tableColumn id="11" xr3:uid="{D058D028-4AAB-47B9-A7D3-876CEDD146AA}" name="8" dataDxfId="104"/>
    <tableColumn id="12" xr3:uid="{307618CA-E43D-42A3-8C03-88388003A5BF}" name="9" dataDxfId="103"/>
    <tableColumn id="13" xr3:uid="{65D16E27-3C15-4385-9A4F-B28821EF4DF6}" name="12" dataDxfId="102"/>
    <tableColumn id="14" xr3:uid="{5A29EA5C-756B-4F6D-B764-BBEF2AB98C7D}" name="13" dataDxfId="101"/>
    <tableColumn id="15" xr3:uid="{3B9CE493-BFF8-40F7-8EBA-E6D80D76579A}" name="14" dataDxfId="100"/>
    <tableColumn id="16" xr3:uid="{AEBDE2A8-76B9-42D9-9059-4EA0D9C9EF1E}" name="15" dataDxfId="99"/>
    <tableColumn id="17" xr3:uid="{0874DB56-268A-4369-AFDE-AC61ECA55C23}" name="16" dataDxfId="98"/>
    <tableColumn id="18" xr3:uid="{E7197C37-94F8-4DE8-B898-F87CE13A355A}" name="19" dataDxfId="97"/>
    <tableColumn id="19" xr3:uid="{0266C1AC-EA27-4324-B7B0-8AB3B4A997D1}" name="20" dataDxfId="96"/>
    <tableColumn id="20" xr3:uid="{645E39B2-DC80-4E66-9458-0C362658FA9E}" name="21" dataDxfId="95"/>
    <tableColumn id="21" xr3:uid="{D0A909F0-E9C1-4BFB-A1C7-251196BA5DC0}" name="22" dataDxfId="94"/>
    <tableColumn id="22" xr3:uid="{CD196172-6AE3-4DE5-A06F-949E71EBEB0F}" name="23" dataDxfId="93"/>
    <tableColumn id="23" xr3:uid="{F4228B36-78DF-4ADD-88C1-72728A3AEB39}" name="26" dataDxfId="92"/>
    <tableColumn id="24" xr3:uid="{E94F1207-568E-4B89-8DB0-06CEBC5513E0}" name="27" dataDxfId="91"/>
    <tableColumn id="25" xr3:uid="{8DA8D870-2FE5-422D-A1EF-11DB81F83097}" name="28" dataDxfId="90"/>
    <tableColumn id="28" xr3:uid="{FAD5EAB1-F7EE-4FE6-B3BF-11079DEEBD18}" name="29"/>
    <tableColumn id="27" xr3:uid="{46F7627A-6099-49D4-B43B-10DFF8D2CADE}" name="30"/>
    <tableColumn id="26" xr3:uid="{05239370-8193-46BE-88F4-2AF50C4EE933}" name="31" dataDxfId="89"/>
    <tableColumn id="29" xr3:uid="{D20EC82C-02AB-47E1-8B4F-0454088553EB}" name="CARTERA ASESOR" dataDxfId="88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87">
  <autoFilter ref="A2:J56" xr:uid="{AB1967BC-98FE-49B9-B96E-7F91454A75DF}"/>
  <tableColumns count="10">
    <tableColumn id="1" xr3:uid="{E8C9BFA3-A821-4545-B3F0-1D85338E10F0}" name="SUPER" dataDxfId="86">
      <calculatedColumnFormula>IFERROR(VLOOKUP(D1_ENERO_2026[[#This Row],[ASESOR_CRR]],PLANTILLA_ACTUAL[],2,0),"")</calculatedColumnFormula>
    </tableColumn>
    <tableColumn id="2" xr3:uid="{3FE812CA-3CC6-4126-82E1-67F5FCA4D1F0}" name="ASESOR_CRR" dataDxfId="85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84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83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82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81"/>
    <tableColumn id="11" xr3:uid="{F601E667-9F29-4288-9F5A-767AD7CB84C9}" name="DNI" dataDxfId="80">
      <calculatedColumnFormula>VLOOKUP(D1_ENERO_2026[[#This Row],[ASESOR_CRR]],DIM!$C:$E,2,0)</calculatedColumnFormula>
    </tableColumn>
    <tableColumn id="12" xr3:uid="{8CE4D8BD-BFA8-4524-B7CC-97B4155A1DC0}" name="FECHA DE INGRESO" dataDxfId="79">
      <calculatedColumnFormula>VLOOKUP(D1_ENERO_2026[[#This Row],[ASESOR_CRR]],DIM!$C:$E,3,0)</calculatedColumnFormula>
    </tableColumn>
    <tableColumn id="8" xr3:uid="{38F96A8E-46ED-488B-B51E-F10392587B25}" name="ESTADO" dataDxfId="78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77" dataDxfId="75" headerRowBorderDxfId="76" tableBorderDxfId="74" totalsRowBorderDxfId="73">
  <autoFilter ref="AQ8:BQ13" xr:uid="{D9D89D51-DAB1-406D-9BCC-FA9DDE7F1EF0}"/>
  <tableColumns count="27">
    <tableColumn id="2" xr3:uid="{08060355-86C1-47A6-9DB1-6B46E3007B8A}" name="META SUPER" dataDxfId="72">
      <calculatedColumnFormula>VLOOKUP($M$3&amp;$N$3&amp;DITE_ENERO_2026[[#This Row],[SUPER]],TablaMeta[],5,0)</calculatedColumnFormula>
    </tableColumn>
    <tableColumn id="3" xr3:uid="{FDF7E5B8-6E43-422A-BFC9-1CCD7EE7F4E8}" name="RECUPERO SUPERVISOR" dataDxfId="71">
      <calculatedColumnFormula>MAX(DITE_ENERO_2026[[#This Row],[SUPER]:[CARTERA]])</calculatedColumnFormula>
    </tableColumn>
    <tableColumn id="4" xr3:uid="{F9F9E33D-CF47-4A7B-B383-5185C72E6DBF}" name="ALCANCE SUPERVISOR" dataDxfId="70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69"/>
    <tableColumn id="6" xr3:uid="{C6BD95E9-37E9-4C3B-8FAC-71C063D3CCCF}" name="2" dataDxfId="68"/>
    <tableColumn id="7" xr3:uid="{154D80CB-9358-4F70-B790-869141CEED69}" name="5" dataDxfId="67"/>
    <tableColumn id="27" xr3:uid="{B1E200F5-8C17-45BD-9A07-4B3CFCF2F55B}" name="6" dataDxfId="66"/>
    <tableColumn id="26" xr3:uid="{C4A34376-F48F-4D30-891F-680F0DC972B5}" name="7" dataDxfId="65"/>
    <tableColumn id="8" xr3:uid="{B8634A52-4E10-47C7-A2E2-7268D75FF3B1}" name="8" dataDxfId="64"/>
    <tableColumn id="9" xr3:uid="{50F52F97-2FFF-429B-8205-9821B5E2DDA3}" name="9" dataDxfId="63"/>
    <tableColumn id="10" xr3:uid="{6CA0D076-C021-4ECD-9708-296693BD3D20}" name="12" dataDxfId="62"/>
    <tableColumn id="11" xr3:uid="{60AC6543-9932-43CA-8508-68010867604A}" name="13" dataDxfId="61"/>
    <tableColumn id="12" xr3:uid="{0838B302-CF6C-41FA-9981-2C61DC3D728B}" name="14" dataDxfId="60"/>
    <tableColumn id="13" xr3:uid="{26042530-89B3-48FD-877D-23191B67C000}" name="15" dataDxfId="59"/>
    <tableColumn id="14" xr3:uid="{995CAE1C-81F5-4376-9FBF-9057F92CEBA2}" name="16" dataDxfId="58"/>
    <tableColumn id="15" xr3:uid="{CE078F22-32E6-477A-8610-B39D8802D198}" name="19" dataDxfId="57"/>
    <tableColumn id="16" xr3:uid="{E61DEB3E-541F-4914-B1D0-C31E52B10974}" name="20" dataDxfId="56"/>
    <tableColumn id="17" xr3:uid="{EC1E57C1-8228-4A17-A0ED-ACC28C9F0842}" name="21" dataDxfId="55"/>
    <tableColumn id="18" xr3:uid="{2DA8EC35-62DF-44D7-9B0C-1DA9FD7CFD91}" name="22" dataDxfId="54"/>
    <tableColumn id="19" xr3:uid="{302180D2-EA42-43C4-9FEA-201681FA861E}" name="23" dataDxfId="53"/>
    <tableColumn id="20" xr3:uid="{451825B8-387D-40FA-8E98-2EFAE991267E}" name="26" dataDxfId="52"/>
    <tableColumn id="21" xr3:uid="{026C2977-2F45-419E-AE54-92E82A6FE474}" name="27" dataDxfId="51"/>
    <tableColumn id="22" xr3:uid="{3BBAF7E2-3A2C-4E90-AE74-EEF9947AB60E}" name="28" dataDxfId="50"/>
    <tableColumn id="23" xr3:uid="{8879B076-C842-409F-9B19-61F59EF05584}" name="29" dataDxfId="49"/>
    <tableColumn id="24" xr3:uid="{AF13A28F-47F7-4494-B809-B096327E1B45}" name="30" dataDxfId="48"/>
    <tableColumn id="25" xr3:uid="{89BC57AE-7003-4222-9075-CD5FB2129550}" name="31" dataDxfId="47"/>
    <tableColumn id="5" xr3:uid="{E0FECB44-CCD1-447F-A9BF-090DD9D8B323}" name="CARTERA" dataDxfId="46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45"/>
    <tableColumn id="2" xr3:uid="{4006F32F-EE4A-427A-AF49-74D52FBF6D53}" uniqueName="2" name="PUESTO REAL" queryTableFieldId="10"/>
    <tableColumn id="3" xr3:uid="{E33DD98B-2314-40D0-9DFA-F987324F30A3}" uniqueName="3" name="FEC_NAC" queryTableFieldId="3" dataDxfId="44"/>
    <tableColumn id="4" xr3:uid="{8397B954-43F8-46B6-880D-47B541CAB0B9}" uniqueName="4" name="NOMBRE" queryTableFieldId="4" dataDxfId="43"/>
    <tableColumn id="8" xr3:uid="{C558150D-EEDC-4907-8F09-51F784EDF9BF}" uniqueName="8" name="PUESTO" queryTableFieldId="8" dataDxfId="42"/>
    <tableColumn id="7" xr3:uid="{C74AABE2-4219-45A4-BAE7-8D08B65D7B0D}" uniqueName="7" name="MES" queryTableFieldId="7" dataDxfId="4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39" dataDxfId="38">
  <autoFilter ref="A1:F55" xr:uid="{4B4B5CC4-5C3C-461A-AA1A-DC9321B1B957}"/>
  <tableColumns count="6">
    <tableColumn id="2" xr3:uid="{B4EEF3CC-7678-42BF-B035-CD88AB68C0D3}" name="ASESOR" dataDxfId="37"/>
    <tableColumn id="3" xr3:uid="{FB1CB57E-C468-417E-ABD0-3CE9B78E9634}" name="SUPERVISOR" dataDxfId="36"/>
    <tableColumn id="1" xr3:uid="{F397A808-BFC5-4F06-9B9C-381F51115E45}" name="PO" dataDxfId="35">
      <calculatedColumnFormula>PLANTILLA_ACTUAL[[#This Row],[ASESOR]]</calculatedColumnFormula>
    </tableColumn>
    <tableColumn id="4" xr3:uid="{014C9F4C-C2F1-4CF8-BCC7-D113C12A1316}" name="DNI" dataDxfId="34"/>
    <tableColumn id="5" xr3:uid="{8A032F20-8CA2-40BD-8E54-462A8D907821}" name="FECHA DE INGRESO" dataDxfId="33"/>
    <tableColumn id="6" xr3:uid="{ABB44D38-5F55-4F91-B375-D4C8E4A5B56A}" name="ESTADO" dataDxfId="32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31" headerRowBorderDxfId="30" tableBorderDxfId="29" totalsRowBorderDxfId="28">
  <autoFilter ref="A1:G183" xr:uid="{C41E08BB-0323-438E-BFE0-76BBB5F11D04}"/>
  <tableColumns count="7">
    <tableColumn id="1" xr3:uid="{392AC838-52ED-4D24-AEEF-DBB8AB8874AD}" name="CONCAT" dataDxfId="2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6"/>
    <tableColumn id="2" xr3:uid="{6AF5A16E-DFBE-42B7-BDA1-6E8694A629C3}" name="mes" dataDxfId="25"/>
    <tableColumn id="4" xr3:uid="{10D1F902-532A-4C8C-AB27-C2F522F14EA7}" name="Equipo" dataDxfId="24"/>
    <tableColumn id="5" xr3:uid="{75A35478-8934-432E-843B-D174D5C58C71}" name="Meta_Equipo" dataDxfId="23"/>
    <tableColumn id="6" xr3:uid="{C4DF57EE-8F57-44C8-ABE6-43EEF1F9DA62}" name="Meta_Asesor" dataDxfId="22"/>
    <tableColumn id="3" xr3:uid="{95E3CE54-9C14-4F51-963D-FFEEB667B07A}" name="SEGG" dataDxfId="21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20"/>
    <tableColumn id="1" xr3:uid="{A623E76D-4FA0-4B02-8A90-7970B94DF34B}" name="ASESOR" dataDxfId="19"/>
    <tableColumn id="2" xr3:uid="{9E723AA3-04D3-429E-B399-716F0DC3F71B}" name="DNI" dataDxfId="18">
      <calculatedColumnFormula>VLOOKUP(Tabla31[[#This Row],[ASESOR]],DIM!$A:$D,4,0)</calculatedColumnFormula>
    </tableColumn>
    <tableColumn id="5" xr3:uid="{92D90274-A82D-4355-9559-8897FF3C2E5E}" name="EQUIPO" dataDxfId="17">
      <calculatedColumnFormula>VLOOKUP(Tabla31[[#This Row],[ASESOR]],ENERO_2026!$B:$E,4,0)</calculatedColumnFormula>
    </tableColumn>
    <tableColumn id="4" xr3:uid="{6C714FD8-5FBA-40C9-B203-737ABF147461}" name="RECUPERO" dataDxfId="16">
      <calculatedColumnFormula>VLOOKUP(Tabla31[[#This Row],[ASESOR]],ENERO_2026!B:G,6,0)</calculatedColumnFormula>
    </tableColumn>
    <tableColumn id="6" xr3:uid="{6F1879E2-7433-4097-83E7-004BFF482A1A}" name="MONTO" dataDxfId="15"/>
    <tableColumn id="7" xr3:uid="{3479ECBD-4505-4CB0-83C8-6F46A3C0F87C}" name="META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AU79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47" x14ac:dyDescent="0.25">
      <c r="L1" s="59"/>
    </row>
    <row r="2" spans="1:4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7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47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47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47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47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47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561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562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563</v>
      </c>
      <c r="AP8" s="41" t="s">
        <v>555</v>
      </c>
      <c r="AQ8" s="41" t="s">
        <v>556</v>
      </c>
      <c r="AR8" s="41" t="s">
        <v>557</v>
      </c>
      <c r="AS8" s="41" t="s">
        <v>558</v>
      </c>
      <c r="AT8" s="41" t="s">
        <v>559</v>
      </c>
      <c r="AU8" s="19" t="s">
        <v>134</v>
      </c>
    </row>
    <row r="9" spans="1:47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L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 t="s">
        <v>150</v>
      </c>
      <c r="U9">
        <v>439600</v>
      </c>
      <c r="V9" s="12">
        <v>333983</v>
      </c>
      <c r="W9" s="18">
        <v>0.75974294813466792</v>
      </c>
      <c r="X9" t="s">
        <v>7</v>
      </c>
      <c r="Y9">
        <v>17780</v>
      </c>
      <c r="Z9">
        <v>41149</v>
      </c>
      <c r="AA9">
        <v>46521</v>
      </c>
      <c r="AB9">
        <v>54654</v>
      </c>
      <c r="AC9">
        <v>68554</v>
      </c>
      <c r="AD9">
        <v>102944</v>
      </c>
      <c r="AE9">
        <v>110774</v>
      </c>
      <c r="AF9">
        <v>117274</v>
      </c>
      <c r="AG9">
        <v>125224</v>
      </c>
      <c r="AH9">
        <v>148641</v>
      </c>
      <c r="AI9">
        <v>153134</v>
      </c>
      <c r="AJ9">
        <v>154908</v>
      </c>
      <c r="AK9">
        <v>170808</v>
      </c>
      <c r="AL9">
        <v>189515</v>
      </c>
      <c r="AM9">
        <v>195540</v>
      </c>
      <c r="AN9">
        <v>207618</v>
      </c>
      <c r="AO9">
        <v>234205</v>
      </c>
      <c r="AP9">
        <v>247830</v>
      </c>
      <c r="AQ9">
        <v>256605</v>
      </c>
      <c r="AR9">
        <v>264389</v>
      </c>
      <c r="AS9">
        <v>300652</v>
      </c>
      <c r="AT9">
        <v>333983</v>
      </c>
      <c r="AU9" s="12" t="s">
        <v>150</v>
      </c>
    </row>
    <row r="10" spans="1:47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L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 t="s">
        <v>150</v>
      </c>
      <c r="U10">
        <v>439600</v>
      </c>
      <c r="V10" s="12">
        <v>442473</v>
      </c>
      <c r="W10" s="18">
        <v>1.0065354868061875</v>
      </c>
      <c r="X10" t="s">
        <v>4</v>
      </c>
      <c r="Y10">
        <v>4876</v>
      </c>
      <c r="Z10">
        <v>25471</v>
      </c>
      <c r="AA10">
        <v>28471</v>
      </c>
      <c r="AB10">
        <v>43461</v>
      </c>
      <c r="AC10">
        <v>52136</v>
      </c>
      <c r="AD10">
        <v>56986</v>
      </c>
      <c r="AE10">
        <v>98523</v>
      </c>
      <c r="AF10">
        <v>114672</v>
      </c>
      <c r="AG10">
        <v>149531</v>
      </c>
      <c r="AH10">
        <v>168047</v>
      </c>
      <c r="AI10">
        <v>178578</v>
      </c>
      <c r="AJ10">
        <v>200528</v>
      </c>
      <c r="AK10">
        <v>220440</v>
      </c>
      <c r="AL10">
        <v>247852</v>
      </c>
      <c r="AM10">
        <v>255392</v>
      </c>
      <c r="AN10">
        <v>283392</v>
      </c>
      <c r="AO10">
        <v>314127</v>
      </c>
      <c r="AP10">
        <v>333972</v>
      </c>
      <c r="AQ10">
        <v>340037</v>
      </c>
      <c r="AR10">
        <v>354217</v>
      </c>
      <c r="AS10">
        <v>388073</v>
      </c>
      <c r="AT10">
        <v>442473</v>
      </c>
      <c r="AU10" s="12" t="s">
        <v>150</v>
      </c>
    </row>
    <row r="11" spans="1:47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L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 t="s">
        <v>150</v>
      </c>
      <c r="U11">
        <v>439600</v>
      </c>
      <c r="V11" s="12">
        <v>470426</v>
      </c>
      <c r="W11" s="18">
        <v>1.070122838944495</v>
      </c>
      <c r="X11" t="s">
        <v>5</v>
      </c>
      <c r="Y11">
        <v>4181</v>
      </c>
      <c r="Z11">
        <v>31923</v>
      </c>
      <c r="AA11">
        <v>37723</v>
      </c>
      <c r="AB11">
        <v>54723</v>
      </c>
      <c r="AC11">
        <v>81256</v>
      </c>
      <c r="AD11">
        <v>86611</v>
      </c>
      <c r="AE11">
        <v>90171</v>
      </c>
      <c r="AF11">
        <v>94871</v>
      </c>
      <c r="AG11">
        <v>102871</v>
      </c>
      <c r="AH11">
        <v>109403</v>
      </c>
      <c r="AI11">
        <v>137844</v>
      </c>
      <c r="AJ11">
        <v>145413</v>
      </c>
      <c r="AK11">
        <v>151963</v>
      </c>
      <c r="AL11">
        <v>168450</v>
      </c>
      <c r="AM11">
        <v>181871</v>
      </c>
      <c r="AN11">
        <v>219230</v>
      </c>
      <c r="AO11">
        <v>270130</v>
      </c>
      <c r="AP11">
        <v>284748</v>
      </c>
      <c r="AQ11">
        <v>330478</v>
      </c>
      <c r="AR11">
        <v>373561</v>
      </c>
      <c r="AS11">
        <v>402445</v>
      </c>
      <c r="AT11">
        <v>470426</v>
      </c>
      <c r="AU11" s="12" t="s">
        <v>150</v>
      </c>
    </row>
    <row r="12" spans="1:47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L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 t="s">
        <v>150</v>
      </c>
      <c r="U12">
        <v>174200</v>
      </c>
      <c r="V12" s="12">
        <v>145607</v>
      </c>
      <c r="W12" s="18">
        <v>0.83586107921928821</v>
      </c>
      <c r="X12" t="s">
        <v>2</v>
      </c>
      <c r="Y12">
        <v>4800</v>
      </c>
      <c r="Z12">
        <v>7690</v>
      </c>
      <c r="AA12">
        <v>11776</v>
      </c>
      <c r="AB12">
        <v>18956</v>
      </c>
      <c r="AC12">
        <v>23304</v>
      </c>
      <c r="AD12">
        <v>27554</v>
      </c>
      <c r="AE12">
        <v>34945</v>
      </c>
      <c r="AF12">
        <v>36260</v>
      </c>
      <c r="AG12">
        <v>41505</v>
      </c>
      <c r="AH12">
        <v>44501</v>
      </c>
      <c r="AI12">
        <v>49857</v>
      </c>
      <c r="AJ12">
        <v>52119</v>
      </c>
      <c r="AK12">
        <v>58019</v>
      </c>
      <c r="AL12">
        <v>61599</v>
      </c>
      <c r="AM12">
        <v>63689</v>
      </c>
      <c r="AN12">
        <v>70399</v>
      </c>
      <c r="AO12">
        <v>73933</v>
      </c>
      <c r="AP12">
        <v>90279</v>
      </c>
      <c r="AQ12">
        <v>97032</v>
      </c>
      <c r="AR12">
        <v>108007</v>
      </c>
      <c r="AS12">
        <v>117222</v>
      </c>
      <c r="AT12">
        <v>145607</v>
      </c>
      <c r="AU12" s="12" t="s">
        <v>151</v>
      </c>
    </row>
    <row r="13" spans="1:47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L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 t="s">
        <v>150</v>
      </c>
      <c r="U13">
        <v>108600</v>
      </c>
      <c r="V13" s="12">
        <v>123405</v>
      </c>
      <c r="W13" s="18">
        <v>1.1363259668508288</v>
      </c>
      <c r="X13" t="s">
        <v>115</v>
      </c>
      <c r="Y13">
        <v>1937</v>
      </c>
      <c r="Z13">
        <v>6058</v>
      </c>
      <c r="AA13">
        <v>11310</v>
      </c>
      <c r="AB13">
        <v>13085</v>
      </c>
      <c r="AC13">
        <v>15730</v>
      </c>
      <c r="AD13">
        <v>23190</v>
      </c>
      <c r="AE13">
        <v>26697</v>
      </c>
      <c r="AF13">
        <v>31579</v>
      </c>
      <c r="AG13">
        <v>35853</v>
      </c>
      <c r="AH13">
        <v>42280</v>
      </c>
      <c r="AI13">
        <v>49131</v>
      </c>
      <c r="AJ13">
        <v>53133</v>
      </c>
      <c r="AK13">
        <v>58315</v>
      </c>
      <c r="AL13">
        <v>66507</v>
      </c>
      <c r="AM13">
        <v>69465</v>
      </c>
      <c r="AN13">
        <v>76511</v>
      </c>
      <c r="AO13">
        <v>85040</v>
      </c>
      <c r="AP13">
        <v>91780</v>
      </c>
      <c r="AQ13">
        <v>101072</v>
      </c>
      <c r="AR13">
        <v>103946</v>
      </c>
      <c r="AS13">
        <v>114832</v>
      </c>
      <c r="AT13">
        <v>123405</v>
      </c>
      <c r="AU13" s="12" t="s">
        <v>151</v>
      </c>
    </row>
    <row r="14" spans="1:47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L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 t="s">
        <v>150</v>
      </c>
      <c r="U14">
        <v>209900</v>
      </c>
      <c r="V14" s="12">
        <v>225629</v>
      </c>
      <c r="W14" s="18">
        <v>1.0749356836588853</v>
      </c>
      <c r="X14" t="s">
        <v>6</v>
      </c>
      <c r="Y14">
        <v>4700</v>
      </c>
      <c r="Z14">
        <v>14400</v>
      </c>
      <c r="AA14">
        <v>21600</v>
      </c>
      <c r="AB14">
        <v>29082</v>
      </c>
      <c r="AC14">
        <v>45481</v>
      </c>
      <c r="AD14">
        <v>63089</v>
      </c>
      <c r="AE14">
        <v>64139</v>
      </c>
      <c r="AF14">
        <v>70186</v>
      </c>
      <c r="AG14">
        <v>71536</v>
      </c>
      <c r="AH14">
        <v>85961</v>
      </c>
      <c r="AI14">
        <v>93111</v>
      </c>
      <c r="AJ14">
        <v>95211</v>
      </c>
      <c r="AK14">
        <v>100611</v>
      </c>
      <c r="AL14">
        <v>114811</v>
      </c>
      <c r="AM14">
        <v>144281</v>
      </c>
      <c r="AN14">
        <v>150531</v>
      </c>
      <c r="AO14">
        <v>152499</v>
      </c>
      <c r="AP14">
        <v>168999</v>
      </c>
      <c r="AQ14">
        <v>180179</v>
      </c>
      <c r="AR14">
        <v>181129</v>
      </c>
      <c r="AS14">
        <v>200489</v>
      </c>
      <c r="AT14">
        <v>225629</v>
      </c>
      <c r="AU14" s="12" t="s">
        <v>152</v>
      </c>
    </row>
    <row r="15" spans="1:47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L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 t="s">
        <v>150</v>
      </c>
      <c r="U15">
        <v>200500</v>
      </c>
      <c r="V15" s="12">
        <v>146522</v>
      </c>
      <c r="W15" s="18">
        <v>0.73078304239401493</v>
      </c>
      <c r="X15" t="s">
        <v>9</v>
      </c>
      <c r="Y15">
        <v>5596</v>
      </c>
      <c r="Z15">
        <v>7944</v>
      </c>
      <c r="AA15">
        <v>10464</v>
      </c>
      <c r="AB15">
        <v>13664</v>
      </c>
      <c r="AC15">
        <v>18359</v>
      </c>
      <c r="AD15">
        <v>21789</v>
      </c>
      <c r="AE15">
        <v>29089</v>
      </c>
      <c r="AF15">
        <v>31914</v>
      </c>
      <c r="AG15">
        <v>42751</v>
      </c>
      <c r="AH15">
        <v>47131</v>
      </c>
      <c r="AI15">
        <v>50204</v>
      </c>
      <c r="AJ15">
        <v>56854</v>
      </c>
      <c r="AK15">
        <v>67954</v>
      </c>
      <c r="AL15">
        <v>71914</v>
      </c>
      <c r="AM15">
        <v>79844</v>
      </c>
      <c r="AN15">
        <v>83394</v>
      </c>
      <c r="AO15">
        <v>88419</v>
      </c>
      <c r="AP15">
        <v>101904</v>
      </c>
      <c r="AQ15">
        <v>106056</v>
      </c>
      <c r="AR15">
        <v>109526</v>
      </c>
      <c r="AS15">
        <v>132936</v>
      </c>
      <c r="AT15">
        <v>146522</v>
      </c>
      <c r="AU15" s="12" t="s">
        <v>153</v>
      </c>
    </row>
    <row r="16" spans="1:47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L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 t="s">
        <v>150</v>
      </c>
    </row>
    <row r="17" spans="1:19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L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 t="s">
        <v>151</v>
      </c>
    </row>
    <row r="18" spans="1:19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L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 t="s">
        <v>151</v>
      </c>
    </row>
    <row r="19" spans="1:19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L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 t="s">
        <v>151</v>
      </c>
    </row>
    <row r="20" spans="1:19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L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 t="s">
        <v>151</v>
      </c>
    </row>
    <row r="21" spans="1:19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L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 t="s">
        <v>151</v>
      </c>
    </row>
    <row r="22" spans="1:19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 t="s">
        <v>151</v>
      </c>
    </row>
    <row r="23" spans="1:19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 t="s">
        <v>151</v>
      </c>
    </row>
    <row r="24" spans="1:19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 t="s">
        <v>151</v>
      </c>
    </row>
    <row r="25" spans="1:19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 t="s">
        <v>151</v>
      </c>
    </row>
    <row r="26" spans="1:19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 t="s">
        <v>151</v>
      </c>
    </row>
    <row r="27" spans="1:19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 t="s">
        <v>151</v>
      </c>
    </row>
    <row r="28" spans="1:19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 t="s">
        <v>152</v>
      </c>
    </row>
    <row r="29" spans="1:19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 t="s">
        <v>152</v>
      </c>
    </row>
    <row r="30" spans="1:19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 t="s">
        <v>152</v>
      </c>
    </row>
    <row r="31" spans="1:19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 t="s">
        <v>152</v>
      </c>
    </row>
    <row r="32" spans="1:19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 t="s">
        <v>152</v>
      </c>
    </row>
    <row r="33" spans="1:19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 t="s">
        <v>152</v>
      </c>
    </row>
    <row r="34" spans="1:19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 t="s">
        <v>152</v>
      </c>
    </row>
    <row r="35" spans="1:19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 t="s">
        <v>152</v>
      </c>
    </row>
    <row r="36" spans="1:19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 t="s">
        <v>152</v>
      </c>
    </row>
    <row r="37" spans="1:19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 t="s">
        <v>152</v>
      </c>
    </row>
    <row r="38" spans="1:19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 t="s">
        <v>152</v>
      </c>
    </row>
    <row r="39" spans="1:19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 t="s">
        <v>153</v>
      </c>
    </row>
    <row r="40" spans="1:19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 t="s">
        <v>153</v>
      </c>
    </row>
    <row r="41" spans="1:19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 t="s">
        <v>153</v>
      </c>
    </row>
    <row r="42" spans="1:19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 t="s">
        <v>153</v>
      </c>
    </row>
    <row r="43" spans="1:19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 t="s">
        <v>153</v>
      </c>
    </row>
    <row r="44" spans="1:19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 t="s">
        <v>153</v>
      </c>
    </row>
    <row r="45" spans="1:19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 t="s">
        <v>153</v>
      </c>
    </row>
    <row r="46" spans="1:19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 t="s">
        <v>153</v>
      </c>
    </row>
    <row r="47" spans="1:19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 t="s">
        <v>153</v>
      </c>
    </row>
    <row r="48" spans="1:19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 t="s">
        <v>153</v>
      </c>
    </row>
    <row r="49" spans="1:19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 t="s">
        <v>153</v>
      </c>
    </row>
    <row r="50" spans="1:19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 t="s">
        <v>153</v>
      </c>
    </row>
    <row r="51" spans="1:19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 t="s">
        <v>153</v>
      </c>
    </row>
    <row r="52" spans="1:19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 t="s">
        <v>150</v>
      </c>
    </row>
    <row r="53" spans="1:19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 t="s">
        <v>150</v>
      </c>
    </row>
    <row r="54" spans="1:19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 t="s">
        <v>150</v>
      </c>
    </row>
    <row r="55" spans="1:19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 t="s">
        <v>150</v>
      </c>
    </row>
    <row r="56" spans="1:19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 t="s">
        <v>150</v>
      </c>
    </row>
    <row r="57" spans="1:19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 t="s">
        <v>150</v>
      </c>
    </row>
    <row r="58" spans="1:19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 t="s">
        <v>150</v>
      </c>
    </row>
    <row r="59" spans="1:19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 t="s">
        <v>150</v>
      </c>
    </row>
    <row r="60" spans="1:19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 t="s">
        <v>150</v>
      </c>
    </row>
    <row r="61" spans="1:19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 t="s">
        <v>151</v>
      </c>
    </row>
    <row r="62" spans="1:19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 t="s">
        <v>151</v>
      </c>
    </row>
    <row r="63" spans="1:19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 t="s">
        <v>151</v>
      </c>
    </row>
    <row r="64" spans="1:19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 t="s">
        <v>151</v>
      </c>
    </row>
    <row r="65" spans="1:19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 t="s">
        <v>151</v>
      </c>
    </row>
    <row r="66" spans="1:19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 t="s">
        <v>151</v>
      </c>
    </row>
    <row r="67" spans="1:19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 t="s">
        <v>151</v>
      </c>
    </row>
    <row r="68" spans="1:19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 t="s">
        <v>151</v>
      </c>
    </row>
    <row r="69" spans="1:19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 t="s">
        <v>151</v>
      </c>
    </row>
    <row r="70" spans="1:19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 t="s">
        <v>151</v>
      </c>
    </row>
    <row r="71" spans="1:19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 t="s">
        <v>150</v>
      </c>
    </row>
    <row r="72" spans="1:19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 t="s">
        <v>150</v>
      </c>
    </row>
    <row r="73" spans="1:19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 t="s">
        <v>150</v>
      </c>
    </row>
    <row r="74" spans="1:19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 t="s">
        <v>150</v>
      </c>
    </row>
    <row r="75" spans="1:19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 t="s">
        <v>150</v>
      </c>
    </row>
    <row r="76" spans="1:19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 t="s">
        <v>150</v>
      </c>
    </row>
    <row r="77" spans="1:19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 t="s">
        <v>150</v>
      </c>
    </row>
    <row r="78" spans="1:19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 t="s">
        <v>150</v>
      </c>
    </row>
    <row r="79" spans="1:19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 t="s">
        <v>150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T83"/>
  <sheetViews>
    <sheetView zoomScale="70" zoomScaleNormal="70" workbookViewId="0">
      <selection activeCell="D19" sqref="D19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46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46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46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46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46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564</v>
      </c>
      <c r="AB8" s="41" t="s">
        <v>539</v>
      </c>
      <c r="AC8" s="41" t="s">
        <v>540</v>
      </c>
      <c r="AD8" s="41" t="s">
        <v>543</v>
      </c>
      <c r="AE8" s="41" t="s">
        <v>561</v>
      </c>
      <c r="AF8" s="41" t="s">
        <v>565</v>
      </c>
      <c r="AG8" s="41" t="s">
        <v>544</v>
      </c>
      <c r="AH8" s="41" t="s">
        <v>545</v>
      </c>
      <c r="AI8" s="41" t="s">
        <v>548</v>
      </c>
      <c r="AJ8" s="41" t="s">
        <v>562</v>
      </c>
      <c r="AK8" s="41" t="s">
        <v>566</v>
      </c>
      <c r="AL8" s="41" t="s">
        <v>549</v>
      </c>
      <c r="AM8" s="41" t="s">
        <v>550</v>
      </c>
      <c r="AN8" s="41" t="s">
        <v>553</v>
      </c>
      <c r="AO8" s="41" t="s">
        <v>563</v>
      </c>
      <c r="AP8" s="41" t="s">
        <v>567</v>
      </c>
      <c r="AQ8" s="41" t="s">
        <v>554</v>
      </c>
      <c r="AR8" s="41" t="s">
        <v>555</v>
      </c>
      <c r="AS8" s="41" t="s">
        <v>558</v>
      </c>
      <c r="AT8" s="19" t="s">
        <v>134</v>
      </c>
    </row>
    <row r="9" spans="1:46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v>1.2638</v>
      </c>
      <c r="E9" t="s">
        <v>3</v>
      </c>
      <c r="F9" t="s">
        <v>23</v>
      </c>
      <c r="G9">
        <v>82199</v>
      </c>
      <c r="H9" t="s">
        <v>472</v>
      </c>
      <c r="I9" s="59">
        <v>44111</v>
      </c>
      <c r="J9" t="s">
        <v>536</v>
      </c>
      <c r="L9" s="59"/>
      <c r="M9" s="1">
        <v>1.2645999999999999</v>
      </c>
      <c r="N9" t="s">
        <v>162</v>
      </c>
      <c r="O9" t="s">
        <v>3</v>
      </c>
      <c r="P9">
        <v>82199</v>
      </c>
      <c r="Q9">
        <v>65000</v>
      </c>
      <c r="R9" t="s">
        <v>23</v>
      </c>
      <c r="S9" t="s">
        <v>150</v>
      </c>
      <c r="U9">
        <v>495375</v>
      </c>
      <c r="V9" s="12">
        <v>331398</v>
      </c>
      <c r="W9" s="18">
        <v>0.66898410295230881</v>
      </c>
      <c r="X9" t="s">
        <v>3</v>
      </c>
      <c r="Y9">
        <v>18281</v>
      </c>
      <c r="Z9">
        <v>22281</v>
      </c>
      <c r="AA9">
        <v>35681</v>
      </c>
      <c r="AB9">
        <v>64181</v>
      </c>
      <c r="AC9">
        <v>71527</v>
      </c>
      <c r="AD9">
        <v>86502</v>
      </c>
      <c r="AE9">
        <v>99077.119999999995</v>
      </c>
      <c r="AF9">
        <v>116334</v>
      </c>
      <c r="AG9">
        <v>118684</v>
      </c>
      <c r="AH9">
        <v>130350</v>
      </c>
      <c r="AI9">
        <v>146174</v>
      </c>
      <c r="AJ9">
        <v>151474</v>
      </c>
      <c r="AK9">
        <v>165977</v>
      </c>
      <c r="AL9">
        <v>172977.8</v>
      </c>
      <c r="AM9">
        <v>187577.8</v>
      </c>
      <c r="AN9">
        <v>197197.8</v>
      </c>
      <c r="AO9">
        <v>218154.8</v>
      </c>
      <c r="AP9">
        <v>229519</v>
      </c>
      <c r="AQ9">
        <v>247640</v>
      </c>
      <c r="AR9">
        <v>277058.5</v>
      </c>
      <c r="AS9">
        <v>331398</v>
      </c>
      <c r="AT9" s="12" t="s">
        <v>150</v>
      </c>
    </row>
    <row r="10" spans="1:46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v>0.65742800000000001</v>
      </c>
      <c r="E10" t="s">
        <v>3</v>
      </c>
      <c r="F10" t="s">
        <v>22</v>
      </c>
      <c r="G10">
        <v>43932.800000000003</v>
      </c>
      <c r="H10" t="s">
        <v>469</v>
      </c>
      <c r="I10" s="59">
        <v>45299</v>
      </c>
      <c r="J10" t="s">
        <v>536</v>
      </c>
      <c r="L10" s="59"/>
      <c r="M10" s="1">
        <v>0.6758892307692308</v>
      </c>
      <c r="N10" t="s">
        <v>164</v>
      </c>
      <c r="O10" t="s">
        <v>3</v>
      </c>
      <c r="P10">
        <v>43932.800000000003</v>
      </c>
      <c r="Q10">
        <v>65000</v>
      </c>
      <c r="R10" t="s">
        <v>22</v>
      </c>
      <c r="S10" t="s">
        <v>150</v>
      </c>
      <c r="U10">
        <v>495375</v>
      </c>
      <c r="V10" s="12">
        <v>518243</v>
      </c>
      <c r="W10" s="18">
        <v>1.0461630078223567</v>
      </c>
      <c r="X10" t="s">
        <v>4</v>
      </c>
      <c r="Y10">
        <v>70965</v>
      </c>
      <c r="Z10">
        <v>83762</v>
      </c>
      <c r="AA10">
        <v>95727</v>
      </c>
      <c r="AB10">
        <v>103027</v>
      </c>
      <c r="AC10">
        <v>112897</v>
      </c>
      <c r="AD10">
        <v>151369</v>
      </c>
      <c r="AE10">
        <v>159543</v>
      </c>
      <c r="AF10">
        <v>215516</v>
      </c>
      <c r="AG10">
        <v>267156</v>
      </c>
      <c r="AH10">
        <v>310695</v>
      </c>
      <c r="AI10">
        <v>336739</v>
      </c>
      <c r="AJ10">
        <v>350130</v>
      </c>
      <c r="AK10">
        <v>353222</v>
      </c>
      <c r="AL10">
        <v>354774</v>
      </c>
      <c r="AM10">
        <v>378623</v>
      </c>
      <c r="AN10">
        <v>394603</v>
      </c>
      <c r="AO10">
        <v>424038</v>
      </c>
      <c r="AP10">
        <v>445278</v>
      </c>
      <c r="AQ10">
        <v>450556</v>
      </c>
      <c r="AR10">
        <v>485621</v>
      </c>
      <c r="AS10">
        <v>518243</v>
      </c>
      <c r="AT10" s="12" t="s">
        <v>150</v>
      </c>
    </row>
    <row r="11" spans="1:46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v>0.64621538461538464</v>
      </c>
      <c r="E11" t="s">
        <v>3</v>
      </c>
      <c r="F11" t="s">
        <v>26</v>
      </c>
      <c r="G11">
        <v>42604</v>
      </c>
      <c r="H11" t="s">
        <v>418</v>
      </c>
      <c r="I11" s="59">
        <v>44259</v>
      </c>
      <c r="J11" t="s">
        <v>536</v>
      </c>
      <c r="L11" s="59"/>
      <c r="M11" s="1">
        <v>0.6554461538461539</v>
      </c>
      <c r="N11" t="s">
        <v>164</v>
      </c>
      <c r="O11" t="s">
        <v>3</v>
      </c>
      <c r="P11">
        <v>42604</v>
      </c>
      <c r="Q11">
        <v>65000</v>
      </c>
      <c r="R11" t="s">
        <v>26</v>
      </c>
      <c r="S11" t="s">
        <v>150</v>
      </c>
      <c r="U11">
        <v>495375</v>
      </c>
      <c r="V11" s="12">
        <v>305667</v>
      </c>
      <c r="W11" s="18">
        <v>0.6170416351249054</v>
      </c>
      <c r="X11" t="s">
        <v>5</v>
      </c>
      <c r="Y11">
        <v>15212</v>
      </c>
      <c r="Z11">
        <v>28099</v>
      </c>
      <c r="AA11">
        <v>29779</v>
      </c>
      <c r="AB11">
        <v>39979</v>
      </c>
      <c r="AC11">
        <v>49695</v>
      </c>
      <c r="AD11">
        <v>80145</v>
      </c>
      <c r="AE11">
        <v>85662</v>
      </c>
      <c r="AF11">
        <v>108704</v>
      </c>
      <c r="AG11">
        <v>126137</v>
      </c>
      <c r="AH11">
        <v>133737</v>
      </c>
      <c r="AI11">
        <v>150910</v>
      </c>
      <c r="AJ11">
        <v>163710</v>
      </c>
      <c r="AK11">
        <v>171583</v>
      </c>
      <c r="AL11">
        <v>176810</v>
      </c>
      <c r="AM11">
        <v>201662.5</v>
      </c>
      <c r="AN11">
        <v>206215.5</v>
      </c>
      <c r="AO11">
        <v>216660.5</v>
      </c>
      <c r="AP11">
        <v>222375</v>
      </c>
      <c r="AQ11">
        <v>252508</v>
      </c>
      <c r="AR11">
        <v>275046</v>
      </c>
      <c r="AS11">
        <v>305667</v>
      </c>
      <c r="AT11" s="12" t="s">
        <v>150</v>
      </c>
    </row>
    <row r="12" spans="1:46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v>0.61939999999999995</v>
      </c>
      <c r="E12" t="s">
        <v>3</v>
      </c>
      <c r="F12" t="s">
        <v>25</v>
      </c>
      <c r="G12">
        <v>41621</v>
      </c>
      <c r="H12" t="s">
        <v>473</v>
      </c>
      <c r="I12" s="59">
        <v>44820</v>
      </c>
      <c r="J12" t="s">
        <v>536</v>
      </c>
      <c r="L12" s="59"/>
      <c r="M12" s="1">
        <v>0.64032307692307688</v>
      </c>
      <c r="N12" t="s">
        <v>164</v>
      </c>
      <c r="O12" t="s">
        <v>3</v>
      </c>
      <c r="P12">
        <v>41621</v>
      </c>
      <c r="Q12">
        <v>65000</v>
      </c>
      <c r="R12" t="s">
        <v>25</v>
      </c>
      <c r="S12" t="s">
        <v>150</v>
      </c>
      <c r="U12">
        <v>495375</v>
      </c>
      <c r="V12" s="12">
        <v>309205</v>
      </c>
      <c r="W12" s="18">
        <v>0.62418369921776429</v>
      </c>
      <c r="X12" t="s">
        <v>2</v>
      </c>
      <c r="Y12">
        <v>3800</v>
      </c>
      <c r="Z12">
        <v>6900</v>
      </c>
      <c r="AA12">
        <v>12000</v>
      </c>
      <c r="AB12">
        <v>33200</v>
      </c>
      <c r="AC12">
        <v>45030</v>
      </c>
      <c r="AD12">
        <v>45030</v>
      </c>
      <c r="AE12">
        <v>51938</v>
      </c>
      <c r="AF12">
        <v>58138</v>
      </c>
      <c r="AG12">
        <v>97138</v>
      </c>
      <c r="AH12">
        <v>122231</v>
      </c>
      <c r="AI12">
        <v>126387</v>
      </c>
      <c r="AJ12">
        <v>140887</v>
      </c>
      <c r="AK12">
        <v>148987</v>
      </c>
      <c r="AL12">
        <v>151587</v>
      </c>
      <c r="AM12">
        <v>165720</v>
      </c>
      <c r="AN12">
        <v>174318</v>
      </c>
      <c r="AO12">
        <v>178150</v>
      </c>
      <c r="AP12">
        <v>231640</v>
      </c>
      <c r="AQ12">
        <v>236655</v>
      </c>
      <c r="AR12">
        <v>272660</v>
      </c>
      <c r="AS12">
        <v>309205</v>
      </c>
      <c r="AT12" s="12" t="s">
        <v>150</v>
      </c>
    </row>
    <row r="13" spans="1:46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v>0.61761538461538457</v>
      </c>
      <c r="N13" t="s">
        <v>164</v>
      </c>
      <c r="O13" t="s">
        <v>3</v>
      </c>
      <c r="P13">
        <v>40145</v>
      </c>
      <c r="Q13">
        <v>65000</v>
      </c>
      <c r="R13" t="s">
        <v>76</v>
      </c>
      <c r="S13" t="s">
        <v>150</v>
      </c>
      <c r="U13">
        <v>302800</v>
      </c>
      <c r="V13" s="12">
        <v>146598</v>
      </c>
      <c r="W13" s="18">
        <v>0.48414134742404225</v>
      </c>
      <c r="X13" t="s">
        <v>6</v>
      </c>
      <c r="Y13">
        <v>2950</v>
      </c>
      <c r="Z13">
        <v>7760</v>
      </c>
      <c r="AA13">
        <v>12270</v>
      </c>
      <c r="AB13">
        <v>20140</v>
      </c>
      <c r="AC13">
        <v>23090</v>
      </c>
      <c r="AD13">
        <v>24770</v>
      </c>
      <c r="AE13">
        <v>30470</v>
      </c>
      <c r="AF13">
        <v>33880</v>
      </c>
      <c r="AG13">
        <v>38730</v>
      </c>
      <c r="AH13">
        <v>41766</v>
      </c>
      <c r="AI13">
        <v>45746</v>
      </c>
      <c r="AJ13">
        <v>49166</v>
      </c>
      <c r="AK13">
        <v>49666</v>
      </c>
      <c r="AL13">
        <v>56396</v>
      </c>
      <c r="AM13">
        <v>61135</v>
      </c>
      <c r="AN13">
        <v>62985</v>
      </c>
      <c r="AO13">
        <v>66305</v>
      </c>
      <c r="AP13">
        <v>80515</v>
      </c>
      <c r="AQ13">
        <v>85995</v>
      </c>
      <c r="AR13">
        <v>106075</v>
      </c>
      <c r="AS13">
        <v>146598</v>
      </c>
      <c r="AT13" s="12" t="s">
        <v>152</v>
      </c>
    </row>
    <row r="14" spans="1:46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v>0.54459999999999997</v>
      </c>
      <c r="E14" t="s">
        <v>3</v>
      </c>
      <c r="F14" t="s">
        <v>109</v>
      </c>
      <c r="G14">
        <v>35399</v>
      </c>
      <c r="H14" t="s">
        <v>449</v>
      </c>
      <c r="I14" s="59">
        <v>45334</v>
      </c>
      <c r="J14" t="s">
        <v>536</v>
      </c>
      <c r="L14" s="59"/>
      <c r="M14" s="1">
        <v>0.54459999999999997</v>
      </c>
      <c r="N14" t="s">
        <v>164</v>
      </c>
      <c r="O14" t="s">
        <v>3</v>
      </c>
      <c r="P14">
        <v>35399</v>
      </c>
      <c r="Q14">
        <v>65000</v>
      </c>
      <c r="R14" t="s">
        <v>109</v>
      </c>
      <c r="S14" t="s">
        <v>150</v>
      </c>
      <c r="U14">
        <v>123200</v>
      </c>
      <c r="V14" s="12">
        <v>65869</v>
      </c>
      <c r="W14" s="18">
        <v>0.53465097402597406</v>
      </c>
      <c r="X14" t="s">
        <v>9</v>
      </c>
      <c r="Y14">
        <v>1255</v>
      </c>
      <c r="Z14">
        <v>5545</v>
      </c>
      <c r="AA14">
        <v>6615</v>
      </c>
      <c r="AB14">
        <v>7675</v>
      </c>
      <c r="AC14">
        <v>9805</v>
      </c>
      <c r="AD14">
        <v>10005</v>
      </c>
      <c r="AE14">
        <v>11905</v>
      </c>
      <c r="AF14">
        <v>17173</v>
      </c>
      <c r="AG14">
        <v>19373</v>
      </c>
      <c r="AH14">
        <v>23307</v>
      </c>
      <c r="AI14">
        <v>28057</v>
      </c>
      <c r="AJ14">
        <v>28737</v>
      </c>
      <c r="AK14">
        <v>34959</v>
      </c>
      <c r="AL14">
        <v>36592</v>
      </c>
      <c r="AM14">
        <v>38428</v>
      </c>
      <c r="AN14">
        <v>40284</v>
      </c>
      <c r="AO14">
        <v>42547</v>
      </c>
      <c r="AP14">
        <v>43897</v>
      </c>
      <c r="AQ14">
        <v>46777</v>
      </c>
      <c r="AR14">
        <v>50112</v>
      </c>
      <c r="AS14">
        <v>65869</v>
      </c>
      <c r="AT14" s="12" t="s">
        <v>153</v>
      </c>
    </row>
    <row r="15" spans="1:46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v>0.3330769230769231</v>
      </c>
      <c r="E15" t="s">
        <v>3</v>
      </c>
      <c r="F15" t="s">
        <v>107</v>
      </c>
      <c r="G15">
        <v>21650</v>
      </c>
      <c r="H15" t="s">
        <v>485</v>
      </c>
      <c r="I15" s="59">
        <v>45727</v>
      </c>
      <c r="J15" t="s">
        <v>536</v>
      </c>
      <c r="L15" s="59"/>
      <c r="M15" s="1">
        <v>0.3330769230769231</v>
      </c>
      <c r="N15" t="s">
        <v>165</v>
      </c>
      <c r="O15" t="s">
        <v>3</v>
      </c>
      <c r="P15">
        <v>21650</v>
      </c>
      <c r="Q15">
        <v>65000</v>
      </c>
      <c r="R15" t="s">
        <v>107</v>
      </c>
      <c r="S15" t="s">
        <v>150</v>
      </c>
      <c r="U15">
        <v>123200</v>
      </c>
      <c r="V15" s="12">
        <v>79969</v>
      </c>
      <c r="W15" s="18">
        <v>0.64909902597402602</v>
      </c>
      <c r="X15" t="s">
        <v>125</v>
      </c>
      <c r="Y15">
        <v>0</v>
      </c>
      <c r="Z15">
        <v>807</v>
      </c>
      <c r="AA15">
        <v>2712</v>
      </c>
      <c r="AB15">
        <v>4150</v>
      </c>
      <c r="AC15">
        <v>7943</v>
      </c>
      <c r="AD15">
        <v>10933</v>
      </c>
      <c r="AE15">
        <v>16861.5</v>
      </c>
      <c r="AF15">
        <v>23208</v>
      </c>
      <c r="AG15">
        <v>25228.5</v>
      </c>
      <c r="AH15">
        <v>30013.5</v>
      </c>
      <c r="AI15">
        <v>31497</v>
      </c>
      <c r="AJ15">
        <v>36015.1</v>
      </c>
      <c r="AK15">
        <v>39689.1</v>
      </c>
      <c r="AL15">
        <v>40508.1</v>
      </c>
      <c r="AM15">
        <v>46429.1</v>
      </c>
      <c r="AN15">
        <v>51633.1</v>
      </c>
      <c r="AO15">
        <v>54798.1</v>
      </c>
      <c r="AP15">
        <v>57860</v>
      </c>
      <c r="AQ15">
        <v>60850</v>
      </c>
      <c r="AR15">
        <v>68016.5</v>
      </c>
      <c r="AS15">
        <v>79969</v>
      </c>
      <c r="AT15" s="12" t="s">
        <v>153</v>
      </c>
    </row>
    <row r="16" spans="1:46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v>0.2153846153846154</v>
      </c>
      <c r="N16" t="s">
        <v>165</v>
      </c>
      <c r="O16" t="s">
        <v>3</v>
      </c>
      <c r="P16">
        <v>14000</v>
      </c>
      <c r="Q16">
        <v>65000</v>
      </c>
      <c r="R16" t="s">
        <v>54</v>
      </c>
      <c r="S16" t="s">
        <v>150</v>
      </c>
      <c r="U16">
        <v>123200</v>
      </c>
      <c r="V16" s="12">
        <v>97262</v>
      </c>
      <c r="W16" s="18">
        <v>0.78946428571428573</v>
      </c>
      <c r="X16" t="s">
        <v>8</v>
      </c>
      <c r="Y16">
        <v>1557</v>
      </c>
      <c r="Z16">
        <v>4000</v>
      </c>
      <c r="AA16">
        <v>7386</v>
      </c>
      <c r="AB16">
        <v>10191</v>
      </c>
      <c r="AC16">
        <v>13203</v>
      </c>
      <c r="AD16">
        <v>15475</v>
      </c>
      <c r="AE16">
        <v>21140</v>
      </c>
      <c r="AF16">
        <v>23046</v>
      </c>
      <c r="AG16">
        <v>23789</v>
      </c>
      <c r="AH16">
        <v>36105</v>
      </c>
      <c r="AI16">
        <v>39716</v>
      </c>
      <c r="AJ16">
        <v>41084</v>
      </c>
      <c r="AK16">
        <v>44517</v>
      </c>
      <c r="AL16">
        <v>47684</v>
      </c>
      <c r="AM16">
        <v>68089</v>
      </c>
      <c r="AN16">
        <v>72031</v>
      </c>
      <c r="AO16">
        <v>73419</v>
      </c>
      <c r="AP16">
        <v>76668</v>
      </c>
      <c r="AQ16">
        <v>78335</v>
      </c>
      <c r="AR16">
        <v>84285</v>
      </c>
      <c r="AS16">
        <v>97262</v>
      </c>
      <c r="AT16" s="12" t="s">
        <v>153</v>
      </c>
    </row>
    <row r="17" spans="1:19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v>0.15150769230769232</v>
      </c>
      <c r="E17" t="s">
        <v>3</v>
      </c>
      <c r="F17" t="s">
        <v>53</v>
      </c>
      <c r="G17">
        <v>9848</v>
      </c>
      <c r="H17" t="s">
        <v>484</v>
      </c>
      <c r="I17" s="59">
        <v>45727</v>
      </c>
      <c r="J17" t="s">
        <v>536</v>
      </c>
      <c r="L17" s="59"/>
      <c r="M17" s="1">
        <v>0.15150769230769232</v>
      </c>
      <c r="N17" t="s">
        <v>165</v>
      </c>
      <c r="O17" t="s">
        <v>3</v>
      </c>
      <c r="P17">
        <v>9848</v>
      </c>
      <c r="Q17">
        <v>65000</v>
      </c>
      <c r="R17" t="s">
        <v>53</v>
      </c>
      <c r="S17" t="s">
        <v>150</v>
      </c>
    </row>
    <row r="18" spans="1:19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v>1.525855076923077</v>
      </c>
      <c r="N18" t="s">
        <v>162</v>
      </c>
      <c r="O18" t="s">
        <v>4</v>
      </c>
      <c r="P18">
        <v>99180.58</v>
      </c>
      <c r="Q18">
        <v>65000</v>
      </c>
      <c r="R18" t="s">
        <v>59</v>
      </c>
      <c r="S18" t="s">
        <v>150</v>
      </c>
    </row>
    <row r="19" spans="1:19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v>1.4086712307692308</v>
      </c>
      <c r="N19" t="s">
        <v>162</v>
      </c>
      <c r="O19" t="s">
        <v>4</v>
      </c>
      <c r="P19">
        <v>91563.63</v>
      </c>
      <c r="Q19">
        <v>65000</v>
      </c>
      <c r="R19" t="s">
        <v>61</v>
      </c>
      <c r="S19" t="s">
        <v>150</v>
      </c>
    </row>
    <row r="20" spans="1:19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v>1.3104769230769231</v>
      </c>
      <c r="N20" t="s">
        <v>162</v>
      </c>
      <c r="O20" t="s">
        <v>4</v>
      </c>
      <c r="P20">
        <v>85181</v>
      </c>
      <c r="Q20">
        <v>65000</v>
      </c>
      <c r="R20" t="s">
        <v>75</v>
      </c>
      <c r="S20" t="s">
        <v>150</v>
      </c>
    </row>
    <row r="21" spans="1:19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v>1.1831230769230769</v>
      </c>
      <c r="N21" t="s">
        <v>162</v>
      </c>
      <c r="O21" t="s">
        <v>4</v>
      </c>
      <c r="P21">
        <v>76903</v>
      </c>
      <c r="Q21">
        <v>65000</v>
      </c>
      <c r="R21" t="s">
        <v>57</v>
      </c>
      <c r="S21" t="s">
        <v>150</v>
      </c>
    </row>
    <row r="22" spans="1:19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v>0.92958461538461534</v>
      </c>
      <c r="N22" t="s">
        <v>163</v>
      </c>
      <c r="O22" t="s">
        <v>4</v>
      </c>
      <c r="P22">
        <v>60423</v>
      </c>
      <c r="Q22">
        <v>65000</v>
      </c>
      <c r="R22" t="s">
        <v>65</v>
      </c>
      <c r="S22" t="s">
        <v>150</v>
      </c>
    </row>
    <row r="23" spans="1:19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v>0.3861230769230769</v>
      </c>
      <c r="E23" t="s">
        <v>4</v>
      </c>
      <c r="F23" t="s">
        <v>62</v>
      </c>
      <c r="G23">
        <v>25098</v>
      </c>
      <c r="H23" t="s">
        <v>413</v>
      </c>
      <c r="I23" s="59">
        <v>45334</v>
      </c>
      <c r="J23" t="s">
        <v>536</v>
      </c>
      <c r="L23" s="59"/>
      <c r="M23" s="1">
        <v>0.3861230769230769</v>
      </c>
      <c r="N23" t="s">
        <v>165</v>
      </c>
      <c r="O23" t="s">
        <v>4</v>
      </c>
      <c r="P23">
        <v>25098</v>
      </c>
      <c r="Q23">
        <v>65000</v>
      </c>
      <c r="R23" t="s">
        <v>62</v>
      </c>
      <c r="S23" t="s">
        <v>150</v>
      </c>
    </row>
    <row r="24" spans="1:19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v>0.20976923076923076</v>
      </c>
      <c r="N24" t="s">
        <v>165</v>
      </c>
      <c r="O24" t="s">
        <v>4</v>
      </c>
      <c r="P24">
        <v>13635</v>
      </c>
      <c r="Q24">
        <v>65000</v>
      </c>
      <c r="R24" t="s">
        <v>63</v>
      </c>
      <c r="S24" t="s">
        <v>150</v>
      </c>
    </row>
    <row r="25" spans="1:19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v>0.12198461538461539</v>
      </c>
      <c r="N25" t="s">
        <v>165</v>
      </c>
      <c r="O25" t="s">
        <v>4</v>
      </c>
      <c r="P25">
        <v>7929</v>
      </c>
      <c r="Q25">
        <v>65000</v>
      </c>
      <c r="R25" t="s">
        <v>64</v>
      </c>
      <c r="S25" t="s">
        <v>150</v>
      </c>
    </row>
    <row r="26" spans="1:19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v>0.11984615384615385</v>
      </c>
      <c r="E26" t="s">
        <v>4</v>
      </c>
      <c r="F26" t="s">
        <v>82</v>
      </c>
      <c r="G26">
        <v>7790</v>
      </c>
      <c r="H26" t="s">
        <v>492</v>
      </c>
      <c r="I26" s="59">
        <v>45798</v>
      </c>
      <c r="J26" t="s">
        <v>536</v>
      </c>
      <c r="L26" s="59"/>
      <c r="M26" s="1">
        <v>0.11984615384615385</v>
      </c>
      <c r="N26" t="s">
        <v>165</v>
      </c>
      <c r="O26" t="s">
        <v>4</v>
      </c>
      <c r="P26">
        <v>7790</v>
      </c>
      <c r="Q26">
        <v>65000</v>
      </c>
      <c r="R26" t="s">
        <v>82</v>
      </c>
      <c r="S26" t="s">
        <v>150</v>
      </c>
    </row>
    <row r="27" spans="1:19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v>1.07595</v>
      </c>
      <c r="E27" t="s">
        <v>2</v>
      </c>
      <c r="F27" t="s">
        <v>13</v>
      </c>
      <c r="G27">
        <v>70211.75</v>
      </c>
      <c r="H27" t="s">
        <v>409</v>
      </c>
      <c r="I27" s="59">
        <v>44811</v>
      </c>
      <c r="J27" t="s">
        <v>536</v>
      </c>
      <c r="L27" s="59"/>
      <c r="M27" s="1">
        <v>1.0801807692307692</v>
      </c>
      <c r="N27" t="s">
        <v>162</v>
      </c>
      <c r="O27" t="s">
        <v>2</v>
      </c>
      <c r="P27">
        <v>70211.75</v>
      </c>
      <c r="Q27">
        <v>65000</v>
      </c>
      <c r="R27" t="s">
        <v>13</v>
      </c>
      <c r="S27" t="s">
        <v>150</v>
      </c>
    </row>
    <row r="28" spans="1:19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v>0.90316923076923072</v>
      </c>
      <c r="N28" t="s">
        <v>163</v>
      </c>
      <c r="O28" t="s">
        <v>2</v>
      </c>
      <c r="P28">
        <v>58706</v>
      </c>
      <c r="Q28">
        <v>65000</v>
      </c>
      <c r="R28" t="s">
        <v>11</v>
      </c>
      <c r="S28" t="s">
        <v>150</v>
      </c>
    </row>
    <row r="29" spans="1:19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v>0.85598461538461534</v>
      </c>
      <c r="E29" t="s">
        <v>2</v>
      </c>
      <c r="F29" t="s">
        <v>10</v>
      </c>
      <c r="G29">
        <v>55689</v>
      </c>
      <c r="H29" t="s">
        <v>476</v>
      </c>
      <c r="I29" s="59">
        <v>44706</v>
      </c>
      <c r="J29" t="s">
        <v>536</v>
      </c>
      <c r="L29" s="59"/>
      <c r="M29" s="1">
        <v>0.8567538461538462</v>
      </c>
      <c r="N29" t="s">
        <v>163</v>
      </c>
      <c r="O29" t="s">
        <v>2</v>
      </c>
      <c r="P29">
        <v>55689</v>
      </c>
      <c r="Q29">
        <v>65000</v>
      </c>
      <c r="R29" t="s">
        <v>10</v>
      </c>
      <c r="S29" t="s">
        <v>150</v>
      </c>
    </row>
    <row r="30" spans="1:19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v>0.54201538461538457</v>
      </c>
      <c r="N30" t="s">
        <v>164</v>
      </c>
      <c r="O30" t="s">
        <v>2</v>
      </c>
      <c r="P30">
        <v>35231</v>
      </c>
      <c r="Q30">
        <v>65000</v>
      </c>
      <c r="R30" t="s">
        <v>17</v>
      </c>
      <c r="S30" t="s">
        <v>150</v>
      </c>
    </row>
    <row r="31" spans="1:19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v>0.50175384615384611</v>
      </c>
      <c r="N31" t="s">
        <v>164</v>
      </c>
      <c r="O31" t="s">
        <v>2</v>
      </c>
      <c r="P31">
        <v>32614</v>
      </c>
      <c r="Q31">
        <v>65000</v>
      </c>
      <c r="R31" t="s">
        <v>12</v>
      </c>
      <c r="S31" t="s">
        <v>150</v>
      </c>
    </row>
    <row r="32" spans="1:19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v>0.32</v>
      </c>
      <c r="N32" t="s">
        <v>165</v>
      </c>
      <c r="O32" t="s">
        <v>2</v>
      </c>
      <c r="P32">
        <v>20800</v>
      </c>
      <c r="Q32">
        <v>65000</v>
      </c>
      <c r="R32" t="s">
        <v>77</v>
      </c>
      <c r="S32" t="s">
        <v>150</v>
      </c>
    </row>
    <row r="33" spans="1:19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v>0.30121538461538461</v>
      </c>
      <c r="N33" t="s">
        <v>165</v>
      </c>
      <c r="O33" t="s">
        <v>2</v>
      </c>
      <c r="P33">
        <v>19579</v>
      </c>
      <c r="Q33">
        <v>65000</v>
      </c>
      <c r="R33" t="s">
        <v>86</v>
      </c>
      <c r="S33" t="s">
        <v>150</v>
      </c>
    </row>
    <row r="34" spans="1:19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v>0.25192307692307692</v>
      </c>
      <c r="N34" t="s">
        <v>165</v>
      </c>
      <c r="O34" t="s">
        <v>2</v>
      </c>
      <c r="P34">
        <v>16375</v>
      </c>
      <c r="Q34">
        <v>65000</v>
      </c>
      <c r="R34" t="s">
        <v>16</v>
      </c>
      <c r="S34" t="s">
        <v>150</v>
      </c>
    </row>
    <row r="35" spans="1:19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v>0.87016923076923081</v>
      </c>
      <c r="N35" t="s">
        <v>163</v>
      </c>
      <c r="O35" t="s">
        <v>5</v>
      </c>
      <c r="P35">
        <v>56561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v>0.77458461538461543</v>
      </c>
      <c r="N36" t="s">
        <v>163</v>
      </c>
      <c r="O36" t="s">
        <v>5</v>
      </c>
      <c r="P36">
        <v>50348</v>
      </c>
      <c r="Q36">
        <v>65000</v>
      </c>
      <c r="R36" t="s">
        <v>70</v>
      </c>
      <c r="S36" t="s">
        <v>150</v>
      </c>
    </row>
    <row r="37" spans="1:19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v>0.75239999999999996</v>
      </c>
      <c r="N37" t="s">
        <v>163</v>
      </c>
      <c r="O37" t="s">
        <v>5</v>
      </c>
      <c r="P37">
        <v>48906</v>
      </c>
      <c r="Q37">
        <v>65000</v>
      </c>
      <c r="R37" t="s">
        <v>72</v>
      </c>
      <c r="S37" t="s">
        <v>150</v>
      </c>
    </row>
    <row r="38" spans="1:19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v>0.59830769230769232</v>
      </c>
      <c r="N38" t="s">
        <v>164</v>
      </c>
      <c r="O38" t="s">
        <v>5</v>
      </c>
      <c r="P38">
        <v>38890</v>
      </c>
      <c r="Q38">
        <v>65000</v>
      </c>
      <c r="R38" t="s">
        <v>79</v>
      </c>
      <c r="S38" t="s">
        <v>150</v>
      </c>
    </row>
    <row r="39" spans="1:19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v>0.5121230769230769</v>
      </c>
      <c r="N39" t="s">
        <v>164</v>
      </c>
      <c r="O39" t="s">
        <v>5</v>
      </c>
      <c r="P39">
        <v>33288</v>
      </c>
      <c r="Q39">
        <v>65000</v>
      </c>
      <c r="R39" t="s">
        <v>67</v>
      </c>
      <c r="S39" t="s">
        <v>150</v>
      </c>
    </row>
    <row r="40" spans="1:19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v>0.47669230769230769</v>
      </c>
      <c r="N40" t="s">
        <v>164</v>
      </c>
      <c r="O40" t="s">
        <v>5</v>
      </c>
      <c r="P40">
        <v>30985</v>
      </c>
      <c r="Q40">
        <v>65000</v>
      </c>
      <c r="R40" t="s">
        <v>66</v>
      </c>
      <c r="S40" t="s">
        <v>150</v>
      </c>
    </row>
    <row r="41" spans="1:19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v>0.42841538461538464</v>
      </c>
      <c r="N41" t="s">
        <v>164</v>
      </c>
      <c r="O41" t="s">
        <v>5</v>
      </c>
      <c r="P41">
        <v>27847</v>
      </c>
      <c r="Q41">
        <v>65000</v>
      </c>
      <c r="R41" t="s">
        <v>68</v>
      </c>
      <c r="S41" t="s">
        <v>150</v>
      </c>
    </row>
    <row r="42" spans="1:19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v>0.28987692307692309</v>
      </c>
      <c r="N42" t="s">
        <v>165</v>
      </c>
      <c r="O42" t="s">
        <v>5</v>
      </c>
      <c r="P42">
        <v>18842</v>
      </c>
      <c r="Q42">
        <v>65000</v>
      </c>
      <c r="R42" t="s">
        <v>85</v>
      </c>
      <c r="S42" t="s">
        <v>150</v>
      </c>
    </row>
    <row r="43" spans="1:19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v>0.82065573770491806</v>
      </c>
      <c r="E43" t="s">
        <v>6</v>
      </c>
      <c r="F43" t="s">
        <v>50</v>
      </c>
      <c r="G43">
        <v>24980</v>
      </c>
      <c r="H43" t="s">
        <v>429</v>
      </c>
      <c r="I43" s="59">
        <v>45523</v>
      </c>
      <c r="J43" t="s">
        <v>536</v>
      </c>
      <c r="L43" s="59"/>
      <c r="M43" s="1">
        <v>0.819016393442623</v>
      </c>
      <c r="N43" t="s">
        <v>163</v>
      </c>
      <c r="O43" t="s">
        <v>6</v>
      </c>
      <c r="P43">
        <v>24980</v>
      </c>
      <c r="Q43">
        <v>30500</v>
      </c>
      <c r="R43" t="s">
        <v>50</v>
      </c>
      <c r="S43" t="s">
        <v>152</v>
      </c>
    </row>
    <row r="44" spans="1:19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v>0.80760655737704923</v>
      </c>
      <c r="N44" t="s">
        <v>163</v>
      </c>
      <c r="O44" t="s">
        <v>6</v>
      </c>
      <c r="P44">
        <v>24632</v>
      </c>
      <c r="Q44">
        <v>30500</v>
      </c>
      <c r="R44" t="s">
        <v>105</v>
      </c>
      <c r="S44" t="s">
        <v>152</v>
      </c>
    </row>
    <row r="45" spans="1:19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v>0.51557377049180331</v>
      </c>
      <c r="N45" t="s">
        <v>164</v>
      </c>
      <c r="O45" t="s">
        <v>6</v>
      </c>
      <c r="P45">
        <v>15725</v>
      </c>
      <c r="Q45">
        <v>30500</v>
      </c>
      <c r="R45" t="s">
        <v>35</v>
      </c>
      <c r="S45" t="s">
        <v>152</v>
      </c>
    </row>
    <row r="46" spans="1:19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v>0.44668852459016395</v>
      </c>
      <c r="E46" t="s">
        <v>6</v>
      </c>
      <c r="F46" t="s">
        <v>19</v>
      </c>
      <c r="G46">
        <v>13629</v>
      </c>
      <c r="H46" t="s">
        <v>426</v>
      </c>
      <c r="I46" s="59">
        <v>44673</v>
      </c>
      <c r="J46" t="s">
        <v>536</v>
      </c>
      <c r="L46" s="59"/>
      <c r="M46" s="1">
        <v>0.44685245901639342</v>
      </c>
      <c r="N46" t="s">
        <v>164</v>
      </c>
      <c r="O46" t="s">
        <v>6</v>
      </c>
      <c r="P46">
        <v>13629</v>
      </c>
      <c r="Q46">
        <v>30500</v>
      </c>
      <c r="R46" t="s">
        <v>19</v>
      </c>
      <c r="S46" t="s">
        <v>152</v>
      </c>
    </row>
    <row r="47" spans="1:19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v>0.43803278688524588</v>
      </c>
      <c r="N47" t="s">
        <v>164</v>
      </c>
      <c r="O47" t="s">
        <v>6</v>
      </c>
      <c r="P47">
        <v>13360</v>
      </c>
      <c r="Q47">
        <v>30500</v>
      </c>
      <c r="R47" t="s">
        <v>31</v>
      </c>
      <c r="S47" t="s">
        <v>152</v>
      </c>
    </row>
    <row r="48" spans="1:19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v>0.38524590163934425</v>
      </c>
      <c r="N48" t="s">
        <v>165</v>
      </c>
      <c r="O48" t="s">
        <v>6</v>
      </c>
      <c r="P48">
        <v>11750</v>
      </c>
      <c r="Q48">
        <v>30500</v>
      </c>
      <c r="R48" t="s">
        <v>34</v>
      </c>
      <c r="S48" t="s">
        <v>152</v>
      </c>
    </row>
    <row r="49" spans="1:19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v>0.37245901639344264</v>
      </c>
      <c r="E49" t="s">
        <v>6</v>
      </c>
      <c r="F49" t="s">
        <v>37</v>
      </c>
      <c r="G49">
        <v>11510</v>
      </c>
      <c r="H49" t="s">
        <v>427</v>
      </c>
      <c r="I49" s="59">
        <v>43132</v>
      </c>
      <c r="J49" t="s">
        <v>536</v>
      </c>
      <c r="L49" s="59"/>
      <c r="M49" s="1">
        <v>0.37737704918032788</v>
      </c>
      <c r="N49" t="s">
        <v>165</v>
      </c>
      <c r="O49" t="s">
        <v>6</v>
      </c>
      <c r="P49">
        <v>11510</v>
      </c>
      <c r="Q49">
        <v>30500</v>
      </c>
      <c r="R49" t="s">
        <v>37</v>
      </c>
      <c r="S49" t="s">
        <v>152</v>
      </c>
    </row>
    <row r="50" spans="1:19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v>0.35344262295081968</v>
      </c>
      <c r="N50" t="s">
        <v>165</v>
      </c>
      <c r="O50" t="s">
        <v>6</v>
      </c>
      <c r="P50">
        <v>10780</v>
      </c>
      <c r="Q50">
        <v>30500</v>
      </c>
      <c r="R50" t="s">
        <v>81</v>
      </c>
      <c r="S50" t="s">
        <v>152</v>
      </c>
    </row>
    <row r="51" spans="1:19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v>0.32</v>
      </c>
      <c r="N51" t="s">
        <v>165</v>
      </c>
      <c r="O51" t="s">
        <v>6</v>
      </c>
      <c r="P51">
        <v>9760</v>
      </c>
      <c r="Q51">
        <v>30500</v>
      </c>
      <c r="R51" t="s">
        <v>44</v>
      </c>
      <c r="S51" t="s">
        <v>152</v>
      </c>
    </row>
    <row r="52" spans="1:19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v>0.26721311475409837</v>
      </c>
      <c r="N52" t="s">
        <v>165</v>
      </c>
      <c r="O52" t="s">
        <v>6</v>
      </c>
      <c r="P52">
        <v>8150</v>
      </c>
      <c r="Q52">
        <v>30500</v>
      </c>
      <c r="R52" t="s">
        <v>36</v>
      </c>
      <c r="S52" t="s">
        <v>152</v>
      </c>
    </row>
    <row r="53" spans="1:19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v>7.6131147540983601E-2</v>
      </c>
      <c r="N53" t="s">
        <v>165</v>
      </c>
      <c r="O53" t="s">
        <v>6</v>
      </c>
      <c r="P53">
        <v>2322</v>
      </c>
      <c r="Q53">
        <v>30500</v>
      </c>
      <c r="R53" t="s">
        <v>110</v>
      </c>
      <c r="S53" t="s">
        <v>152</v>
      </c>
    </row>
    <row r="54" spans="1:19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v>1.4252666666666667</v>
      </c>
      <c r="N54" t="s">
        <v>162</v>
      </c>
      <c r="O54" t="s">
        <v>125</v>
      </c>
      <c r="P54">
        <v>21379</v>
      </c>
      <c r="Q54">
        <v>15000</v>
      </c>
      <c r="R54" t="s">
        <v>80</v>
      </c>
      <c r="S54" t="s">
        <v>153</v>
      </c>
    </row>
    <row r="55" spans="1:19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v>0.83660000000000001</v>
      </c>
      <c r="N55" t="s">
        <v>163</v>
      </c>
      <c r="O55" t="s">
        <v>125</v>
      </c>
      <c r="P55">
        <v>12549</v>
      </c>
      <c r="Q55">
        <v>15000</v>
      </c>
      <c r="R55" t="s">
        <v>27</v>
      </c>
      <c r="S55" t="s">
        <v>153</v>
      </c>
    </row>
    <row r="56" spans="1:19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v>0.57720000000000005</v>
      </c>
      <c r="N56" t="s">
        <v>164</v>
      </c>
      <c r="O56" t="s">
        <v>125</v>
      </c>
      <c r="P56">
        <v>8658</v>
      </c>
      <c r="Q56">
        <v>15000</v>
      </c>
      <c r="R56" t="s">
        <v>39</v>
      </c>
      <c r="S56" t="s">
        <v>153</v>
      </c>
    </row>
    <row r="57" spans="1:19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v>0.47706666666666669</v>
      </c>
      <c r="N57" t="s">
        <v>164</v>
      </c>
      <c r="O57" t="s">
        <v>125</v>
      </c>
      <c r="P57">
        <v>7156</v>
      </c>
      <c r="Q57">
        <v>15000</v>
      </c>
      <c r="R57" t="s">
        <v>74</v>
      </c>
      <c r="S57" t="s">
        <v>153</v>
      </c>
    </row>
    <row r="58" spans="1:19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v>0.47153333333333336</v>
      </c>
      <c r="N58" t="s">
        <v>164</v>
      </c>
      <c r="O58" t="s">
        <v>125</v>
      </c>
      <c r="P58">
        <v>7073</v>
      </c>
      <c r="Q58">
        <v>15000</v>
      </c>
      <c r="R58" t="s">
        <v>38</v>
      </c>
      <c r="S58" t="s">
        <v>153</v>
      </c>
    </row>
    <row r="59" spans="1:19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v>0.48286666666666667</v>
      </c>
      <c r="N59" t="s">
        <v>164</v>
      </c>
      <c r="O59" t="s">
        <v>125</v>
      </c>
      <c r="P59">
        <v>7243</v>
      </c>
      <c r="Q59">
        <v>15000</v>
      </c>
      <c r="R59" t="s">
        <v>56</v>
      </c>
      <c r="S59" t="s">
        <v>153</v>
      </c>
    </row>
    <row r="60" spans="1:19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v>0.38119999999999998</v>
      </c>
      <c r="N60" t="s">
        <v>165</v>
      </c>
      <c r="O60" t="s">
        <v>125</v>
      </c>
      <c r="P60">
        <v>5718</v>
      </c>
      <c r="Q60">
        <v>15000</v>
      </c>
      <c r="R60" t="s">
        <v>55</v>
      </c>
      <c r="S60" t="s">
        <v>153</v>
      </c>
    </row>
    <row r="61" spans="1:19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v>0.34173333333333333</v>
      </c>
      <c r="N61" t="s">
        <v>165</v>
      </c>
      <c r="O61" t="s">
        <v>125</v>
      </c>
      <c r="P61">
        <v>5126</v>
      </c>
      <c r="Q61">
        <v>15000</v>
      </c>
      <c r="R61" t="s">
        <v>106</v>
      </c>
      <c r="S61" t="s">
        <v>153</v>
      </c>
    </row>
    <row r="62" spans="1:19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v>0.13400666666666666</v>
      </c>
      <c r="N62" t="s">
        <v>165</v>
      </c>
      <c r="O62" t="s">
        <v>125</v>
      </c>
      <c r="P62">
        <v>2010.1</v>
      </c>
      <c r="Q62">
        <v>15000</v>
      </c>
      <c r="R62" t="s">
        <v>33</v>
      </c>
      <c r="S62" t="s">
        <v>153</v>
      </c>
    </row>
    <row r="63" spans="1:19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v>5.0866666666666664E-2</v>
      </c>
      <c r="N63" t="s">
        <v>165</v>
      </c>
      <c r="O63" t="s">
        <v>125</v>
      </c>
      <c r="P63">
        <v>763</v>
      </c>
      <c r="Q63">
        <v>15000</v>
      </c>
      <c r="R63" t="s">
        <v>111</v>
      </c>
      <c r="S63" t="s">
        <v>153</v>
      </c>
    </row>
    <row r="64" spans="1:19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v>1.6403333333333334</v>
      </c>
      <c r="E64" t="s">
        <v>8</v>
      </c>
      <c r="F64" t="s">
        <v>24</v>
      </c>
      <c r="G64">
        <v>24480</v>
      </c>
      <c r="H64" t="s">
        <v>461</v>
      </c>
      <c r="I64" s="59">
        <v>45334</v>
      </c>
      <c r="J64" t="s">
        <v>536</v>
      </c>
      <c r="L64" s="59"/>
      <c r="M64" s="1">
        <v>1.6319999999999999</v>
      </c>
      <c r="N64" t="s">
        <v>162</v>
      </c>
      <c r="O64" t="s">
        <v>8</v>
      </c>
      <c r="P64">
        <v>24480</v>
      </c>
      <c r="Q64">
        <v>15000</v>
      </c>
      <c r="R64" t="s">
        <v>24</v>
      </c>
      <c r="S64" t="s">
        <v>153</v>
      </c>
    </row>
    <row r="65" spans="1:19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v>0.86429999999999996</v>
      </c>
      <c r="E65" t="s">
        <v>8</v>
      </c>
      <c r="F65" t="s">
        <v>14</v>
      </c>
      <c r="G65">
        <v>12964.5</v>
      </c>
      <c r="H65" t="s">
        <v>459</v>
      </c>
      <c r="I65" s="59">
        <v>45133</v>
      </c>
      <c r="J65" t="s">
        <v>536</v>
      </c>
      <c r="L65" s="59"/>
      <c r="M65" s="1">
        <v>0.86429999999999996</v>
      </c>
      <c r="N65" t="s">
        <v>163</v>
      </c>
      <c r="O65" t="s">
        <v>8</v>
      </c>
      <c r="P65">
        <v>12964.5</v>
      </c>
      <c r="Q65">
        <v>15000</v>
      </c>
      <c r="R65" t="s">
        <v>14</v>
      </c>
      <c r="S65" t="s">
        <v>153</v>
      </c>
    </row>
    <row r="66" spans="1:19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v>0.79286666666666672</v>
      </c>
      <c r="E66" t="s">
        <v>8</v>
      </c>
      <c r="F66" t="s">
        <v>41</v>
      </c>
      <c r="G66">
        <v>11793</v>
      </c>
      <c r="H66" t="s">
        <v>414</v>
      </c>
      <c r="I66" s="59">
        <v>45304</v>
      </c>
      <c r="J66" t="s">
        <v>536</v>
      </c>
      <c r="L66" s="59"/>
      <c r="M66" s="1">
        <v>0.78620000000000001</v>
      </c>
      <c r="N66" t="s">
        <v>163</v>
      </c>
      <c r="O66" t="s">
        <v>8</v>
      </c>
      <c r="P66">
        <v>11793</v>
      </c>
      <c r="Q66">
        <v>15000</v>
      </c>
      <c r="R66" t="s">
        <v>41</v>
      </c>
      <c r="S66" t="s">
        <v>153</v>
      </c>
    </row>
    <row r="67" spans="1:19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v>0.754</v>
      </c>
      <c r="N67" t="s">
        <v>163</v>
      </c>
      <c r="O67" t="s">
        <v>8</v>
      </c>
      <c r="P67">
        <v>11310</v>
      </c>
      <c r="Q67">
        <v>15000</v>
      </c>
      <c r="R67" t="s">
        <v>103</v>
      </c>
      <c r="S67" t="s">
        <v>153</v>
      </c>
    </row>
    <row r="68" spans="1:19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v>0.77326666666666666</v>
      </c>
      <c r="E68" t="s">
        <v>8</v>
      </c>
      <c r="F68" t="s">
        <v>83</v>
      </c>
      <c r="G68">
        <v>11599</v>
      </c>
      <c r="H68" t="s">
        <v>462</v>
      </c>
      <c r="I68" s="59">
        <v>44937</v>
      </c>
      <c r="J68" t="s">
        <v>536</v>
      </c>
      <c r="L68" s="59"/>
      <c r="M68" s="1">
        <v>0.77326666666666666</v>
      </c>
      <c r="N68" t="s">
        <v>163</v>
      </c>
      <c r="O68" t="s">
        <v>8</v>
      </c>
      <c r="P68">
        <v>11599</v>
      </c>
      <c r="Q68">
        <v>15000</v>
      </c>
      <c r="R68" t="s">
        <v>83</v>
      </c>
      <c r="S68" t="s">
        <v>153</v>
      </c>
    </row>
    <row r="69" spans="1:19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v>0.50206666666666666</v>
      </c>
      <c r="E69" t="s">
        <v>8</v>
      </c>
      <c r="F69" t="s">
        <v>40</v>
      </c>
      <c r="G69">
        <v>7411</v>
      </c>
      <c r="H69" t="s">
        <v>451</v>
      </c>
      <c r="I69" s="59">
        <v>45429</v>
      </c>
      <c r="J69" t="s">
        <v>536</v>
      </c>
      <c r="L69" s="59"/>
      <c r="M69" s="1">
        <v>0.49406666666666665</v>
      </c>
      <c r="N69" t="s">
        <v>164</v>
      </c>
      <c r="O69" t="s">
        <v>8</v>
      </c>
      <c r="P69">
        <v>7411</v>
      </c>
      <c r="Q69">
        <v>15000</v>
      </c>
      <c r="R69" t="s">
        <v>40</v>
      </c>
      <c r="S69" t="s">
        <v>153</v>
      </c>
    </row>
    <row r="70" spans="1:19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v>0.46814666666666666</v>
      </c>
      <c r="E70" t="s">
        <v>8</v>
      </c>
      <c r="F70" t="s">
        <v>42</v>
      </c>
      <c r="G70">
        <v>7022</v>
      </c>
      <c r="H70" t="s">
        <v>442</v>
      </c>
      <c r="I70" s="59">
        <v>45399</v>
      </c>
      <c r="J70" t="s">
        <v>536</v>
      </c>
      <c r="L70" s="59"/>
      <c r="M70" s="1">
        <v>0.46813333333333335</v>
      </c>
      <c r="N70" t="s">
        <v>164</v>
      </c>
      <c r="O70" t="s">
        <v>8</v>
      </c>
      <c r="P70">
        <v>7022</v>
      </c>
      <c r="Q70">
        <v>15000</v>
      </c>
      <c r="R70" t="s">
        <v>42</v>
      </c>
      <c r="S70" t="s">
        <v>153</v>
      </c>
    </row>
    <row r="71" spans="1:19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v>0.32240000000000002</v>
      </c>
      <c r="N71" t="s">
        <v>165</v>
      </c>
      <c r="O71" t="s">
        <v>8</v>
      </c>
      <c r="P71">
        <v>4836</v>
      </c>
      <c r="Q71">
        <v>15000</v>
      </c>
      <c r="R71" t="s">
        <v>43</v>
      </c>
      <c r="S71" t="s">
        <v>153</v>
      </c>
    </row>
    <row r="72" spans="1:19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v>0.26166666666666666</v>
      </c>
      <c r="E72" t="s">
        <v>8</v>
      </c>
      <c r="F72" t="s">
        <v>48</v>
      </c>
      <c r="G72">
        <v>3665</v>
      </c>
      <c r="H72" t="s">
        <v>448</v>
      </c>
      <c r="I72" s="59">
        <v>44748</v>
      </c>
      <c r="J72" t="s">
        <v>536</v>
      </c>
      <c r="L72" s="59"/>
      <c r="M72" s="1">
        <v>0.24433333333333335</v>
      </c>
      <c r="N72" t="s">
        <v>165</v>
      </c>
      <c r="O72" t="s">
        <v>8</v>
      </c>
      <c r="P72">
        <v>3665</v>
      </c>
      <c r="Q72">
        <v>15000</v>
      </c>
      <c r="R72" t="s">
        <v>48</v>
      </c>
      <c r="S72" t="s">
        <v>153</v>
      </c>
    </row>
    <row r="73" spans="1:19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v>0.14546666666666666</v>
      </c>
      <c r="N73" t="s">
        <v>165</v>
      </c>
      <c r="O73" t="s">
        <v>8</v>
      </c>
      <c r="P73">
        <v>2182</v>
      </c>
      <c r="Q73">
        <v>15000</v>
      </c>
      <c r="R73" t="s">
        <v>45</v>
      </c>
      <c r="S73" t="s">
        <v>153</v>
      </c>
    </row>
    <row r="74" spans="1:19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v>1.0038733333333334</v>
      </c>
      <c r="E74" t="s">
        <v>9</v>
      </c>
      <c r="F74" t="s">
        <v>15</v>
      </c>
      <c r="G74">
        <v>14773.1</v>
      </c>
      <c r="H74" t="s">
        <v>437</v>
      </c>
      <c r="I74" s="59">
        <v>44735</v>
      </c>
      <c r="J74" t="s">
        <v>536</v>
      </c>
      <c r="L74" s="59"/>
      <c r="M74" s="1">
        <v>0.98487333333333338</v>
      </c>
      <c r="N74" t="s">
        <v>163</v>
      </c>
      <c r="O74" t="s">
        <v>9</v>
      </c>
      <c r="P74">
        <v>14773.1</v>
      </c>
      <c r="Q74">
        <v>15000</v>
      </c>
      <c r="R74" t="s">
        <v>15</v>
      </c>
      <c r="S74" t="s">
        <v>153</v>
      </c>
    </row>
    <row r="75" spans="1:19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v>1.0196000000000001</v>
      </c>
      <c r="E75" t="s">
        <v>9</v>
      </c>
      <c r="F75" t="s">
        <v>78</v>
      </c>
      <c r="G75">
        <v>14391.5</v>
      </c>
      <c r="H75" t="s">
        <v>424</v>
      </c>
      <c r="I75" s="59">
        <v>44945</v>
      </c>
      <c r="J75" t="s">
        <v>536</v>
      </c>
      <c r="L75" s="59"/>
      <c r="M75" s="1">
        <v>0.95943333333333336</v>
      </c>
      <c r="N75" t="s">
        <v>163</v>
      </c>
      <c r="O75" t="s">
        <v>9</v>
      </c>
      <c r="P75">
        <v>14391.5</v>
      </c>
      <c r="Q75">
        <v>15000</v>
      </c>
      <c r="R75" t="s">
        <v>78</v>
      </c>
      <c r="S75" t="s">
        <v>153</v>
      </c>
    </row>
    <row r="76" spans="1:19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v>0.5633800000000001</v>
      </c>
      <c r="E76" t="s">
        <v>9</v>
      </c>
      <c r="F76" t="s">
        <v>32</v>
      </c>
      <c r="G76">
        <v>7990.7</v>
      </c>
      <c r="H76" t="s">
        <v>417</v>
      </c>
      <c r="I76" s="59">
        <v>45530</v>
      </c>
      <c r="J76" t="s">
        <v>536</v>
      </c>
      <c r="L76" s="59"/>
      <c r="M76" s="1">
        <v>0.53271333333333337</v>
      </c>
      <c r="N76" t="s">
        <v>164</v>
      </c>
      <c r="O76" t="s">
        <v>9</v>
      </c>
      <c r="P76">
        <v>7990.7</v>
      </c>
      <c r="Q76">
        <v>15000</v>
      </c>
      <c r="R76" t="s">
        <v>32</v>
      </c>
      <c r="S76" t="s">
        <v>153</v>
      </c>
    </row>
    <row r="77" spans="1:19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v>0.47986666666666666</v>
      </c>
      <c r="E77" t="s">
        <v>9</v>
      </c>
      <c r="F77" t="s">
        <v>73</v>
      </c>
      <c r="G77">
        <v>7098</v>
      </c>
      <c r="H77" t="s">
        <v>447</v>
      </c>
      <c r="I77" s="59">
        <v>45145</v>
      </c>
      <c r="J77" t="s">
        <v>536</v>
      </c>
      <c r="L77" s="59"/>
      <c r="M77" s="1">
        <v>0.47320000000000001</v>
      </c>
      <c r="N77" t="s">
        <v>164</v>
      </c>
      <c r="O77" t="s">
        <v>9</v>
      </c>
      <c r="P77">
        <v>7098</v>
      </c>
      <c r="Q77">
        <v>15000</v>
      </c>
      <c r="R77" t="s">
        <v>73</v>
      </c>
      <c r="S77" t="s">
        <v>153</v>
      </c>
    </row>
    <row r="78" spans="1:19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v>0.36593333333333333</v>
      </c>
      <c r="N78" t="s">
        <v>165</v>
      </c>
      <c r="O78" t="s">
        <v>9</v>
      </c>
      <c r="P78">
        <v>5489</v>
      </c>
      <c r="Q78">
        <v>15000</v>
      </c>
      <c r="R78" t="s">
        <v>49</v>
      </c>
      <c r="S78" t="s">
        <v>153</v>
      </c>
    </row>
    <row r="79" spans="1:19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v>0.35866666666666669</v>
      </c>
      <c r="E79" t="s">
        <v>9</v>
      </c>
      <c r="F79" t="s">
        <v>104</v>
      </c>
      <c r="G79">
        <v>5380</v>
      </c>
      <c r="H79" t="s">
        <v>483</v>
      </c>
      <c r="I79" s="59">
        <v>44104</v>
      </c>
      <c r="J79" t="s">
        <v>536</v>
      </c>
      <c r="M79" s="1">
        <v>0.35866666666666669</v>
      </c>
      <c r="N79" t="s">
        <v>165</v>
      </c>
      <c r="O79" t="s">
        <v>9</v>
      </c>
      <c r="P79">
        <v>5380</v>
      </c>
      <c r="Q79">
        <v>15000</v>
      </c>
      <c r="R79" t="s">
        <v>104</v>
      </c>
      <c r="S79" t="s">
        <v>153</v>
      </c>
    </row>
    <row r="80" spans="1:19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v>0.30833333333333335</v>
      </c>
      <c r="N80" t="s">
        <v>165</v>
      </c>
      <c r="O80" t="s">
        <v>9</v>
      </c>
      <c r="P80">
        <v>4625</v>
      </c>
      <c r="Q80">
        <v>15000</v>
      </c>
      <c r="R80" t="s">
        <v>51</v>
      </c>
      <c r="S80" t="s">
        <v>153</v>
      </c>
    </row>
    <row r="81" spans="1:19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v>0.20480000000000001</v>
      </c>
      <c r="N81" t="s">
        <v>165</v>
      </c>
      <c r="O81" t="s">
        <v>9</v>
      </c>
      <c r="P81">
        <v>3072</v>
      </c>
      <c r="Q81">
        <v>15000</v>
      </c>
      <c r="R81" t="s">
        <v>84</v>
      </c>
      <c r="S81" t="s">
        <v>153</v>
      </c>
    </row>
    <row r="82" spans="1:19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v>4.6666666666666669E-2</v>
      </c>
      <c r="N82" t="s">
        <v>165</v>
      </c>
      <c r="O82" t="s">
        <v>9</v>
      </c>
      <c r="P82">
        <v>700</v>
      </c>
      <c r="Q82">
        <v>15000</v>
      </c>
      <c r="R82" t="s">
        <v>112</v>
      </c>
      <c r="S82" t="s">
        <v>153</v>
      </c>
    </row>
    <row r="83" spans="1:19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v>2.3333333333333334E-2</v>
      </c>
      <c r="N83" t="s">
        <v>165</v>
      </c>
      <c r="O83" t="s">
        <v>9</v>
      </c>
      <c r="P83">
        <v>350</v>
      </c>
      <c r="Q83">
        <v>15000</v>
      </c>
      <c r="R83" t="s">
        <v>30</v>
      </c>
      <c r="S83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S91"/>
  <sheetViews>
    <sheetView zoomScale="70" zoomScaleNormal="70" workbookViewId="0">
      <selection activeCell="D3" sqref="D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20" max="20" width="14.28515625" customWidth="1"/>
  </cols>
  <sheetData>
    <row r="1" spans="1:45" ht="15" customHeight="1" x14ac:dyDescent="0.25">
      <c r="L1" s="59"/>
    </row>
    <row r="2" spans="1:45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45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45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45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45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562</v>
      </c>
      <c r="AL8" s="41" t="s">
        <v>566</v>
      </c>
      <c r="AM8" s="41" t="s">
        <v>551</v>
      </c>
      <c r="AN8" s="41" t="s">
        <v>552</v>
      </c>
      <c r="AO8" s="41" t="s">
        <v>563</v>
      </c>
      <c r="AP8" s="41" t="s">
        <v>567</v>
      </c>
      <c r="AQ8" s="41" t="s">
        <v>558</v>
      </c>
      <c r="AR8" s="41" t="s">
        <v>559</v>
      </c>
      <c r="AS8" s="19" t="s">
        <v>134</v>
      </c>
    </row>
    <row r="9" spans="1:45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v>2.1022955384615383</v>
      </c>
      <c r="N9" t="s">
        <v>162</v>
      </c>
      <c r="O9" t="s">
        <v>3</v>
      </c>
      <c r="P9">
        <v>136649.21</v>
      </c>
      <c r="Q9">
        <v>65000</v>
      </c>
      <c r="R9" t="s">
        <v>76</v>
      </c>
      <c r="S9" t="s">
        <v>155</v>
      </c>
      <c r="U9">
        <v>615100</v>
      </c>
      <c r="V9" s="12">
        <v>538920.89</v>
      </c>
      <c r="W9" s="18">
        <v>0.87615166639570807</v>
      </c>
      <c r="X9" t="s">
        <v>3</v>
      </c>
      <c r="Y9">
        <v>8250</v>
      </c>
      <c r="Z9">
        <v>11950</v>
      </c>
      <c r="AA9">
        <v>61762</v>
      </c>
      <c r="AB9">
        <v>62263</v>
      </c>
      <c r="AC9">
        <v>95725.81</v>
      </c>
      <c r="AD9">
        <v>116925.81</v>
      </c>
      <c r="AE9">
        <v>134875.81</v>
      </c>
      <c r="AF9">
        <v>160475.79</v>
      </c>
      <c r="AG9">
        <v>219230.49</v>
      </c>
      <c r="AH9">
        <v>242370.49</v>
      </c>
      <c r="AI9">
        <v>285359.49</v>
      </c>
      <c r="AJ9">
        <v>302260.49</v>
      </c>
      <c r="AK9">
        <v>309460.49</v>
      </c>
      <c r="AL9">
        <v>320810.49</v>
      </c>
      <c r="AM9">
        <v>374949.49</v>
      </c>
      <c r="AN9">
        <v>388025.49</v>
      </c>
      <c r="AO9">
        <v>397033.49</v>
      </c>
      <c r="AP9">
        <v>431138.89</v>
      </c>
      <c r="AQ9">
        <v>477400.89</v>
      </c>
      <c r="AR9">
        <v>538920.89</v>
      </c>
      <c r="AS9" s="12" t="s">
        <v>155</v>
      </c>
    </row>
    <row r="10" spans="1:45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v>1.4705384615384616</v>
      </c>
      <c r="N10" t="s">
        <v>162</v>
      </c>
      <c r="O10" t="s">
        <v>3</v>
      </c>
      <c r="P10">
        <v>95585</v>
      </c>
      <c r="Q10">
        <v>65000</v>
      </c>
      <c r="R10" t="s">
        <v>23</v>
      </c>
      <c r="S10" t="s">
        <v>155</v>
      </c>
      <c r="U10">
        <v>615100</v>
      </c>
      <c r="V10" s="12">
        <v>564638.38</v>
      </c>
      <c r="W10" s="18">
        <v>0.91796192489026174</v>
      </c>
      <c r="X10" t="s">
        <v>4</v>
      </c>
      <c r="Y10">
        <v>13423</v>
      </c>
      <c r="Z10">
        <v>22089</v>
      </c>
      <c r="AA10">
        <v>45551</v>
      </c>
      <c r="AB10">
        <v>46188</v>
      </c>
      <c r="AC10">
        <v>47643</v>
      </c>
      <c r="AD10">
        <v>57043</v>
      </c>
      <c r="AE10">
        <v>66193</v>
      </c>
      <c r="AF10">
        <v>80893</v>
      </c>
      <c r="AG10">
        <v>119335</v>
      </c>
      <c r="AH10">
        <v>155058</v>
      </c>
      <c r="AI10">
        <v>195358</v>
      </c>
      <c r="AJ10">
        <v>218540</v>
      </c>
      <c r="AK10">
        <v>226551</v>
      </c>
      <c r="AL10">
        <v>286455</v>
      </c>
      <c r="AM10">
        <v>311160</v>
      </c>
      <c r="AN10">
        <v>356099</v>
      </c>
      <c r="AO10">
        <v>389508</v>
      </c>
      <c r="AP10">
        <v>456301</v>
      </c>
      <c r="AQ10">
        <v>501536</v>
      </c>
      <c r="AR10">
        <v>564638.38</v>
      </c>
      <c r="AS10" s="12" t="s">
        <v>155</v>
      </c>
    </row>
    <row r="11" spans="1:45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v>1.2490876923076923</v>
      </c>
      <c r="N11" t="s">
        <v>162</v>
      </c>
      <c r="O11" t="s">
        <v>3</v>
      </c>
      <c r="P11">
        <v>81190.7</v>
      </c>
      <c r="Q11">
        <v>65000</v>
      </c>
      <c r="R11" t="s">
        <v>22</v>
      </c>
      <c r="S11" t="s">
        <v>155</v>
      </c>
      <c r="U11">
        <v>458800</v>
      </c>
      <c r="V11" s="12">
        <v>236090.5</v>
      </c>
      <c r="W11" s="18">
        <v>0.51458260680034873</v>
      </c>
      <c r="X11" t="s">
        <v>5</v>
      </c>
      <c r="Y11">
        <v>6749</v>
      </c>
      <c r="Z11">
        <v>10710</v>
      </c>
      <c r="AA11">
        <v>12213</v>
      </c>
      <c r="AB11">
        <v>17238</v>
      </c>
      <c r="AC11">
        <v>30822.5</v>
      </c>
      <c r="AD11">
        <v>37315.5</v>
      </c>
      <c r="AE11">
        <v>40355.5</v>
      </c>
      <c r="AF11">
        <v>41952.5</v>
      </c>
      <c r="AG11">
        <v>57847.5</v>
      </c>
      <c r="AH11">
        <v>82422.5</v>
      </c>
      <c r="AI11">
        <v>91646.5</v>
      </c>
      <c r="AJ11">
        <v>100689.5</v>
      </c>
      <c r="AK11">
        <v>111887.5</v>
      </c>
      <c r="AL11">
        <v>121561.5</v>
      </c>
      <c r="AM11">
        <v>135920.5</v>
      </c>
      <c r="AN11">
        <v>152781.5</v>
      </c>
      <c r="AO11">
        <v>174526.5</v>
      </c>
      <c r="AP11">
        <v>183374.5</v>
      </c>
      <c r="AQ11">
        <v>198893.5</v>
      </c>
      <c r="AR11">
        <v>236090.5</v>
      </c>
      <c r="AS11" s="12" t="s">
        <v>150</v>
      </c>
    </row>
    <row r="12" spans="1:45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v>0.71161538461538465</v>
      </c>
      <c r="N12" t="s">
        <v>163</v>
      </c>
      <c r="O12" t="s">
        <v>3</v>
      </c>
      <c r="P12">
        <v>46255</v>
      </c>
      <c r="Q12">
        <v>65000</v>
      </c>
      <c r="R12" t="s">
        <v>25</v>
      </c>
      <c r="S12" t="s">
        <v>155</v>
      </c>
      <c r="U12">
        <v>458800</v>
      </c>
      <c r="V12" s="12">
        <v>295947</v>
      </c>
      <c r="W12" s="18">
        <v>0.64504577157802967</v>
      </c>
      <c r="X12" t="s">
        <v>2</v>
      </c>
      <c r="Y12">
        <v>3620</v>
      </c>
      <c r="Z12">
        <v>12170</v>
      </c>
      <c r="AA12">
        <v>17615</v>
      </c>
      <c r="AB12">
        <v>21869</v>
      </c>
      <c r="AC12">
        <v>23471</v>
      </c>
      <c r="AD12">
        <v>26208</v>
      </c>
      <c r="AE12">
        <v>44723</v>
      </c>
      <c r="AF12">
        <v>49761</v>
      </c>
      <c r="AG12">
        <v>62097</v>
      </c>
      <c r="AH12">
        <v>92299</v>
      </c>
      <c r="AI12">
        <v>111921</v>
      </c>
      <c r="AJ12">
        <v>132081</v>
      </c>
      <c r="AK12">
        <v>135781</v>
      </c>
      <c r="AL12">
        <v>182298</v>
      </c>
      <c r="AM12">
        <v>189097</v>
      </c>
      <c r="AN12">
        <v>192446</v>
      </c>
      <c r="AO12">
        <v>204382</v>
      </c>
      <c r="AP12">
        <v>213209</v>
      </c>
      <c r="AQ12">
        <v>246508</v>
      </c>
      <c r="AR12">
        <v>295947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457</v>
      </c>
      <c r="I13" s="59">
        <v>45348</v>
      </c>
      <c r="J13" t="s">
        <v>536</v>
      </c>
      <c r="L13" s="59"/>
      <c r="M13" s="1">
        <v>0.70020000000000004</v>
      </c>
      <c r="N13" t="s">
        <v>163</v>
      </c>
      <c r="O13" t="s">
        <v>3</v>
      </c>
      <c r="P13">
        <v>45513</v>
      </c>
      <c r="Q13">
        <v>65000</v>
      </c>
      <c r="R13" t="s">
        <v>24</v>
      </c>
      <c r="S13" t="s">
        <v>155</v>
      </c>
      <c r="U13">
        <v>260350</v>
      </c>
      <c r="V13" s="12">
        <v>320326.18</v>
      </c>
      <c r="W13" s="18">
        <v>1.2303675052813521</v>
      </c>
      <c r="X13" t="s">
        <v>6</v>
      </c>
      <c r="Y13">
        <v>1210</v>
      </c>
      <c r="Z13">
        <v>5741</v>
      </c>
      <c r="AA13">
        <v>20591</v>
      </c>
      <c r="AB13">
        <v>22891</v>
      </c>
      <c r="AC13">
        <v>40003</v>
      </c>
      <c r="AD13">
        <v>46363</v>
      </c>
      <c r="AE13">
        <v>73254</v>
      </c>
      <c r="AF13">
        <v>79104</v>
      </c>
      <c r="AG13">
        <v>115846</v>
      </c>
      <c r="AH13">
        <v>141496</v>
      </c>
      <c r="AI13">
        <v>153285</v>
      </c>
      <c r="AJ13">
        <v>175219.5</v>
      </c>
      <c r="AK13">
        <v>182928.5</v>
      </c>
      <c r="AL13">
        <v>204910.5</v>
      </c>
      <c r="AM13">
        <v>215439.5</v>
      </c>
      <c r="AN13">
        <v>222817.5</v>
      </c>
      <c r="AO13">
        <v>225143.5</v>
      </c>
      <c r="AP13">
        <v>250238.5</v>
      </c>
      <c r="AQ13">
        <v>268092.5</v>
      </c>
      <c r="AR13">
        <v>320326.18</v>
      </c>
      <c r="AS13" s="12" t="s">
        <v>156</v>
      </c>
    </row>
    <row r="14" spans="1:45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v>0.54392307692307695</v>
      </c>
      <c r="N14" t="s">
        <v>164</v>
      </c>
      <c r="O14" t="s">
        <v>3</v>
      </c>
      <c r="P14">
        <v>35355</v>
      </c>
      <c r="Q14">
        <v>65000</v>
      </c>
      <c r="R14" t="s">
        <v>26</v>
      </c>
      <c r="S14" t="s">
        <v>155</v>
      </c>
      <c r="U14">
        <v>154800</v>
      </c>
      <c r="V14" s="12">
        <v>138518</v>
      </c>
      <c r="W14" s="18">
        <v>0.89481912144702846</v>
      </c>
      <c r="X14" t="s">
        <v>7</v>
      </c>
      <c r="Y14">
        <v>0</v>
      </c>
      <c r="Z14">
        <v>5000</v>
      </c>
      <c r="AA14">
        <v>6680</v>
      </c>
      <c r="AB14">
        <v>7980</v>
      </c>
      <c r="AC14">
        <v>12298</v>
      </c>
      <c r="AD14">
        <v>21498</v>
      </c>
      <c r="AE14">
        <v>25398</v>
      </c>
      <c r="AF14">
        <v>29248</v>
      </c>
      <c r="AG14">
        <v>31108</v>
      </c>
      <c r="AH14">
        <v>42571</v>
      </c>
      <c r="AI14">
        <v>51803</v>
      </c>
      <c r="AJ14">
        <v>68703</v>
      </c>
      <c r="AK14">
        <v>70703</v>
      </c>
      <c r="AL14">
        <v>80944</v>
      </c>
      <c r="AM14">
        <v>96084</v>
      </c>
      <c r="AN14">
        <v>108884</v>
      </c>
      <c r="AO14">
        <v>111384</v>
      </c>
      <c r="AP14">
        <v>118804</v>
      </c>
      <c r="AQ14">
        <v>124688</v>
      </c>
      <c r="AR14">
        <v>138518</v>
      </c>
      <c r="AS14" s="12" t="s">
        <v>152</v>
      </c>
    </row>
    <row r="15" spans="1:45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v>0.43807692307692309</v>
      </c>
      <c r="N15" t="s">
        <v>164</v>
      </c>
      <c r="O15" t="s">
        <v>3</v>
      </c>
      <c r="P15">
        <v>28475</v>
      </c>
      <c r="Q15">
        <v>65000</v>
      </c>
      <c r="R15" t="s">
        <v>29</v>
      </c>
      <c r="S15" t="s">
        <v>155</v>
      </c>
      <c r="U15">
        <v>130825</v>
      </c>
      <c r="V15" s="12">
        <v>109403</v>
      </c>
      <c r="W15" s="18">
        <v>0.83625453850563736</v>
      </c>
      <c r="X15" t="s">
        <v>9</v>
      </c>
      <c r="Y15">
        <v>2372</v>
      </c>
      <c r="Z15">
        <v>4039</v>
      </c>
      <c r="AA15">
        <v>8038</v>
      </c>
      <c r="AB15">
        <v>12145</v>
      </c>
      <c r="AC15">
        <v>15176</v>
      </c>
      <c r="AD15">
        <v>18251</v>
      </c>
      <c r="AE15">
        <v>22861</v>
      </c>
      <c r="AF15">
        <v>27791</v>
      </c>
      <c r="AG15">
        <v>35241</v>
      </c>
      <c r="AH15">
        <v>40291</v>
      </c>
      <c r="AI15">
        <v>44306</v>
      </c>
      <c r="AJ15">
        <v>52756</v>
      </c>
      <c r="AK15">
        <v>56160</v>
      </c>
      <c r="AL15">
        <v>64325</v>
      </c>
      <c r="AM15">
        <v>65905</v>
      </c>
      <c r="AN15">
        <v>70289</v>
      </c>
      <c r="AO15">
        <v>75919</v>
      </c>
      <c r="AP15">
        <v>82569</v>
      </c>
      <c r="AQ15">
        <v>91694</v>
      </c>
      <c r="AR15">
        <v>109403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v>0.39327661538461539</v>
      </c>
      <c r="N16" t="s">
        <v>165</v>
      </c>
      <c r="O16" t="s">
        <v>3</v>
      </c>
      <c r="P16">
        <v>25562.98</v>
      </c>
      <c r="Q16">
        <v>65000</v>
      </c>
      <c r="R16" t="s">
        <v>28</v>
      </c>
      <c r="S16" t="s">
        <v>155</v>
      </c>
      <c r="U16">
        <v>130825</v>
      </c>
      <c r="V16" s="12">
        <v>88766.3</v>
      </c>
      <c r="W16" s="18">
        <v>0.67851175234091343</v>
      </c>
      <c r="X16" t="s">
        <v>8</v>
      </c>
      <c r="Y16">
        <v>950</v>
      </c>
      <c r="Z16">
        <v>4780</v>
      </c>
      <c r="AA16">
        <v>9646</v>
      </c>
      <c r="AB16">
        <v>13340</v>
      </c>
      <c r="AC16">
        <v>15546.2</v>
      </c>
      <c r="AD16">
        <v>19141.5</v>
      </c>
      <c r="AE16">
        <v>22441.5</v>
      </c>
      <c r="AF16">
        <v>22681.5</v>
      </c>
      <c r="AG16">
        <v>28616.5</v>
      </c>
      <c r="AH16">
        <v>32341.5</v>
      </c>
      <c r="AI16">
        <v>35607.5</v>
      </c>
      <c r="AJ16">
        <v>40565.5</v>
      </c>
      <c r="AK16">
        <v>44930.5</v>
      </c>
      <c r="AL16">
        <v>50946.5</v>
      </c>
      <c r="AM16">
        <v>55352.5</v>
      </c>
      <c r="AN16">
        <v>60560.5</v>
      </c>
      <c r="AO16">
        <v>62872.3</v>
      </c>
      <c r="AP16">
        <v>70417.3</v>
      </c>
      <c r="AQ16">
        <v>80227.600000000006</v>
      </c>
      <c r="AR16">
        <v>88766.3</v>
      </c>
      <c r="AS16" s="12" t="s">
        <v>153</v>
      </c>
    </row>
    <row r="17" spans="1:19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v>0.24923076923076923</v>
      </c>
      <c r="N17" t="s">
        <v>165</v>
      </c>
      <c r="O17" t="s">
        <v>3</v>
      </c>
      <c r="P17">
        <v>16200</v>
      </c>
      <c r="Q17">
        <v>65000</v>
      </c>
      <c r="R17" t="s">
        <v>27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v>0.13592307692307692</v>
      </c>
      <c r="N18" t="s">
        <v>165</v>
      </c>
      <c r="O18" t="s">
        <v>3</v>
      </c>
      <c r="P18">
        <v>8835</v>
      </c>
      <c r="Q18">
        <v>65000</v>
      </c>
      <c r="R18" t="s">
        <v>30</v>
      </c>
      <c r="S18" t="s">
        <v>155</v>
      </c>
    </row>
    <row r="19" spans="1:19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v>2.1010089230769227</v>
      </c>
      <c r="N19" t="s">
        <v>162</v>
      </c>
      <c r="O19" t="s">
        <v>4</v>
      </c>
      <c r="P19">
        <v>136565.57999999999</v>
      </c>
      <c r="Q19">
        <v>65000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v>1.4679707692307693</v>
      </c>
      <c r="N20" t="s">
        <v>162</v>
      </c>
      <c r="O20" t="s">
        <v>4</v>
      </c>
      <c r="P20">
        <v>95418.1</v>
      </c>
      <c r="Q20">
        <v>65000</v>
      </c>
      <c r="R20" t="s">
        <v>75</v>
      </c>
      <c r="S20" t="s">
        <v>155</v>
      </c>
    </row>
    <row r="21" spans="1:19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v>1.1315230769230769</v>
      </c>
      <c r="N21" t="s">
        <v>162</v>
      </c>
      <c r="O21" t="s">
        <v>4</v>
      </c>
      <c r="P21">
        <v>73549</v>
      </c>
      <c r="Q21">
        <v>65000</v>
      </c>
      <c r="R21" t="s">
        <v>58</v>
      </c>
      <c r="S21" t="s">
        <v>155</v>
      </c>
    </row>
    <row r="22" spans="1:19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v>0.94044615384615382</v>
      </c>
      <c r="N22" t="s">
        <v>163</v>
      </c>
      <c r="O22" t="s">
        <v>4</v>
      </c>
      <c r="P22">
        <v>61129</v>
      </c>
      <c r="Q22">
        <v>65000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v>0.68861538461538463</v>
      </c>
      <c r="N23" t="s">
        <v>164</v>
      </c>
      <c r="O23" t="s">
        <v>4</v>
      </c>
      <c r="P23">
        <v>44760</v>
      </c>
      <c r="Q23">
        <v>65000</v>
      </c>
      <c r="R23" t="s">
        <v>64</v>
      </c>
      <c r="S23" t="s">
        <v>155</v>
      </c>
    </row>
    <row r="24" spans="1:19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v>0.57619538461538455</v>
      </c>
      <c r="N24" t="s">
        <v>164</v>
      </c>
      <c r="O24" t="s">
        <v>4</v>
      </c>
      <c r="P24">
        <v>37452.699999999997</v>
      </c>
      <c r="Q24">
        <v>65000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v>0.50055384615384613</v>
      </c>
      <c r="N25" t="s">
        <v>164</v>
      </c>
      <c r="O25" t="s">
        <v>4</v>
      </c>
      <c r="P25">
        <v>32536</v>
      </c>
      <c r="Q25">
        <v>65000</v>
      </c>
      <c r="R25" t="s">
        <v>57</v>
      </c>
      <c r="S25" t="s">
        <v>155</v>
      </c>
    </row>
    <row r="26" spans="1:19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v>0.48635384615384614</v>
      </c>
      <c r="N26" t="s">
        <v>164</v>
      </c>
      <c r="O26" t="s">
        <v>4</v>
      </c>
      <c r="P26">
        <v>31613</v>
      </c>
      <c r="Q26">
        <v>65000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v>0.3228923076923077</v>
      </c>
      <c r="N27" t="s">
        <v>165</v>
      </c>
      <c r="O27" t="s">
        <v>4</v>
      </c>
      <c r="P27">
        <v>20988</v>
      </c>
      <c r="Q27">
        <v>65000</v>
      </c>
      <c r="R27" t="s">
        <v>60</v>
      </c>
      <c r="S27" t="s">
        <v>155</v>
      </c>
    </row>
    <row r="28" spans="1:19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v>0.25064615384615385</v>
      </c>
      <c r="N28" t="s">
        <v>165</v>
      </c>
      <c r="O28" t="s">
        <v>4</v>
      </c>
      <c r="P28">
        <v>16292</v>
      </c>
      <c r="Q28">
        <v>65000</v>
      </c>
      <c r="R28" t="s">
        <v>63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437</v>
      </c>
      <c r="I29" s="59">
        <v>44735</v>
      </c>
      <c r="J29" t="s">
        <v>536</v>
      </c>
      <c r="L29" s="59"/>
      <c r="M29" s="1">
        <v>0.17687692307692307</v>
      </c>
      <c r="N29" t="s">
        <v>165</v>
      </c>
      <c r="O29" t="s">
        <v>4</v>
      </c>
      <c r="P29">
        <v>11497</v>
      </c>
      <c r="Q29">
        <v>65000</v>
      </c>
      <c r="R29" t="s">
        <v>80</v>
      </c>
      <c r="S29" t="s">
        <v>155</v>
      </c>
    </row>
    <row r="30" spans="1:19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v>1.3431481481481482</v>
      </c>
      <c r="N30" t="s">
        <v>162</v>
      </c>
      <c r="O30" t="s">
        <v>2</v>
      </c>
      <c r="P30">
        <v>72530</v>
      </c>
      <c r="Q30">
        <v>54000</v>
      </c>
      <c r="R30" t="s">
        <v>16</v>
      </c>
      <c r="S30" t="s">
        <v>150</v>
      </c>
    </row>
    <row r="31" spans="1:19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v>0.94387037037037036</v>
      </c>
      <c r="N31" t="s">
        <v>163</v>
      </c>
      <c r="O31" t="s">
        <v>2</v>
      </c>
      <c r="P31">
        <v>50969</v>
      </c>
      <c r="Q31">
        <v>54000</v>
      </c>
      <c r="R31" t="s">
        <v>10</v>
      </c>
      <c r="S31" t="s">
        <v>150</v>
      </c>
    </row>
    <row r="32" spans="1:19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v>0.84044444444444444</v>
      </c>
      <c r="N32" t="s">
        <v>163</v>
      </c>
      <c r="O32" t="s">
        <v>2</v>
      </c>
      <c r="P32">
        <v>45384</v>
      </c>
      <c r="Q32">
        <v>54000</v>
      </c>
      <c r="R32" t="s">
        <v>17</v>
      </c>
      <c r="S32" t="s">
        <v>150</v>
      </c>
    </row>
    <row r="33" spans="1:19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v>0.56653703703703706</v>
      </c>
      <c r="N33" t="s">
        <v>164</v>
      </c>
      <c r="O33" t="s">
        <v>2</v>
      </c>
      <c r="P33">
        <v>30593</v>
      </c>
      <c r="Q33">
        <v>54000</v>
      </c>
      <c r="R33" t="s">
        <v>12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v>0.50240740740740741</v>
      </c>
      <c r="N34" t="s">
        <v>164</v>
      </c>
      <c r="O34" t="s">
        <v>2</v>
      </c>
      <c r="P34">
        <v>27130</v>
      </c>
      <c r="Q34">
        <v>54000</v>
      </c>
      <c r="R34" t="s">
        <v>11</v>
      </c>
      <c r="S34" t="s">
        <v>150</v>
      </c>
    </row>
    <row r="35" spans="1:19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v>0.41922222222222222</v>
      </c>
      <c r="N35" t="s">
        <v>164</v>
      </c>
      <c r="O35" t="s">
        <v>2</v>
      </c>
      <c r="P35">
        <v>22638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v>0.37775925925925924</v>
      </c>
      <c r="N36" t="s">
        <v>165</v>
      </c>
      <c r="O36" t="s">
        <v>2</v>
      </c>
      <c r="P36">
        <v>20399</v>
      </c>
      <c r="Q36">
        <v>54000</v>
      </c>
      <c r="R36" t="s">
        <v>14</v>
      </c>
      <c r="S36" t="s">
        <v>150</v>
      </c>
    </row>
    <row r="37" spans="1:19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v>0.3280925925925926</v>
      </c>
      <c r="N37" t="s">
        <v>165</v>
      </c>
      <c r="O37" t="s">
        <v>2</v>
      </c>
      <c r="P37">
        <v>17717</v>
      </c>
      <c r="Q37">
        <v>54000</v>
      </c>
      <c r="R37" t="s">
        <v>13</v>
      </c>
      <c r="S37" t="s">
        <v>150</v>
      </c>
    </row>
    <row r="38" spans="1:19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v>0.15901851851851853</v>
      </c>
      <c r="N38" t="s">
        <v>165</v>
      </c>
      <c r="O38" t="s">
        <v>2</v>
      </c>
      <c r="P38">
        <v>8587</v>
      </c>
      <c r="Q38">
        <v>54000</v>
      </c>
      <c r="R38" t="s">
        <v>86</v>
      </c>
      <c r="S38" t="s">
        <v>150</v>
      </c>
    </row>
    <row r="39" spans="1:19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v>0.72612962962962968</v>
      </c>
      <c r="N39" t="s">
        <v>163</v>
      </c>
      <c r="O39" t="s">
        <v>5</v>
      </c>
      <c r="P39">
        <v>39211</v>
      </c>
      <c r="Q39">
        <v>54000</v>
      </c>
      <c r="R39" t="s">
        <v>67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v>0.54594444444444445</v>
      </c>
      <c r="N40" t="s">
        <v>164</v>
      </c>
      <c r="O40" t="s">
        <v>5</v>
      </c>
      <c r="P40">
        <v>29481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v>0.50568518518518524</v>
      </c>
      <c r="N41" t="s">
        <v>164</v>
      </c>
      <c r="O41" t="s">
        <v>5</v>
      </c>
      <c r="P41">
        <v>27307</v>
      </c>
      <c r="Q41">
        <v>54000</v>
      </c>
      <c r="R41" t="s">
        <v>66</v>
      </c>
      <c r="S41" t="s">
        <v>150</v>
      </c>
    </row>
    <row r="42" spans="1:19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430</v>
      </c>
      <c r="I42" s="59">
        <v>45334</v>
      </c>
      <c r="J42" t="s">
        <v>536</v>
      </c>
      <c r="L42" s="59"/>
      <c r="M42" s="1">
        <v>0.46605555555555556</v>
      </c>
      <c r="N42" t="s">
        <v>164</v>
      </c>
      <c r="O42" t="s">
        <v>5</v>
      </c>
      <c r="P42">
        <v>25167</v>
      </c>
      <c r="Q42">
        <v>54000</v>
      </c>
      <c r="R42" t="s">
        <v>72</v>
      </c>
      <c r="S42" t="s">
        <v>150</v>
      </c>
    </row>
    <row r="43" spans="1:19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v>0.4457962962962963</v>
      </c>
      <c r="N43" t="s">
        <v>164</v>
      </c>
      <c r="O43" t="s">
        <v>5</v>
      </c>
      <c r="P43">
        <v>24073</v>
      </c>
      <c r="Q43">
        <v>54000</v>
      </c>
      <c r="R43" t="s">
        <v>85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428</v>
      </c>
      <c r="I44" s="59">
        <v>44748</v>
      </c>
      <c r="J44" t="s">
        <v>536</v>
      </c>
      <c r="L44" s="59"/>
      <c r="M44" s="1">
        <v>0.41438888888888886</v>
      </c>
      <c r="N44" t="s">
        <v>164</v>
      </c>
      <c r="O44" t="s">
        <v>5</v>
      </c>
      <c r="P44">
        <v>22377</v>
      </c>
      <c r="Q44">
        <v>54000</v>
      </c>
      <c r="R44" t="s">
        <v>71</v>
      </c>
      <c r="S44" t="s">
        <v>150</v>
      </c>
    </row>
    <row r="45" spans="1:19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v>0.37994444444444442</v>
      </c>
      <c r="N45" t="s">
        <v>165</v>
      </c>
      <c r="O45" t="s">
        <v>5</v>
      </c>
      <c r="P45">
        <v>20517</v>
      </c>
      <c r="Q45">
        <v>54000</v>
      </c>
      <c r="R45" t="s">
        <v>68</v>
      </c>
      <c r="S45" t="s">
        <v>150</v>
      </c>
    </row>
    <row r="46" spans="1:19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v>0.26178703703703704</v>
      </c>
      <c r="N46" t="s">
        <v>165</v>
      </c>
      <c r="O46" t="s">
        <v>5</v>
      </c>
      <c r="P46">
        <v>14136.5</v>
      </c>
      <c r="Q46">
        <v>54000</v>
      </c>
      <c r="R46" t="s">
        <v>69</v>
      </c>
      <c r="S46" t="s">
        <v>150</v>
      </c>
    </row>
    <row r="47" spans="1:19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v>0.22816666666666666</v>
      </c>
      <c r="N47" t="s">
        <v>165</v>
      </c>
      <c r="O47" t="s">
        <v>5</v>
      </c>
      <c r="P47">
        <v>12321</v>
      </c>
      <c r="Q47">
        <v>54000</v>
      </c>
      <c r="R47" t="s">
        <v>79</v>
      </c>
      <c r="S47" t="s">
        <v>150</v>
      </c>
    </row>
    <row r="48" spans="1:19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v>2.5266153846153845</v>
      </c>
      <c r="N48" t="s">
        <v>162</v>
      </c>
      <c r="O48" t="s">
        <v>6</v>
      </c>
      <c r="P48">
        <v>65692</v>
      </c>
      <c r="Q48">
        <v>26000</v>
      </c>
      <c r="R48" t="s">
        <v>31</v>
      </c>
      <c r="S48" t="s">
        <v>156</v>
      </c>
    </row>
    <row r="49" spans="1:19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v>2.1562692307692308</v>
      </c>
      <c r="N49" t="s">
        <v>162</v>
      </c>
      <c r="O49" t="s">
        <v>6</v>
      </c>
      <c r="P49">
        <v>56063</v>
      </c>
      <c r="Q49">
        <v>26000</v>
      </c>
      <c r="R49" t="s">
        <v>78</v>
      </c>
      <c r="S49" t="s">
        <v>156</v>
      </c>
    </row>
    <row r="50" spans="1:19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v>1.3675384615384616</v>
      </c>
      <c r="N50" t="s">
        <v>162</v>
      </c>
      <c r="O50" t="s">
        <v>6</v>
      </c>
      <c r="P50">
        <v>35556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417</v>
      </c>
      <c r="I51" s="59">
        <v>45530</v>
      </c>
      <c r="J51" t="s">
        <v>536</v>
      </c>
      <c r="L51" s="59"/>
      <c r="M51" s="1">
        <v>1.2695000000000001</v>
      </c>
      <c r="N51" t="s">
        <v>162</v>
      </c>
      <c r="O51" t="s">
        <v>6</v>
      </c>
      <c r="P51">
        <v>33007</v>
      </c>
      <c r="Q51">
        <v>26000</v>
      </c>
      <c r="R51" t="s">
        <v>33</v>
      </c>
      <c r="S51" t="s">
        <v>156</v>
      </c>
    </row>
    <row r="52" spans="1:19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v>1.0028846153846154</v>
      </c>
      <c r="N52" t="s">
        <v>162</v>
      </c>
      <c r="O52" t="s">
        <v>6</v>
      </c>
      <c r="P52">
        <v>26075</v>
      </c>
      <c r="Q52">
        <v>26000</v>
      </c>
      <c r="R52" t="s">
        <v>36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v>0.85</v>
      </c>
      <c r="N53" t="s">
        <v>163</v>
      </c>
      <c r="O53" t="s">
        <v>6</v>
      </c>
      <c r="P53">
        <v>22100</v>
      </c>
      <c r="Q53">
        <v>26000</v>
      </c>
      <c r="R53" t="s">
        <v>34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v>0.69415384615384612</v>
      </c>
      <c r="N54" t="s">
        <v>164</v>
      </c>
      <c r="O54" t="s">
        <v>6</v>
      </c>
      <c r="P54">
        <v>18048</v>
      </c>
      <c r="Q54">
        <v>26000</v>
      </c>
      <c r="R54" t="s">
        <v>37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v>0.69242307692307692</v>
      </c>
      <c r="N55" t="s">
        <v>164</v>
      </c>
      <c r="O55" t="s">
        <v>6</v>
      </c>
      <c r="P55">
        <v>18003</v>
      </c>
      <c r="Q55">
        <v>26000</v>
      </c>
      <c r="R55" t="s">
        <v>38</v>
      </c>
      <c r="S55" t="s">
        <v>156</v>
      </c>
    </row>
    <row r="56" spans="1:19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v>0.59030769230769231</v>
      </c>
      <c r="N56" t="s">
        <v>164</v>
      </c>
      <c r="O56" t="s">
        <v>6</v>
      </c>
      <c r="P56">
        <v>15348</v>
      </c>
      <c r="Q56">
        <v>26000</v>
      </c>
      <c r="R56" t="s">
        <v>40</v>
      </c>
      <c r="S56" t="s">
        <v>156</v>
      </c>
    </row>
    <row r="57" spans="1:19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v>0.48896153846153845</v>
      </c>
      <c r="N57" t="s">
        <v>164</v>
      </c>
      <c r="O57" t="s">
        <v>6</v>
      </c>
      <c r="P57">
        <v>12713</v>
      </c>
      <c r="Q57">
        <v>26000</v>
      </c>
      <c r="R57" t="s">
        <v>32</v>
      </c>
      <c r="S57" t="s">
        <v>156</v>
      </c>
    </row>
    <row r="58" spans="1:19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v>0.43580769230769228</v>
      </c>
      <c r="N58" t="s">
        <v>164</v>
      </c>
      <c r="O58" t="s">
        <v>6</v>
      </c>
      <c r="P58">
        <v>11331</v>
      </c>
      <c r="Q58">
        <v>26000</v>
      </c>
      <c r="R58" t="s">
        <v>39</v>
      </c>
      <c r="S58" t="s">
        <v>156</v>
      </c>
    </row>
    <row r="59" spans="1:19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v>2.116967741935484</v>
      </c>
      <c r="N59" t="s">
        <v>162</v>
      </c>
      <c r="O59" t="s">
        <v>7</v>
      </c>
      <c r="P59">
        <v>32813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v>1.7149032258064516</v>
      </c>
      <c r="N60" t="s">
        <v>162</v>
      </c>
      <c r="O60" t="s">
        <v>7</v>
      </c>
      <c r="P60">
        <v>26581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v>1.0683870967741935</v>
      </c>
      <c r="N61" t="s">
        <v>162</v>
      </c>
      <c r="O61" t="s">
        <v>7</v>
      </c>
      <c r="P61">
        <v>16560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v>0.80909677419354842</v>
      </c>
      <c r="N62" t="s">
        <v>163</v>
      </c>
      <c r="O62" t="s">
        <v>7</v>
      </c>
      <c r="P62">
        <v>12541</v>
      </c>
      <c r="Q62">
        <v>15500</v>
      </c>
      <c r="R62" t="s">
        <v>103</v>
      </c>
      <c r="S62" t="s">
        <v>152</v>
      </c>
    </row>
    <row r="63" spans="1:19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v>0.68387096774193545</v>
      </c>
      <c r="N63" t="s">
        <v>164</v>
      </c>
      <c r="O63" t="s">
        <v>7</v>
      </c>
      <c r="P63">
        <v>10600</v>
      </c>
      <c r="Q63">
        <v>15500</v>
      </c>
      <c r="R63" t="s">
        <v>104</v>
      </c>
      <c r="S63" t="s">
        <v>152</v>
      </c>
    </row>
    <row r="64" spans="1:19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v>0.64451612903225808</v>
      </c>
      <c r="N64" t="s">
        <v>164</v>
      </c>
      <c r="O64" t="s">
        <v>7</v>
      </c>
      <c r="P64">
        <v>9990</v>
      </c>
      <c r="Q64">
        <v>15500</v>
      </c>
      <c r="R64" t="s">
        <v>19</v>
      </c>
      <c r="S64" t="s">
        <v>152</v>
      </c>
    </row>
    <row r="65" spans="1:19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494</v>
      </c>
      <c r="I65" s="59">
        <v>45804</v>
      </c>
      <c r="J65" t="s">
        <v>536</v>
      </c>
      <c r="L65" s="59"/>
      <c r="M65" s="1">
        <v>0.57096774193548383</v>
      </c>
      <c r="N65" t="s">
        <v>164</v>
      </c>
      <c r="O65" t="s">
        <v>7</v>
      </c>
      <c r="P65">
        <v>8850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v>0.30193548387096775</v>
      </c>
      <c r="N66" t="s">
        <v>165</v>
      </c>
      <c r="O66" t="s">
        <v>7</v>
      </c>
      <c r="P66">
        <v>4680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v>0.28064516129032258</v>
      </c>
      <c r="N67" t="s">
        <v>165</v>
      </c>
      <c r="O67" t="s">
        <v>7</v>
      </c>
      <c r="P67">
        <v>4350</v>
      </c>
      <c r="Q67">
        <v>15500</v>
      </c>
      <c r="R67" t="s">
        <v>107</v>
      </c>
      <c r="S67" t="s">
        <v>152</v>
      </c>
    </row>
    <row r="68" spans="1:19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v>0.23148387096774192</v>
      </c>
      <c r="N68" t="s">
        <v>165</v>
      </c>
      <c r="O68" t="s">
        <v>7</v>
      </c>
      <c r="P68">
        <v>3588</v>
      </c>
      <c r="Q68">
        <v>15500</v>
      </c>
      <c r="R68" t="s">
        <v>74</v>
      </c>
      <c r="S68" t="s">
        <v>152</v>
      </c>
    </row>
    <row r="69" spans="1:19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v>0.23</v>
      </c>
      <c r="N69" t="s">
        <v>165</v>
      </c>
      <c r="O69" t="s">
        <v>7</v>
      </c>
      <c r="P69">
        <v>3565</v>
      </c>
      <c r="Q69">
        <v>15500</v>
      </c>
      <c r="R69" t="s">
        <v>20</v>
      </c>
      <c r="S69" t="s">
        <v>152</v>
      </c>
    </row>
    <row r="70" spans="1:19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v>0.81051612903225811</v>
      </c>
      <c r="N70" t="s">
        <v>163</v>
      </c>
      <c r="O70" t="s">
        <v>8</v>
      </c>
      <c r="P70">
        <v>12563</v>
      </c>
      <c r="Q70">
        <v>15500</v>
      </c>
      <c r="R70" t="s">
        <v>81</v>
      </c>
      <c r="S70" t="s">
        <v>153</v>
      </c>
    </row>
    <row r="71" spans="1:19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v>0.79687096774193544</v>
      </c>
      <c r="N71" t="s">
        <v>163</v>
      </c>
      <c r="O71" t="s">
        <v>8</v>
      </c>
      <c r="P71">
        <v>12351.5</v>
      </c>
      <c r="Q71">
        <v>15500</v>
      </c>
      <c r="R71" t="s">
        <v>44</v>
      </c>
      <c r="S71" t="s">
        <v>153</v>
      </c>
    </row>
    <row r="72" spans="1:19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v>0.79670967741935483</v>
      </c>
      <c r="N72" t="s">
        <v>163</v>
      </c>
      <c r="O72" t="s">
        <v>8</v>
      </c>
      <c r="P72">
        <v>12349</v>
      </c>
      <c r="Q72">
        <v>15500</v>
      </c>
      <c r="R72" t="s">
        <v>41</v>
      </c>
      <c r="S72" t="s">
        <v>153</v>
      </c>
    </row>
    <row r="73" spans="1:19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v>0.7699677419354839</v>
      </c>
      <c r="N73" t="s">
        <v>163</v>
      </c>
      <c r="O73" t="s">
        <v>8</v>
      </c>
      <c r="P73">
        <v>11934.5</v>
      </c>
      <c r="Q73">
        <v>15500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v>0.5776129032258065</v>
      </c>
      <c r="N74" t="s">
        <v>164</v>
      </c>
      <c r="O74" t="s">
        <v>8</v>
      </c>
      <c r="P74">
        <v>8953</v>
      </c>
      <c r="Q74">
        <v>15500</v>
      </c>
      <c r="R74" t="s">
        <v>83</v>
      </c>
      <c r="S74" t="s">
        <v>153</v>
      </c>
    </row>
    <row r="75" spans="1:19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447</v>
      </c>
      <c r="I75" s="59">
        <v>45145</v>
      </c>
      <c r="J75" t="s">
        <v>536</v>
      </c>
      <c r="L75" s="59"/>
      <c r="M75" s="1">
        <v>0.57270967741935486</v>
      </c>
      <c r="N75" t="s">
        <v>164</v>
      </c>
      <c r="O75" t="s">
        <v>8</v>
      </c>
      <c r="P75">
        <v>8877</v>
      </c>
      <c r="Q75">
        <v>15500</v>
      </c>
      <c r="R75" t="s">
        <v>42</v>
      </c>
      <c r="S75" t="s">
        <v>153</v>
      </c>
    </row>
    <row r="76" spans="1:19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v>0.54141935483870973</v>
      </c>
      <c r="N76" t="s">
        <v>164</v>
      </c>
      <c r="O76" t="s">
        <v>8</v>
      </c>
      <c r="P76">
        <v>8392</v>
      </c>
      <c r="Q76">
        <v>15500</v>
      </c>
      <c r="R76" t="s">
        <v>84</v>
      </c>
      <c r="S76" t="s">
        <v>153</v>
      </c>
    </row>
    <row r="77" spans="1:19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463</v>
      </c>
      <c r="I77" s="59">
        <v>42814</v>
      </c>
      <c r="J77" t="s">
        <v>536</v>
      </c>
      <c r="L77" s="59"/>
      <c r="M77" s="1">
        <v>0.35909677419354841</v>
      </c>
      <c r="N77" t="s">
        <v>165</v>
      </c>
      <c r="O77" t="s">
        <v>8</v>
      </c>
      <c r="P77">
        <v>5566</v>
      </c>
      <c r="Q77">
        <v>15500</v>
      </c>
      <c r="R77" t="s">
        <v>43</v>
      </c>
      <c r="S77" t="s">
        <v>153</v>
      </c>
    </row>
    <row r="78" spans="1:19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v>0.25387096774193546</v>
      </c>
      <c r="N78" t="s">
        <v>165</v>
      </c>
      <c r="O78" t="s">
        <v>8</v>
      </c>
      <c r="P78">
        <v>3935</v>
      </c>
      <c r="Q78">
        <v>15500</v>
      </c>
      <c r="R78" t="s">
        <v>46</v>
      </c>
      <c r="S78" t="s">
        <v>153</v>
      </c>
    </row>
    <row r="79" spans="1:19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484</v>
      </c>
      <c r="I79" s="59">
        <v>45727</v>
      </c>
      <c r="J79" t="s">
        <v>536</v>
      </c>
      <c r="L79" s="59"/>
      <c r="M79" s="1">
        <v>0.15387096774193548</v>
      </c>
      <c r="N79" t="s">
        <v>165</v>
      </c>
      <c r="O79" t="s">
        <v>8</v>
      </c>
      <c r="P79">
        <v>2385</v>
      </c>
      <c r="Q79">
        <v>15500</v>
      </c>
      <c r="R79" t="s">
        <v>45</v>
      </c>
      <c r="S79" t="s">
        <v>153</v>
      </c>
    </row>
    <row r="80" spans="1:19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491</v>
      </c>
      <c r="I80" s="59">
        <v>45772</v>
      </c>
      <c r="J80" t="s">
        <v>536</v>
      </c>
      <c r="L80" s="59"/>
      <c r="M80" s="1">
        <v>0</v>
      </c>
      <c r="N80" t="s">
        <v>165</v>
      </c>
      <c r="O80" t="s">
        <v>8</v>
      </c>
      <c r="P80">
        <v>0</v>
      </c>
      <c r="Q80">
        <v>15500</v>
      </c>
      <c r="R80" t="s">
        <v>47</v>
      </c>
      <c r="S80" t="s">
        <v>153</v>
      </c>
    </row>
    <row r="81" spans="1:19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440</v>
      </c>
      <c r="I81" s="59">
        <v>45674</v>
      </c>
      <c r="J81" t="s">
        <v>536</v>
      </c>
      <c r="L81" s="59"/>
      <c r="M81" s="1">
        <v>1.3217419354838709</v>
      </c>
      <c r="N81" t="s">
        <v>162</v>
      </c>
      <c r="O81" t="s">
        <v>9</v>
      </c>
      <c r="P81">
        <v>20487</v>
      </c>
      <c r="Q81">
        <v>15500</v>
      </c>
      <c r="R81" t="s">
        <v>73</v>
      </c>
      <c r="S81" t="s">
        <v>153</v>
      </c>
    </row>
    <row r="82" spans="1:19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501</v>
      </c>
      <c r="I82" s="59">
        <v>45819</v>
      </c>
      <c r="J82" t="s">
        <v>536</v>
      </c>
      <c r="L82" s="59"/>
      <c r="M82" s="1">
        <v>1.0068387096774194</v>
      </c>
      <c r="N82" t="s">
        <v>162</v>
      </c>
      <c r="O82" t="s">
        <v>9</v>
      </c>
      <c r="P82">
        <v>15606</v>
      </c>
      <c r="Q82">
        <v>15500</v>
      </c>
      <c r="R82" t="s">
        <v>77</v>
      </c>
      <c r="S82" t="s">
        <v>153</v>
      </c>
    </row>
    <row r="83" spans="1:19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502</v>
      </c>
      <c r="I83" s="59">
        <v>45818</v>
      </c>
      <c r="J83" t="s">
        <v>536</v>
      </c>
      <c r="L83" s="59"/>
      <c r="M83" s="1">
        <v>0.77290322580645165</v>
      </c>
      <c r="N83" t="s">
        <v>163</v>
      </c>
      <c r="O83" t="s">
        <v>9</v>
      </c>
      <c r="P83">
        <v>11980</v>
      </c>
      <c r="Q83">
        <v>15500</v>
      </c>
      <c r="R83" t="s">
        <v>49</v>
      </c>
      <c r="S83" t="s">
        <v>153</v>
      </c>
    </row>
    <row r="84" spans="1:19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v>0.76419354838709674</v>
      </c>
      <c r="N84" t="s">
        <v>163</v>
      </c>
      <c r="O84" t="s">
        <v>9</v>
      </c>
      <c r="P84">
        <v>11845</v>
      </c>
      <c r="Q84">
        <v>15500</v>
      </c>
      <c r="R84" t="s">
        <v>50</v>
      </c>
      <c r="S84" t="s">
        <v>153</v>
      </c>
    </row>
    <row r="85" spans="1:19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v>0.73193548387096774</v>
      </c>
      <c r="N85" t="s">
        <v>163</v>
      </c>
      <c r="O85" t="s">
        <v>9</v>
      </c>
      <c r="P85">
        <v>11345</v>
      </c>
      <c r="Q85">
        <v>15500</v>
      </c>
      <c r="R85" t="s">
        <v>53</v>
      </c>
      <c r="S85" t="s">
        <v>153</v>
      </c>
    </row>
    <row r="86" spans="1:19" x14ac:dyDescent="0.25">
      <c r="M86" s="1">
        <v>0.5263870967741936</v>
      </c>
      <c r="N86" t="s">
        <v>164</v>
      </c>
      <c r="O86" t="s">
        <v>9</v>
      </c>
      <c r="P86">
        <v>8159</v>
      </c>
      <c r="Q86">
        <v>15500</v>
      </c>
      <c r="R86" t="s">
        <v>56</v>
      </c>
      <c r="S86" t="s">
        <v>153</v>
      </c>
    </row>
    <row r="87" spans="1:19" x14ac:dyDescent="0.25">
      <c r="M87" s="1">
        <v>0.50425806451612898</v>
      </c>
      <c r="N87" t="s">
        <v>164</v>
      </c>
      <c r="O87" t="s">
        <v>9</v>
      </c>
      <c r="P87">
        <v>7816</v>
      </c>
      <c r="Q87">
        <v>15500</v>
      </c>
      <c r="R87" t="s">
        <v>51</v>
      </c>
      <c r="S87" t="s">
        <v>153</v>
      </c>
    </row>
    <row r="88" spans="1:19" x14ac:dyDescent="0.25">
      <c r="M88" s="1">
        <v>0.4838064516129032</v>
      </c>
      <c r="N88" t="s">
        <v>164</v>
      </c>
      <c r="O88" t="s">
        <v>9</v>
      </c>
      <c r="P88">
        <v>7499</v>
      </c>
      <c r="Q88">
        <v>15500</v>
      </c>
      <c r="R88" t="s">
        <v>54</v>
      </c>
      <c r="S88" t="s">
        <v>153</v>
      </c>
    </row>
    <row r="89" spans="1:19" x14ac:dyDescent="0.25">
      <c r="M89" s="1">
        <v>0.34296774193548385</v>
      </c>
      <c r="N89" t="s">
        <v>165</v>
      </c>
      <c r="O89" t="s">
        <v>9</v>
      </c>
      <c r="P89">
        <v>5316</v>
      </c>
      <c r="Q89">
        <v>15500</v>
      </c>
      <c r="R89" t="s">
        <v>55</v>
      </c>
      <c r="S89" t="s">
        <v>153</v>
      </c>
    </row>
    <row r="90" spans="1:19" x14ac:dyDescent="0.25">
      <c r="M90" s="1">
        <v>0.21612903225806451</v>
      </c>
      <c r="N90" t="s">
        <v>165</v>
      </c>
      <c r="O90" t="s">
        <v>9</v>
      </c>
      <c r="P90">
        <v>3350</v>
      </c>
      <c r="Q90">
        <v>15500</v>
      </c>
      <c r="R90" t="s">
        <v>82</v>
      </c>
      <c r="S90" t="s">
        <v>153</v>
      </c>
    </row>
    <row r="91" spans="1:19" x14ac:dyDescent="0.25">
      <c r="M91" s="1">
        <v>0</v>
      </c>
      <c r="N91" t="s">
        <v>165</v>
      </c>
      <c r="O91" t="s">
        <v>9</v>
      </c>
      <c r="P91">
        <v>0</v>
      </c>
      <c r="Q91">
        <v>15500</v>
      </c>
      <c r="R91" t="s">
        <v>52</v>
      </c>
      <c r="S91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S90"/>
  <sheetViews>
    <sheetView zoomScale="70" zoomScaleNormal="70" workbookViewId="0">
      <selection activeCell="A3" sqref="A3:J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9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7" t="s">
        <v>422</v>
      </c>
      <c r="I3" s="78">
        <v>44470</v>
      </c>
      <c r="J3" s="78" t="s">
        <v>535</v>
      </c>
      <c r="L3" s="59"/>
      <c r="M3" s="34">
        <v>2025</v>
      </c>
      <c r="N3" s="34" t="s">
        <v>146</v>
      </c>
      <c r="O3" s="34">
        <v>20</v>
      </c>
    </row>
    <row r="4" spans="1:45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7" t="s">
        <v>455</v>
      </c>
      <c r="I4" s="78">
        <v>44714</v>
      </c>
      <c r="J4" s="78" t="s">
        <v>535</v>
      </c>
      <c r="L4" s="59"/>
    </row>
    <row r="5" spans="1:45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7" t="s">
        <v>435</v>
      </c>
      <c r="I5" s="78">
        <v>44817</v>
      </c>
      <c r="J5" s="78" t="s">
        <v>535</v>
      </c>
      <c r="L5" s="59"/>
    </row>
    <row r="6" spans="1:45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7" t="s">
        <v>420</v>
      </c>
      <c r="I6" s="78">
        <v>44838</v>
      </c>
      <c r="J6" s="78" t="s">
        <v>535</v>
      </c>
      <c r="L6" s="59"/>
    </row>
    <row r="7" spans="1:45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7" t="s">
        <v>424</v>
      </c>
      <c r="I7" s="78">
        <v>44943</v>
      </c>
      <c r="J7" s="78" t="s">
        <v>535</v>
      </c>
      <c r="L7" s="59"/>
    </row>
    <row r="8" spans="1:45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7" t="s">
        <v>480</v>
      </c>
      <c r="I8" s="78">
        <v>45145</v>
      </c>
      <c r="J8" s="7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564</v>
      </c>
      <c r="AA8" s="41" t="s">
        <v>539</v>
      </c>
      <c r="AB8" s="41" t="s">
        <v>541</v>
      </c>
      <c r="AC8" s="41" t="s">
        <v>542</v>
      </c>
      <c r="AD8" s="41" t="s">
        <v>565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566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567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19" t="s">
        <v>134</v>
      </c>
    </row>
    <row r="9" spans="1:45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7" t="s">
        <v>460</v>
      </c>
      <c r="I9" s="78">
        <v>45281</v>
      </c>
      <c r="J9" s="78" t="s">
        <v>535</v>
      </c>
      <c r="L9" s="59"/>
      <c r="M9" s="1">
        <v>1.1826666666666668</v>
      </c>
      <c r="N9" t="s">
        <v>162</v>
      </c>
      <c r="O9" t="s">
        <v>125</v>
      </c>
      <c r="P9">
        <v>85152</v>
      </c>
      <c r="Q9">
        <v>72000</v>
      </c>
      <c r="R9" t="s">
        <v>23</v>
      </c>
      <c r="S9" t="s">
        <v>155</v>
      </c>
      <c r="U9">
        <v>683530</v>
      </c>
      <c r="V9" s="12">
        <v>532733</v>
      </c>
      <c r="W9" s="18">
        <v>0.77938495750003656</v>
      </c>
      <c r="X9" t="s">
        <v>125</v>
      </c>
      <c r="Y9">
        <v>30626</v>
      </c>
      <c r="Z9">
        <v>37176</v>
      </c>
      <c r="AA9">
        <v>69038</v>
      </c>
      <c r="AB9">
        <v>94986</v>
      </c>
      <c r="AC9">
        <v>146500</v>
      </c>
      <c r="AD9">
        <v>171445</v>
      </c>
      <c r="AE9">
        <v>186675</v>
      </c>
      <c r="AF9">
        <v>211175</v>
      </c>
      <c r="AG9">
        <v>218806</v>
      </c>
      <c r="AH9">
        <v>277821</v>
      </c>
      <c r="AI9">
        <v>283339</v>
      </c>
      <c r="AJ9">
        <v>296139</v>
      </c>
      <c r="AK9">
        <v>309539</v>
      </c>
      <c r="AL9">
        <v>326703</v>
      </c>
      <c r="AM9">
        <v>352936</v>
      </c>
      <c r="AN9">
        <v>378381</v>
      </c>
      <c r="AO9">
        <v>384866</v>
      </c>
      <c r="AP9">
        <v>399466</v>
      </c>
      <c r="AQ9">
        <v>413233</v>
      </c>
      <c r="AR9">
        <v>532733</v>
      </c>
      <c r="AS9" s="12" t="s">
        <v>155</v>
      </c>
    </row>
    <row r="10" spans="1:45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7" t="s">
        <v>452</v>
      </c>
      <c r="I10" s="78">
        <v>45511</v>
      </c>
      <c r="J10" s="78" t="s">
        <v>535</v>
      </c>
      <c r="L10" s="59"/>
      <c r="M10" s="1">
        <v>1.1328472222222221</v>
      </c>
      <c r="N10" t="s">
        <v>162</v>
      </c>
      <c r="O10" t="s">
        <v>125</v>
      </c>
      <c r="P10">
        <v>81565</v>
      </c>
      <c r="Q10">
        <v>72000</v>
      </c>
      <c r="R10" t="s">
        <v>24</v>
      </c>
      <c r="S10" t="s">
        <v>155</v>
      </c>
      <c r="U10">
        <v>683530</v>
      </c>
      <c r="V10" s="12">
        <v>552576</v>
      </c>
      <c r="W10" s="18">
        <v>0.80841513905753959</v>
      </c>
      <c r="X10" t="s">
        <v>4</v>
      </c>
      <c r="Y10">
        <v>9130</v>
      </c>
      <c r="Z10">
        <v>66330</v>
      </c>
      <c r="AA10">
        <v>123930</v>
      </c>
      <c r="AB10">
        <v>148880</v>
      </c>
      <c r="AC10">
        <v>174910</v>
      </c>
      <c r="AD10">
        <v>194716</v>
      </c>
      <c r="AE10">
        <v>204366</v>
      </c>
      <c r="AF10">
        <v>238071</v>
      </c>
      <c r="AG10">
        <v>245739</v>
      </c>
      <c r="AH10">
        <v>279996</v>
      </c>
      <c r="AI10">
        <v>293752</v>
      </c>
      <c r="AJ10">
        <v>315312</v>
      </c>
      <c r="AK10">
        <v>337242</v>
      </c>
      <c r="AL10">
        <v>387935</v>
      </c>
      <c r="AM10">
        <v>400335</v>
      </c>
      <c r="AN10">
        <v>432797</v>
      </c>
      <c r="AO10">
        <v>456997</v>
      </c>
      <c r="AP10">
        <v>481802</v>
      </c>
      <c r="AQ10">
        <v>514382</v>
      </c>
      <c r="AR10">
        <v>552576</v>
      </c>
      <c r="AS10" s="12" t="s">
        <v>155</v>
      </c>
    </row>
    <row r="11" spans="1:45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v>1.1826666666666668</v>
      </c>
      <c r="E11" t="s">
        <v>125</v>
      </c>
      <c r="F11" t="s">
        <v>23</v>
      </c>
      <c r="G11">
        <v>85152</v>
      </c>
      <c r="H11" t="s">
        <v>472</v>
      </c>
      <c r="I11" s="59">
        <v>44111</v>
      </c>
      <c r="J11" t="s">
        <v>536</v>
      </c>
      <c r="L11" s="59"/>
      <c r="M11" s="1">
        <v>0.88745833333333335</v>
      </c>
      <c r="N11" t="s">
        <v>163</v>
      </c>
      <c r="O11" t="s">
        <v>125</v>
      </c>
      <c r="P11">
        <v>63897</v>
      </c>
      <c r="Q11">
        <v>72000</v>
      </c>
      <c r="R11" t="s">
        <v>22</v>
      </c>
      <c r="S11" t="s">
        <v>155</v>
      </c>
      <c r="U11">
        <v>458800</v>
      </c>
      <c r="V11" s="12">
        <v>208077.07</v>
      </c>
      <c r="W11" s="18">
        <v>0.45352456408020925</v>
      </c>
      <c r="X11" t="s">
        <v>5</v>
      </c>
      <c r="Y11">
        <v>10745</v>
      </c>
      <c r="Z11">
        <v>17344.57</v>
      </c>
      <c r="AA11">
        <v>19364.57</v>
      </c>
      <c r="AB11">
        <v>28619.57</v>
      </c>
      <c r="AC11">
        <v>42272.07</v>
      </c>
      <c r="AD11">
        <v>47272.07</v>
      </c>
      <c r="AE11">
        <v>51272.07</v>
      </c>
      <c r="AF11">
        <v>52836.07</v>
      </c>
      <c r="AG11">
        <v>63416.07</v>
      </c>
      <c r="AH11">
        <v>73018.070000000007</v>
      </c>
      <c r="AI11">
        <v>85913.07</v>
      </c>
      <c r="AJ11">
        <v>99303.07</v>
      </c>
      <c r="AK11">
        <v>106684.07</v>
      </c>
      <c r="AL11">
        <v>112284.07</v>
      </c>
      <c r="AM11">
        <v>130729.07</v>
      </c>
      <c r="AN11">
        <v>142009.07</v>
      </c>
      <c r="AO11">
        <v>152380.07</v>
      </c>
      <c r="AP11">
        <v>164430.07</v>
      </c>
      <c r="AQ11">
        <v>177103.07</v>
      </c>
      <c r="AR11">
        <v>208077.07</v>
      </c>
      <c r="AS11" s="12" t="s">
        <v>150</v>
      </c>
    </row>
    <row r="12" spans="1:45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v>1.1328472222222221</v>
      </c>
      <c r="E12" t="s">
        <v>125</v>
      </c>
      <c r="F12" t="s">
        <v>24</v>
      </c>
      <c r="G12">
        <v>81565</v>
      </c>
      <c r="H12" t="s">
        <v>461</v>
      </c>
      <c r="I12" s="59">
        <v>45334</v>
      </c>
      <c r="J12" t="s">
        <v>536</v>
      </c>
      <c r="L12" s="59"/>
      <c r="M12" s="1">
        <v>0.8042083333333333</v>
      </c>
      <c r="N12" t="s">
        <v>163</v>
      </c>
      <c r="O12" t="s">
        <v>125</v>
      </c>
      <c r="P12">
        <v>57903</v>
      </c>
      <c r="Q12">
        <v>72000</v>
      </c>
      <c r="R12" t="s">
        <v>26</v>
      </c>
      <c r="S12" t="s">
        <v>155</v>
      </c>
      <c r="U12">
        <v>458800</v>
      </c>
      <c r="V12" s="12">
        <v>223735</v>
      </c>
      <c r="W12" s="18">
        <v>0.48765257192676548</v>
      </c>
      <c r="X12" t="s">
        <v>2</v>
      </c>
      <c r="Y12">
        <v>6380</v>
      </c>
      <c r="Z12">
        <v>13849</v>
      </c>
      <c r="AA12">
        <v>25722</v>
      </c>
      <c r="AB12">
        <v>30647</v>
      </c>
      <c r="AC12">
        <v>35987</v>
      </c>
      <c r="AD12">
        <v>38512</v>
      </c>
      <c r="AE12">
        <v>45732</v>
      </c>
      <c r="AF12">
        <v>51432</v>
      </c>
      <c r="AG12">
        <v>54632</v>
      </c>
      <c r="AH12">
        <v>69455</v>
      </c>
      <c r="AI12">
        <v>71255</v>
      </c>
      <c r="AJ12">
        <v>71355</v>
      </c>
      <c r="AK12">
        <v>98980</v>
      </c>
      <c r="AL12">
        <v>110882</v>
      </c>
      <c r="AM12">
        <v>126335</v>
      </c>
      <c r="AN12">
        <v>147585</v>
      </c>
      <c r="AO12">
        <v>152385</v>
      </c>
      <c r="AP12">
        <v>170479</v>
      </c>
      <c r="AQ12">
        <v>175198</v>
      </c>
      <c r="AR12">
        <v>223735</v>
      </c>
      <c r="AS12" s="12" t="s">
        <v>150</v>
      </c>
    </row>
    <row r="13" spans="1:45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v>0.88745833333333335</v>
      </c>
      <c r="E13" t="s">
        <v>125</v>
      </c>
      <c r="F13" t="s">
        <v>22</v>
      </c>
      <c r="G13">
        <v>63897</v>
      </c>
      <c r="H13" t="s">
        <v>469</v>
      </c>
      <c r="I13" s="59">
        <v>45299</v>
      </c>
      <c r="J13" t="s">
        <v>536</v>
      </c>
      <c r="L13" s="59"/>
      <c r="M13" s="1">
        <v>0.80401388888888892</v>
      </c>
      <c r="N13" t="s">
        <v>163</v>
      </c>
      <c r="O13" t="s">
        <v>125</v>
      </c>
      <c r="P13">
        <v>57889</v>
      </c>
      <c r="Q13">
        <v>72000</v>
      </c>
      <c r="R13" t="s">
        <v>25</v>
      </c>
      <c r="S13" t="s">
        <v>155</v>
      </c>
      <c r="U13">
        <v>260350</v>
      </c>
      <c r="V13" s="12">
        <v>308448.84000000003</v>
      </c>
      <c r="W13" s="18">
        <v>1.1847468407912427</v>
      </c>
      <c r="X13" t="s">
        <v>6</v>
      </c>
      <c r="Y13">
        <v>7986</v>
      </c>
      <c r="Z13">
        <v>23576</v>
      </c>
      <c r="AA13">
        <v>27466</v>
      </c>
      <c r="AB13">
        <v>30184</v>
      </c>
      <c r="AC13">
        <v>33524</v>
      </c>
      <c r="AD13">
        <v>62559</v>
      </c>
      <c r="AE13">
        <v>66079</v>
      </c>
      <c r="AF13">
        <v>79301</v>
      </c>
      <c r="AG13">
        <v>85946</v>
      </c>
      <c r="AH13">
        <v>90298.3</v>
      </c>
      <c r="AI13">
        <v>119125.3</v>
      </c>
      <c r="AJ13">
        <v>126706.3</v>
      </c>
      <c r="AK13">
        <v>141576.29999999999</v>
      </c>
      <c r="AL13">
        <v>156233.29999999999</v>
      </c>
      <c r="AM13">
        <v>165523.29999999999</v>
      </c>
      <c r="AN13">
        <v>194058.84</v>
      </c>
      <c r="AO13">
        <v>202243.84</v>
      </c>
      <c r="AP13">
        <v>218645.84</v>
      </c>
      <c r="AQ13">
        <v>275358.84000000003</v>
      </c>
      <c r="AR13">
        <v>308448.84000000003</v>
      </c>
      <c r="AS13" s="12" t="s">
        <v>156</v>
      </c>
    </row>
    <row r="14" spans="1:45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v>0.8042083333333333</v>
      </c>
      <c r="E14" t="s">
        <v>125</v>
      </c>
      <c r="F14" t="s">
        <v>26</v>
      </c>
      <c r="G14">
        <v>57903</v>
      </c>
      <c r="H14" t="s">
        <v>418</v>
      </c>
      <c r="I14" s="59">
        <v>44259</v>
      </c>
      <c r="J14" t="s">
        <v>536</v>
      </c>
      <c r="L14" s="59"/>
      <c r="M14" s="1">
        <v>0.72977777777777775</v>
      </c>
      <c r="N14" t="s">
        <v>163</v>
      </c>
      <c r="O14" t="s">
        <v>125</v>
      </c>
      <c r="P14">
        <v>52544</v>
      </c>
      <c r="Q14">
        <v>72000</v>
      </c>
      <c r="R14" t="s">
        <v>29</v>
      </c>
      <c r="S14" t="s">
        <v>155</v>
      </c>
      <c r="U14">
        <v>154800</v>
      </c>
      <c r="V14" s="12">
        <v>75443</v>
      </c>
      <c r="W14" s="18">
        <v>0.48735788113695089</v>
      </c>
      <c r="X14" t="s">
        <v>7</v>
      </c>
      <c r="Y14">
        <v>500</v>
      </c>
      <c r="Z14">
        <v>800</v>
      </c>
      <c r="AA14">
        <v>4500</v>
      </c>
      <c r="AB14">
        <v>6100</v>
      </c>
      <c r="AC14">
        <v>9770</v>
      </c>
      <c r="AD14">
        <v>14170</v>
      </c>
      <c r="AE14">
        <v>17170</v>
      </c>
      <c r="AF14">
        <v>26180</v>
      </c>
      <c r="AG14">
        <v>27690</v>
      </c>
      <c r="AH14">
        <v>31620</v>
      </c>
      <c r="AI14">
        <v>34311</v>
      </c>
      <c r="AJ14">
        <v>34661</v>
      </c>
      <c r="AK14">
        <v>36561</v>
      </c>
      <c r="AL14">
        <v>39761</v>
      </c>
      <c r="AM14">
        <v>40001</v>
      </c>
      <c r="AN14">
        <v>40921</v>
      </c>
      <c r="AO14">
        <v>44321</v>
      </c>
      <c r="AP14">
        <v>44981</v>
      </c>
      <c r="AQ14">
        <v>56281</v>
      </c>
      <c r="AR14">
        <v>75443</v>
      </c>
      <c r="AS14" s="12" t="s">
        <v>152</v>
      </c>
    </row>
    <row r="15" spans="1:45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v>0.8040152777777777</v>
      </c>
      <c r="E15" t="s">
        <v>125</v>
      </c>
      <c r="F15" t="s">
        <v>25</v>
      </c>
      <c r="G15">
        <v>57889</v>
      </c>
      <c r="H15" t="s">
        <v>473</v>
      </c>
      <c r="I15" s="59">
        <v>44820</v>
      </c>
      <c r="J15" t="s">
        <v>536</v>
      </c>
      <c r="L15" s="59"/>
      <c r="M15" s="1">
        <v>0.71969444444444441</v>
      </c>
      <c r="N15" t="s">
        <v>163</v>
      </c>
      <c r="O15" t="s">
        <v>125</v>
      </c>
      <c r="P15">
        <v>51818</v>
      </c>
      <c r="Q15">
        <v>72000</v>
      </c>
      <c r="R15" t="s">
        <v>27</v>
      </c>
      <c r="S15" t="s">
        <v>155</v>
      </c>
      <c r="U15">
        <v>132595</v>
      </c>
      <c r="V15" s="12">
        <v>82855.570000000007</v>
      </c>
      <c r="W15" s="18">
        <v>0.62487703156227614</v>
      </c>
      <c r="X15" t="s">
        <v>9</v>
      </c>
      <c r="Y15">
        <v>3100</v>
      </c>
      <c r="Z15">
        <v>7162</v>
      </c>
      <c r="AA15">
        <v>14747</v>
      </c>
      <c r="AB15">
        <v>15827</v>
      </c>
      <c r="AC15">
        <v>25949</v>
      </c>
      <c r="AD15">
        <v>28742.1</v>
      </c>
      <c r="AE15">
        <v>34108.1</v>
      </c>
      <c r="AF15">
        <v>36548.1</v>
      </c>
      <c r="AG15">
        <v>37916.1</v>
      </c>
      <c r="AH15">
        <v>45570.1</v>
      </c>
      <c r="AI15">
        <v>48189.1</v>
      </c>
      <c r="AJ15">
        <v>50819.1</v>
      </c>
      <c r="AK15">
        <v>52699.1</v>
      </c>
      <c r="AL15">
        <v>55177.599999999999</v>
      </c>
      <c r="AM15">
        <v>58347.01</v>
      </c>
      <c r="AN15">
        <v>58747.01</v>
      </c>
      <c r="AO15">
        <v>59676</v>
      </c>
      <c r="AP15">
        <v>66006.009999999995</v>
      </c>
      <c r="AQ15">
        <v>72005.009999999995</v>
      </c>
      <c r="AR15">
        <v>82855.570000000007</v>
      </c>
      <c r="AS15" s="12" t="s">
        <v>153</v>
      </c>
    </row>
    <row r="16" spans="1:45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v>0.72978333333333334</v>
      </c>
      <c r="E16" t="s">
        <v>125</v>
      </c>
      <c r="F16" t="s">
        <v>29</v>
      </c>
      <c r="G16">
        <v>52544</v>
      </c>
      <c r="H16" t="s">
        <v>443</v>
      </c>
      <c r="I16" s="59">
        <v>44687</v>
      </c>
      <c r="J16" t="s">
        <v>536</v>
      </c>
      <c r="L16" s="59"/>
      <c r="M16" s="1">
        <v>0.43569444444444444</v>
      </c>
      <c r="N16" t="s">
        <v>164</v>
      </c>
      <c r="O16" t="s">
        <v>125</v>
      </c>
      <c r="P16">
        <v>31370</v>
      </c>
      <c r="Q16">
        <v>72000</v>
      </c>
      <c r="R16" t="s">
        <v>28</v>
      </c>
      <c r="S16" t="s">
        <v>155</v>
      </c>
      <c r="U16">
        <v>132595</v>
      </c>
      <c r="V16" s="12">
        <v>110932.26</v>
      </c>
      <c r="W16" s="18">
        <v>0.83662475960631999</v>
      </c>
      <c r="X16" t="s">
        <v>8</v>
      </c>
      <c r="Y16">
        <v>2401</v>
      </c>
      <c r="Z16">
        <v>5953</v>
      </c>
      <c r="AA16">
        <v>9047</v>
      </c>
      <c r="AB16">
        <v>13255</v>
      </c>
      <c r="AC16">
        <v>17752</v>
      </c>
      <c r="AD16">
        <v>21614</v>
      </c>
      <c r="AE16">
        <v>23735</v>
      </c>
      <c r="AF16">
        <v>28125</v>
      </c>
      <c r="AG16">
        <v>32875</v>
      </c>
      <c r="AH16">
        <v>42887</v>
      </c>
      <c r="AI16">
        <v>52009</v>
      </c>
      <c r="AJ16">
        <v>53634</v>
      </c>
      <c r="AK16">
        <v>59534</v>
      </c>
      <c r="AL16">
        <v>65079</v>
      </c>
      <c r="AM16">
        <v>74114</v>
      </c>
      <c r="AN16">
        <v>77832</v>
      </c>
      <c r="AO16">
        <v>85440</v>
      </c>
      <c r="AP16">
        <v>86690</v>
      </c>
      <c r="AQ16">
        <v>91450</v>
      </c>
      <c r="AR16">
        <v>110932.26</v>
      </c>
      <c r="AS16" s="12" t="s">
        <v>153</v>
      </c>
    </row>
    <row r="17" spans="1:19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v>0.71969444444444441</v>
      </c>
      <c r="E17" t="s">
        <v>125</v>
      </c>
      <c r="F17" t="s">
        <v>27</v>
      </c>
      <c r="G17">
        <v>51818</v>
      </c>
      <c r="H17" t="s">
        <v>439</v>
      </c>
      <c r="I17" s="59">
        <v>45675</v>
      </c>
      <c r="J17" t="s">
        <v>536</v>
      </c>
      <c r="L17" s="59"/>
      <c r="M17" s="1">
        <v>0.39784722222222224</v>
      </c>
      <c r="N17" t="s">
        <v>165</v>
      </c>
      <c r="O17" t="s">
        <v>125</v>
      </c>
      <c r="P17">
        <v>28645</v>
      </c>
      <c r="Q17">
        <v>72000</v>
      </c>
      <c r="R17" t="s">
        <v>30</v>
      </c>
      <c r="S17" t="s">
        <v>155</v>
      </c>
    </row>
    <row r="18" spans="1:19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v>0.43569444444444444</v>
      </c>
      <c r="E18" t="s">
        <v>125</v>
      </c>
      <c r="F18" t="s">
        <v>28</v>
      </c>
      <c r="G18">
        <v>31370</v>
      </c>
      <c r="H18" t="s">
        <v>505</v>
      </c>
      <c r="I18" s="59">
        <v>45845</v>
      </c>
      <c r="J18" t="s">
        <v>536</v>
      </c>
      <c r="L18" s="59"/>
      <c r="M18" s="1">
        <v>0.21458333333333332</v>
      </c>
      <c r="N18" t="s">
        <v>165</v>
      </c>
      <c r="O18" t="s">
        <v>125</v>
      </c>
      <c r="P18">
        <v>15450</v>
      </c>
      <c r="Q18">
        <v>72000</v>
      </c>
      <c r="R18" t="s">
        <v>102</v>
      </c>
      <c r="S18" t="s">
        <v>155</v>
      </c>
    </row>
    <row r="19" spans="1:19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v>0.39784722222222224</v>
      </c>
      <c r="E19" t="s">
        <v>125</v>
      </c>
      <c r="F19" t="s">
        <v>30</v>
      </c>
      <c r="G19">
        <v>28645</v>
      </c>
      <c r="H19" t="s">
        <v>475</v>
      </c>
      <c r="I19" s="59">
        <v>45399</v>
      </c>
      <c r="J19" t="s">
        <v>536</v>
      </c>
      <c r="L19" s="59"/>
      <c r="M19" s="1">
        <v>1.4371805555555555</v>
      </c>
      <c r="N19" t="s">
        <v>162</v>
      </c>
      <c r="O19" t="s">
        <v>4</v>
      </c>
      <c r="P19">
        <v>103477</v>
      </c>
      <c r="Q19">
        <v>72000</v>
      </c>
      <c r="R19" t="s">
        <v>59</v>
      </c>
      <c r="S19" t="s">
        <v>155</v>
      </c>
    </row>
    <row r="20" spans="1:19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v>0.21458333333333332</v>
      </c>
      <c r="E20" t="s">
        <v>125</v>
      </c>
      <c r="F20" t="s">
        <v>102</v>
      </c>
      <c r="G20">
        <v>15450</v>
      </c>
      <c r="H20" t="s">
        <v>508</v>
      </c>
      <c r="I20" s="59">
        <v>45875</v>
      </c>
      <c r="J20" t="s">
        <v>536</v>
      </c>
      <c r="L20" s="59"/>
      <c r="M20" s="1">
        <v>1.2103055555555555</v>
      </c>
      <c r="N20" t="s">
        <v>162</v>
      </c>
      <c r="O20" t="s">
        <v>4</v>
      </c>
      <c r="P20">
        <v>87142</v>
      </c>
      <c r="Q20">
        <v>72000</v>
      </c>
      <c r="R20" t="s">
        <v>57</v>
      </c>
      <c r="S20" t="s">
        <v>155</v>
      </c>
    </row>
    <row r="21" spans="1:19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v>1.4371805555555555</v>
      </c>
      <c r="E21" t="s">
        <v>4</v>
      </c>
      <c r="F21" t="s">
        <v>59</v>
      </c>
      <c r="G21">
        <v>103477</v>
      </c>
      <c r="H21" t="s">
        <v>457</v>
      </c>
      <c r="I21" s="59">
        <v>45348</v>
      </c>
      <c r="J21" t="s">
        <v>536</v>
      </c>
      <c r="L21" s="59"/>
      <c r="M21" s="1">
        <v>1.0319180555555556</v>
      </c>
      <c r="N21" t="s">
        <v>162</v>
      </c>
      <c r="O21" t="s">
        <v>4</v>
      </c>
      <c r="P21">
        <v>74298.100000000006</v>
      </c>
      <c r="Q21">
        <v>72000</v>
      </c>
      <c r="R21" t="s">
        <v>60</v>
      </c>
      <c r="S21" t="s">
        <v>155</v>
      </c>
    </row>
    <row r="22" spans="1:19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v>1.2103055555555555</v>
      </c>
      <c r="E22" t="s">
        <v>4</v>
      </c>
      <c r="F22" t="s">
        <v>57</v>
      </c>
      <c r="G22">
        <v>87142</v>
      </c>
      <c r="H22" t="s">
        <v>470</v>
      </c>
      <c r="I22" s="59">
        <v>45590</v>
      </c>
      <c r="J22" t="s">
        <v>536</v>
      </c>
      <c r="L22" s="59"/>
      <c r="M22" s="1">
        <v>0.85863888888888884</v>
      </c>
      <c r="N22" t="s">
        <v>163</v>
      </c>
      <c r="O22" t="s">
        <v>4</v>
      </c>
      <c r="P22">
        <v>61822</v>
      </c>
      <c r="Q22">
        <v>72000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v>1.0319180555555556</v>
      </c>
      <c r="E23" t="s">
        <v>4</v>
      </c>
      <c r="F23" t="s">
        <v>60</v>
      </c>
      <c r="G23">
        <v>74298.100000000006</v>
      </c>
      <c r="H23" t="s">
        <v>450</v>
      </c>
      <c r="I23" s="59">
        <v>45323</v>
      </c>
      <c r="J23" t="s">
        <v>536</v>
      </c>
      <c r="L23" s="59"/>
      <c r="M23" s="1">
        <v>0.81085416666666665</v>
      </c>
      <c r="N23" t="s">
        <v>163</v>
      </c>
      <c r="O23" t="s">
        <v>4</v>
      </c>
      <c r="P23">
        <v>58381.5</v>
      </c>
      <c r="Q23">
        <v>72000</v>
      </c>
      <c r="R23" t="s">
        <v>58</v>
      </c>
      <c r="S23" t="s">
        <v>155</v>
      </c>
    </row>
    <row r="24" spans="1:19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v>0.85863888888888884</v>
      </c>
      <c r="E24" t="s">
        <v>4</v>
      </c>
      <c r="F24" t="s">
        <v>62</v>
      </c>
      <c r="G24">
        <v>61822</v>
      </c>
      <c r="H24" t="s">
        <v>413</v>
      </c>
      <c r="I24" s="59">
        <v>45334</v>
      </c>
      <c r="J24" t="s">
        <v>536</v>
      </c>
      <c r="L24" s="59"/>
      <c r="M24" s="1">
        <v>0.74124999999999996</v>
      </c>
      <c r="N24" t="s">
        <v>163</v>
      </c>
      <c r="O24" t="s">
        <v>4</v>
      </c>
      <c r="P24">
        <v>53370</v>
      </c>
      <c r="Q24">
        <v>72000</v>
      </c>
      <c r="R24" t="s">
        <v>61</v>
      </c>
      <c r="S24" t="s">
        <v>155</v>
      </c>
    </row>
    <row r="25" spans="1:19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v>0.81085416666666665</v>
      </c>
      <c r="E25" t="s">
        <v>4</v>
      </c>
      <c r="F25" t="s">
        <v>58</v>
      </c>
      <c r="G25">
        <v>58381.5</v>
      </c>
      <c r="H25" t="s">
        <v>468</v>
      </c>
      <c r="I25" s="59">
        <v>43035</v>
      </c>
      <c r="J25" t="s">
        <v>536</v>
      </c>
      <c r="L25" s="59"/>
      <c r="M25" s="1">
        <v>0.52819444444444441</v>
      </c>
      <c r="N25" t="s">
        <v>164</v>
      </c>
      <c r="O25" t="s">
        <v>4</v>
      </c>
      <c r="P25">
        <v>38030</v>
      </c>
      <c r="Q25">
        <v>72000</v>
      </c>
      <c r="R25" t="s">
        <v>64</v>
      </c>
      <c r="S25" t="s">
        <v>155</v>
      </c>
    </row>
    <row r="26" spans="1:19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v>0.74124999999999996</v>
      </c>
      <c r="E26" t="s">
        <v>4</v>
      </c>
      <c r="F26" t="s">
        <v>61</v>
      </c>
      <c r="G26">
        <v>53370</v>
      </c>
      <c r="H26" t="s">
        <v>438</v>
      </c>
      <c r="I26" s="59">
        <v>44909</v>
      </c>
      <c r="J26" t="s">
        <v>536</v>
      </c>
      <c r="L26" s="59"/>
      <c r="M26" s="1">
        <v>0.36381944444444442</v>
      </c>
      <c r="N26" t="s">
        <v>165</v>
      </c>
      <c r="O26" t="s">
        <v>4</v>
      </c>
      <c r="P26">
        <v>26195</v>
      </c>
      <c r="Q26">
        <v>72000</v>
      </c>
      <c r="R26" t="s">
        <v>65</v>
      </c>
      <c r="S26" t="s">
        <v>155</v>
      </c>
    </row>
    <row r="27" spans="1:19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v>0.52819444444444441</v>
      </c>
      <c r="E27" t="s">
        <v>4</v>
      </c>
      <c r="F27" t="s">
        <v>64</v>
      </c>
      <c r="G27">
        <v>38030</v>
      </c>
      <c r="H27" t="s">
        <v>482</v>
      </c>
      <c r="I27" s="59">
        <v>45700</v>
      </c>
      <c r="J27" t="s">
        <v>536</v>
      </c>
      <c r="L27" s="59"/>
      <c r="M27" s="1">
        <v>0.31055555555555553</v>
      </c>
      <c r="N27" t="s">
        <v>165</v>
      </c>
      <c r="O27" t="s">
        <v>4</v>
      </c>
      <c r="P27">
        <v>22360</v>
      </c>
      <c r="Q27">
        <v>72000</v>
      </c>
      <c r="R27" t="s">
        <v>63</v>
      </c>
      <c r="S27" t="s">
        <v>155</v>
      </c>
    </row>
    <row r="28" spans="1:19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v>0.36381944444444442</v>
      </c>
      <c r="E28" t="s">
        <v>4</v>
      </c>
      <c r="F28" t="s">
        <v>65</v>
      </c>
      <c r="G28">
        <v>26195</v>
      </c>
      <c r="H28" t="s">
        <v>465</v>
      </c>
      <c r="I28" s="59">
        <v>45021</v>
      </c>
      <c r="J28" t="s">
        <v>536</v>
      </c>
      <c r="L28" s="59"/>
      <c r="M28" s="1">
        <v>0.1388888888888889</v>
      </c>
      <c r="N28" t="s">
        <v>165</v>
      </c>
      <c r="O28" t="s">
        <v>4</v>
      </c>
      <c r="P28">
        <v>10000</v>
      </c>
      <c r="Q28">
        <v>72000</v>
      </c>
      <c r="R28" t="s">
        <v>93</v>
      </c>
      <c r="S28" t="s">
        <v>155</v>
      </c>
    </row>
    <row r="29" spans="1:19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v>0.89207407407407402</v>
      </c>
      <c r="N29" t="s">
        <v>163</v>
      </c>
      <c r="O29" t="s">
        <v>2</v>
      </c>
      <c r="P29">
        <v>48172</v>
      </c>
      <c r="Q29">
        <v>54000</v>
      </c>
      <c r="R29" t="s">
        <v>10</v>
      </c>
      <c r="S29" t="s">
        <v>150</v>
      </c>
    </row>
    <row r="30" spans="1:19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v>0.1388888888888889</v>
      </c>
      <c r="E30" t="s">
        <v>4</v>
      </c>
      <c r="F30" t="s">
        <v>93</v>
      </c>
      <c r="G30">
        <v>10000</v>
      </c>
      <c r="H30" t="s">
        <v>509</v>
      </c>
      <c r="I30" s="59">
        <v>44644</v>
      </c>
      <c r="J30" t="s">
        <v>536</v>
      </c>
      <c r="L30" s="59"/>
      <c r="M30" s="1">
        <v>0.65103703703703708</v>
      </c>
      <c r="N30" t="s">
        <v>164</v>
      </c>
      <c r="O30" t="s">
        <v>2</v>
      </c>
      <c r="P30">
        <v>35156</v>
      </c>
      <c r="Q30">
        <v>54000</v>
      </c>
      <c r="R30" t="s">
        <v>17</v>
      </c>
      <c r="S30" t="s">
        <v>150</v>
      </c>
    </row>
    <row r="31" spans="1:19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v>0.57211111111111113</v>
      </c>
      <c r="N31" t="s">
        <v>164</v>
      </c>
      <c r="O31" t="s">
        <v>2</v>
      </c>
      <c r="P31">
        <v>30894</v>
      </c>
      <c r="Q31">
        <v>54000</v>
      </c>
      <c r="R31" t="s">
        <v>11</v>
      </c>
      <c r="S31" t="s">
        <v>150</v>
      </c>
    </row>
    <row r="32" spans="1:19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v>0.65103703703703708</v>
      </c>
      <c r="E32" t="s">
        <v>2</v>
      </c>
      <c r="F32" t="s">
        <v>17</v>
      </c>
      <c r="G32">
        <v>35156</v>
      </c>
      <c r="H32" t="s">
        <v>412</v>
      </c>
      <c r="I32" s="59">
        <v>44888</v>
      </c>
      <c r="J32" t="s">
        <v>536</v>
      </c>
      <c r="L32" s="59"/>
      <c r="M32" s="1">
        <v>0.54796296296296299</v>
      </c>
      <c r="N32" t="s">
        <v>164</v>
      </c>
      <c r="O32" t="s">
        <v>2</v>
      </c>
      <c r="P32">
        <v>29590</v>
      </c>
      <c r="Q32">
        <v>54000</v>
      </c>
      <c r="R32" t="s">
        <v>16</v>
      </c>
      <c r="S32" t="s">
        <v>150</v>
      </c>
    </row>
    <row r="33" spans="1:19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v>0.57211111111111113</v>
      </c>
      <c r="E33" t="s">
        <v>2</v>
      </c>
      <c r="F33" t="s">
        <v>11</v>
      </c>
      <c r="G33">
        <v>30894</v>
      </c>
      <c r="H33" t="s">
        <v>456</v>
      </c>
      <c r="I33" s="59">
        <v>45371</v>
      </c>
      <c r="J33" t="s">
        <v>536</v>
      </c>
      <c r="L33" s="59"/>
      <c r="M33" s="1">
        <v>0.38300000000000001</v>
      </c>
      <c r="N33" t="s">
        <v>165</v>
      </c>
      <c r="O33" t="s">
        <v>2</v>
      </c>
      <c r="P33">
        <v>20682</v>
      </c>
      <c r="Q33">
        <v>54000</v>
      </c>
      <c r="R33" t="s">
        <v>13</v>
      </c>
      <c r="S33" t="s">
        <v>150</v>
      </c>
    </row>
    <row r="34" spans="1:19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v>0.54796296296296299</v>
      </c>
      <c r="E34" t="s">
        <v>2</v>
      </c>
      <c r="F34" t="s">
        <v>16</v>
      </c>
      <c r="G34">
        <v>29590</v>
      </c>
      <c r="H34" t="s">
        <v>415</v>
      </c>
      <c r="I34" s="59">
        <v>45334</v>
      </c>
      <c r="J34" t="s">
        <v>536</v>
      </c>
      <c r="L34" s="59"/>
      <c r="M34" s="1">
        <v>0.36027777777777775</v>
      </c>
      <c r="N34" t="s">
        <v>165</v>
      </c>
      <c r="O34" t="s">
        <v>2</v>
      </c>
      <c r="P34">
        <v>19455</v>
      </c>
      <c r="Q34">
        <v>54000</v>
      </c>
      <c r="R34" t="s">
        <v>12</v>
      </c>
      <c r="S34" t="s">
        <v>150</v>
      </c>
    </row>
    <row r="35" spans="1:19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v>0.71633333333333338</v>
      </c>
      <c r="E35" t="s">
        <v>2</v>
      </c>
      <c r="F35" t="s">
        <v>13</v>
      </c>
      <c r="G35">
        <v>20682</v>
      </c>
      <c r="H35" t="s">
        <v>409</v>
      </c>
      <c r="I35" s="59">
        <v>44811</v>
      </c>
      <c r="J35" t="s">
        <v>536</v>
      </c>
      <c r="L35" s="59"/>
      <c r="M35" s="1">
        <v>0.34772222222222221</v>
      </c>
      <c r="N35" t="s">
        <v>165</v>
      </c>
      <c r="O35" t="s">
        <v>2</v>
      </c>
      <c r="P35">
        <v>18777</v>
      </c>
      <c r="Q35">
        <v>54000</v>
      </c>
      <c r="R35" t="s">
        <v>15</v>
      </c>
      <c r="S35" t="s">
        <v>150</v>
      </c>
    </row>
    <row r="36" spans="1:19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v>0.36027777777777775</v>
      </c>
      <c r="E36" t="s">
        <v>2</v>
      </c>
      <c r="F36" t="s">
        <v>12</v>
      </c>
      <c r="G36">
        <v>19455</v>
      </c>
      <c r="H36" t="s">
        <v>416</v>
      </c>
      <c r="I36" s="59">
        <v>44870</v>
      </c>
      <c r="J36" t="s">
        <v>536</v>
      </c>
      <c r="L36" s="59"/>
      <c r="M36" s="1">
        <v>0.19027777777777777</v>
      </c>
      <c r="N36" t="s">
        <v>165</v>
      </c>
      <c r="O36" t="s">
        <v>2</v>
      </c>
      <c r="P36">
        <v>10275</v>
      </c>
      <c r="Q36">
        <v>54000</v>
      </c>
      <c r="R36" t="s">
        <v>91</v>
      </c>
      <c r="S36" t="s">
        <v>150</v>
      </c>
    </row>
    <row r="37" spans="1:19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v>0.34772222222222221</v>
      </c>
      <c r="E37" t="s">
        <v>2</v>
      </c>
      <c r="F37" t="s">
        <v>15</v>
      </c>
      <c r="G37">
        <v>18777</v>
      </c>
      <c r="H37" t="s">
        <v>437</v>
      </c>
      <c r="I37" s="59">
        <v>44735</v>
      </c>
      <c r="J37" t="s">
        <v>536</v>
      </c>
      <c r="L37" s="59"/>
      <c r="M37" s="1">
        <v>0.15062962962962964</v>
      </c>
      <c r="N37" t="s">
        <v>165</v>
      </c>
      <c r="O37" t="s">
        <v>2</v>
      </c>
      <c r="P37">
        <v>8134</v>
      </c>
      <c r="Q37">
        <v>54000</v>
      </c>
      <c r="R37" t="s">
        <v>14</v>
      </c>
      <c r="S37" t="s">
        <v>150</v>
      </c>
    </row>
    <row r="38" spans="1:19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v>0.19027777777777777</v>
      </c>
      <c r="E38" t="s">
        <v>2</v>
      </c>
      <c r="F38" t="s">
        <v>91</v>
      </c>
      <c r="G38">
        <v>10275</v>
      </c>
      <c r="H38" t="s">
        <v>510</v>
      </c>
      <c r="I38" s="59">
        <v>45882</v>
      </c>
      <c r="J38" t="s">
        <v>536</v>
      </c>
      <c r="L38" s="59"/>
      <c r="M38" s="1">
        <v>0.72839814814814818</v>
      </c>
      <c r="N38" t="s">
        <v>163</v>
      </c>
      <c r="O38" t="s">
        <v>5</v>
      </c>
      <c r="P38">
        <v>39333.5</v>
      </c>
      <c r="Q38">
        <v>54000</v>
      </c>
      <c r="R38" t="s">
        <v>69</v>
      </c>
      <c r="S38" t="s">
        <v>150</v>
      </c>
    </row>
    <row r="39" spans="1:19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v>0.15062962962962964</v>
      </c>
      <c r="E39" t="s">
        <v>2</v>
      </c>
      <c r="F39" t="s">
        <v>14</v>
      </c>
      <c r="G39">
        <v>8134</v>
      </c>
      <c r="H39" t="s">
        <v>459</v>
      </c>
      <c r="I39" s="59">
        <v>45133</v>
      </c>
      <c r="J39" t="s">
        <v>536</v>
      </c>
      <c r="L39" s="59"/>
      <c r="M39" s="1">
        <v>0.68624074074074071</v>
      </c>
      <c r="N39" t="s">
        <v>164</v>
      </c>
      <c r="O39" t="s">
        <v>5</v>
      </c>
      <c r="P39">
        <v>37057</v>
      </c>
      <c r="Q39">
        <v>54000</v>
      </c>
      <c r="R39" t="s">
        <v>66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v>0.72839814814814818</v>
      </c>
      <c r="E40" t="s">
        <v>5</v>
      </c>
      <c r="F40" t="s">
        <v>69</v>
      </c>
      <c r="G40">
        <v>39333.5</v>
      </c>
      <c r="H40" t="s">
        <v>406</v>
      </c>
      <c r="I40" s="59">
        <v>44461</v>
      </c>
      <c r="J40" t="s">
        <v>536</v>
      </c>
      <c r="L40" s="59"/>
      <c r="M40" s="1">
        <v>0.59</v>
      </c>
      <c r="N40" t="s">
        <v>164</v>
      </c>
      <c r="O40" t="s">
        <v>5</v>
      </c>
      <c r="P40">
        <v>31860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v>0.68624074074074071</v>
      </c>
      <c r="E41" t="s">
        <v>5</v>
      </c>
      <c r="F41" t="s">
        <v>66</v>
      </c>
      <c r="G41">
        <v>37057</v>
      </c>
      <c r="H41" t="s">
        <v>410</v>
      </c>
      <c r="I41" s="59">
        <v>45457</v>
      </c>
      <c r="J41" t="s">
        <v>536</v>
      </c>
      <c r="L41" s="59"/>
      <c r="M41" s="1">
        <v>0.5502407407407407</v>
      </c>
      <c r="N41" t="s">
        <v>164</v>
      </c>
      <c r="O41" t="s">
        <v>5</v>
      </c>
      <c r="P41">
        <v>29713</v>
      </c>
      <c r="Q41">
        <v>54000</v>
      </c>
      <c r="R41" t="s">
        <v>67</v>
      </c>
      <c r="S41" t="s">
        <v>150</v>
      </c>
    </row>
    <row r="42" spans="1:19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v>0.59</v>
      </c>
      <c r="E42" t="s">
        <v>5</v>
      </c>
      <c r="F42" t="s">
        <v>70</v>
      </c>
      <c r="G42">
        <v>31860</v>
      </c>
      <c r="H42" t="s">
        <v>445</v>
      </c>
      <c r="I42" s="59">
        <v>44971</v>
      </c>
      <c r="J42" t="s">
        <v>536</v>
      </c>
      <c r="L42" s="59"/>
      <c r="M42" s="1">
        <v>0.50892592592592589</v>
      </c>
      <c r="N42" t="s">
        <v>164</v>
      </c>
      <c r="O42" t="s">
        <v>5</v>
      </c>
      <c r="P42">
        <v>27482</v>
      </c>
      <c r="Q42">
        <v>54000</v>
      </c>
      <c r="R42" t="s">
        <v>68</v>
      </c>
      <c r="S42" t="s">
        <v>150</v>
      </c>
    </row>
    <row r="43" spans="1:19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v>0.5502407407407407</v>
      </c>
      <c r="E43" t="s">
        <v>5</v>
      </c>
      <c r="F43" t="s">
        <v>67</v>
      </c>
      <c r="G43">
        <v>29713</v>
      </c>
      <c r="H43" t="s">
        <v>408</v>
      </c>
      <c r="I43" s="59">
        <v>44811</v>
      </c>
      <c r="J43" t="s">
        <v>536</v>
      </c>
      <c r="L43" s="59"/>
      <c r="M43" s="1">
        <v>0.40081481481481479</v>
      </c>
      <c r="N43" t="s">
        <v>164</v>
      </c>
      <c r="O43" t="s">
        <v>5</v>
      </c>
      <c r="P43">
        <v>21644</v>
      </c>
      <c r="Q43">
        <v>54000</v>
      </c>
      <c r="R43" t="s">
        <v>71</v>
      </c>
      <c r="S43" t="s">
        <v>150</v>
      </c>
    </row>
    <row r="44" spans="1:19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v>0.50892592592592589</v>
      </c>
      <c r="E44" t="s">
        <v>5</v>
      </c>
      <c r="F44" t="s">
        <v>68</v>
      </c>
      <c r="G44">
        <v>27482</v>
      </c>
      <c r="H44" t="s">
        <v>467</v>
      </c>
      <c r="I44" s="59">
        <v>45364</v>
      </c>
      <c r="J44" t="s">
        <v>536</v>
      </c>
      <c r="L44" s="59"/>
      <c r="M44" s="1">
        <v>0.24317722222222221</v>
      </c>
      <c r="N44" t="s">
        <v>165</v>
      </c>
      <c r="O44" t="s">
        <v>5</v>
      </c>
      <c r="P44">
        <v>13131.57</v>
      </c>
      <c r="Q44">
        <v>54000</v>
      </c>
      <c r="R44" t="s">
        <v>72</v>
      </c>
      <c r="S44" t="s">
        <v>150</v>
      </c>
    </row>
    <row r="45" spans="1:19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v>0.40081481481481479</v>
      </c>
      <c r="E45" t="s">
        <v>5</v>
      </c>
      <c r="F45" t="s">
        <v>71</v>
      </c>
      <c r="G45">
        <v>21644</v>
      </c>
      <c r="H45" t="s">
        <v>441</v>
      </c>
      <c r="I45" s="59">
        <v>45423</v>
      </c>
      <c r="J45" t="s">
        <v>536</v>
      </c>
      <c r="L45" s="59"/>
      <c r="M45" s="1">
        <v>0.11453703703703703</v>
      </c>
      <c r="N45" t="s">
        <v>165</v>
      </c>
      <c r="O45" t="s">
        <v>5</v>
      </c>
      <c r="P45">
        <v>6185</v>
      </c>
      <c r="Q45">
        <v>54000</v>
      </c>
      <c r="R45" t="s">
        <v>73</v>
      </c>
      <c r="S45" t="s">
        <v>150</v>
      </c>
    </row>
    <row r="46" spans="1:19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v>0.24317722222222221</v>
      </c>
      <c r="E46" t="s">
        <v>5</v>
      </c>
      <c r="F46" t="s">
        <v>72</v>
      </c>
      <c r="G46">
        <v>13131.57</v>
      </c>
      <c r="H46" t="s">
        <v>477</v>
      </c>
      <c r="I46" s="59">
        <v>45084</v>
      </c>
      <c r="J46" t="s">
        <v>536</v>
      </c>
      <c r="L46" s="59"/>
      <c r="M46" s="1">
        <v>3.0944444444444445E-2</v>
      </c>
      <c r="N46" t="s">
        <v>165</v>
      </c>
      <c r="O46" t="s">
        <v>5</v>
      </c>
      <c r="P46">
        <v>1671</v>
      </c>
      <c r="Q46">
        <v>54000</v>
      </c>
      <c r="R46" t="s">
        <v>96</v>
      </c>
      <c r="S46" t="s">
        <v>150</v>
      </c>
    </row>
    <row r="47" spans="1:19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v>0.11453703703703703</v>
      </c>
      <c r="E47" t="s">
        <v>5</v>
      </c>
      <c r="F47" t="s">
        <v>73</v>
      </c>
      <c r="G47">
        <v>6185</v>
      </c>
      <c r="H47" t="s">
        <v>447</v>
      </c>
      <c r="I47" s="59">
        <v>45145</v>
      </c>
      <c r="J47" t="s">
        <v>536</v>
      </c>
      <c r="L47" s="59"/>
      <c r="M47" s="1">
        <v>2.4919230769230771</v>
      </c>
      <c r="N47" t="s">
        <v>162</v>
      </c>
      <c r="O47" t="s">
        <v>6</v>
      </c>
      <c r="P47">
        <v>64790</v>
      </c>
      <c r="Q47">
        <v>26000</v>
      </c>
      <c r="R47" t="s">
        <v>31</v>
      </c>
      <c r="S47" t="s">
        <v>156</v>
      </c>
    </row>
    <row r="48" spans="1:19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v>0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v>1.8715592307692308</v>
      </c>
      <c r="N48" t="s">
        <v>162</v>
      </c>
      <c r="O48" t="s">
        <v>6</v>
      </c>
      <c r="P48">
        <v>48660.54</v>
      </c>
      <c r="Q48">
        <v>26000</v>
      </c>
      <c r="R48" t="s">
        <v>34</v>
      </c>
      <c r="S48" t="s">
        <v>156</v>
      </c>
    </row>
    <row r="49" spans="1:19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v>2.4919230769230771</v>
      </c>
      <c r="E49" t="s">
        <v>6</v>
      </c>
      <c r="F49" t="s">
        <v>31</v>
      </c>
      <c r="G49">
        <v>64790</v>
      </c>
      <c r="H49" t="s">
        <v>430</v>
      </c>
      <c r="I49" s="59">
        <v>45334</v>
      </c>
      <c r="J49" t="s">
        <v>536</v>
      </c>
      <c r="L49" s="59"/>
      <c r="M49" s="1">
        <v>1.6965384615384616</v>
      </c>
      <c r="N49" t="s">
        <v>162</v>
      </c>
      <c r="O49" t="s">
        <v>6</v>
      </c>
      <c r="P49">
        <v>44110</v>
      </c>
      <c r="Q49">
        <v>26000</v>
      </c>
      <c r="R49" t="s">
        <v>37</v>
      </c>
      <c r="S49" t="s">
        <v>156</v>
      </c>
    </row>
    <row r="50" spans="1:19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v>1.1698076923076923</v>
      </c>
      <c r="N50" t="s">
        <v>162</v>
      </c>
      <c r="O50" t="s">
        <v>6</v>
      </c>
      <c r="P50">
        <v>30415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v>1.6965384615384616</v>
      </c>
      <c r="E51" t="s">
        <v>6</v>
      </c>
      <c r="F51" t="s">
        <v>37</v>
      </c>
      <c r="G51">
        <v>44110</v>
      </c>
      <c r="H51" t="s">
        <v>427</v>
      </c>
      <c r="I51" s="59">
        <v>43132</v>
      </c>
      <c r="J51" t="s">
        <v>536</v>
      </c>
      <c r="L51" s="59"/>
      <c r="M51" s="1">
        <v>1.0065884615384615</v>
      </c>
      <c r="N51" t="s">
        <v>162</v>
      </c>
      <c r="O51" t="s">
        <v>6</v>
      </c>
      <c r="P51">
        <v>26171.3</v>
      </c>
      <c r="Q51">
        <v>26000</v>
      </c>
      <c r="R51" t="s">
        <v>32</v>
      </c>
      <c r="S51" t="s">
        <v>156</v>
      </c>
    </row>
    <row r="52" spans="1:19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v>1.1698076923076923</v>
      </c>
      <c r="E52" t="s">
        <v>6</v>
      </c>
      <c r="F52" t="s">
        <v>35</v>
      </c>
      <c r="G52">
        <v>30415</v>
      </c>
      <c r="H52" t="s">
        <v>428</v>
      </c>
      <c r="I52" s="59">
        <v>44748</v>
      </c>
      <c r="J52" t="s">
        <v>536</v>
      </c>
      <c r="L52" s="59"/>
      <c r="M52" s="1">
        <v>0.56246153846153846</v>
      </c>
      <c r="N52" t="s">
        <v>164</v>
      </c>
      <c r="O52" t="s">
        <v>6</v>
      </c>
      <c r="P52">
        <v>14624</v>
      </c>
      <c r="Q52">
        <v>26000</v>
      </c>
      <c r="R52" t="s">
        <v>40</v>
      </c>
      <c r="S52" t="s">
        <v>156</v>
      </c>
    </row>
    <row r="53" spans="1:19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v>1.0065884615384615</v>
      </c>
      <c r="E53" t="s">
        <v>6</v>
      </c>
      <c r="F53" t="s">
        <v>32</v>
      </c>
      <c r="G53">
        <v>26171.3</v>
      </c>
      <c r="H53" t="s">
        <v>417</v>
      </c>
      <c r="I53" s="59">
        <v>45530</v>
      </c>
      <c r="J53" t="s">
        <v>536</v>
      </c>
      <c r="L53" s="59"/>
      <c r="M53" s="1">
        <v>0.50853846153846149</v>
      </c>
      <c r="N53" t="s">
        <v>164</v>
      </c>
      <c r="O53" t="s">
        <v>6</v>
      </c>
      <c r="P53">
        <v>13222</v>
      </c>
      <c r="Q53">
        <v>26000</v>
      </c>
      <c r="R53" t="s">
        <v>38</v>
      </c>
      <c r="S53" t="s">
        <v>156</v>
      </c>
    </row>
    <row r="54" spans="1:19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v>0.58169230769230773</v>
      </c>
      <c r="E54" t="s">
        <v>6</v>
      </c>
      <c r="F54" t="s">
        <v>40</v>
      </c>
      <c r="G54">
        <v>14624</v>
      </c>
      <c r="H54" t="s">
        <v>451</v>
      </c>
      <c r="I54" s="59">
        <v>45429</v>
      </c>
      <c r="J54" t="s">
        <v>536</v>
      </c>
      <c r="L54" s="59"/>
      <c r="M54" s="1">
        <v>0.50292307692307692</v>
      </c>
      <c r="N54" t="s">
        <v>164</v>
      </c>
      <c r="O54" t="s">
        <v>6</v>
      </c>
      <c r="P54">
        <v>13076</v>
      </c>
      <c r="Q54">
        <v>26000</v>
      </c>
      <c r="R54" t="s">
        <v>33</v>
      </c>
      <c r="S54" t="s">
        <v>156</v>
      </c>
    </row>
    <row r="55" spans="1:19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v>0.50853846153846149</v>
      </c>
      <c r="E55" t="s">
        <v>6</v>
      </c>
      <c r="F55" t="s">
        <v>38</v>
      </c>
      <c r="G55">
        <v>13222</v>
      </c>
      <c r="H55" t="s">
        <v>496</v>
      </c>
      <c r="I55" s="59">
        <v>45805</v>
      </c>
      <c r="J55" t="s">
        <v>536</v>
      </c>
      <c r="L55" s="59"/>
      <c r="M55" s="1">
        <v>0.44034615384615383</v>
      </c>
      <c r="N55" t="s">
        <v>164</v>
      </c>
      <c r="O55" t="s">
        <v>6</v>
      </c>
      <c r="P55">
        <v>11449</v>
      </c>
      <c r="Q55">
        <v>26000</v>
      </c>
      <c r="R55" t="s">
        <v>39</v>
      </c>
      <c r="S55" t="s">
        <v>156</v>
      </c>
    </row>
    <row r="56" spans="1:19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v>0.50292307692307692</v>
      </c>
      <c r="E56" t="s">
        <v>6</v>
      </c>
      <c r="F56" t="s">
        <v>33</v>
      </c>
      <c r="G56">
        <v>13076</v>
      </c>
      <c r="H56" t="s">
        <v>466</v>
      </c>
      <c r="I56" s="59">
        <v>44869</v>
      </c>
      <c r="J56" t="s">
        <v>536</v>
      </c>
      <c r="L56" s="59"/>
      <c r="M56" s="1">
        <v>0.35561538461538461</v>
      </c>
      <c r="N56" t="s">
        <v>165</v>
      </c>
      <c r="O56" t="s">
        <v>6</v>
      </c>
      <c r="P56">
        <v>9246</v>
      </c>
      <c r="Q56">
        <v>26000</v>
      </c>
      <c r="R56" t="s">
        <v>36</v>
      </c>
      <c r="S56" t="s">
        <v>156</v>
      </c>
    </row>
    <row r="57" spans="1:19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v>1.0961538461538462E-2</v>
      </c>
      <c r="N57" t="s">
        <v>165</v>
      </c>
      <c r="O57" t="s">
        <v>6</v>
      </c>
      <c r="P57">
        <v>285</v>
      </c>
      <c r="Q57">
        <v>26000</v>
      </c>
      <c r="R57" t="s">
        <v>99</v>
      </c>
      <c r="S57" t="s">
        <v>156</v>
      </c>
    </row>
    <row r="58" spans="1:19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v>1.2225806451612904</v>
      </c>
      <c r="N58" t="s">
        <v>162</v>
      </c>
      <c r="O58" t="s">
        <v>7</v>
      </c>
      <c r="P58">
        <v>18950</v>
      </c>
      <c r="Q58">
        <v>15500</v>
      </c>
      <c r="R58" t="s">
        <v>19</v>
      </c>
      <c r="S58" t="s">
        <v>152</v>
      </c>
    </row>
    <row r="59" spans="1:19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v>1.0103225806451612</v>
      </c>
      <c r="N59" t="s">
        <v>162</v>
      </c>
      <c r="O59" t="s">
        <v>7</v>
      </c>
      <c r="P59">
        <v>15660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v>1.2227096774193549</v>
      </c>
      <c r="E60" t="s">
        <v>7</v>
      </c>
      <c r="F60" t="s">
        <v>19</v>
      </c>
      <c r="G60">
        <v>18950</v>
      </c>
      <c r="H60" t="s">
        <v>426</v>
      </c>
      <c r="I60" s="59">
        <v>44673</v>
      </c>
      <c r="J60" t="s">
        <v>536</v>
      </c>
      <c r="L60" s="59"/>
      <c r="M60" s="1">
        <v>0.70012903225806455</v>
      </c>
      <c r="N60" t="s">
        <v>163</v>
      </c>
      <c r="O60" t="s">
        <v>7</v>
      </c>
      <c r="P60">
        <v>10852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v>1.0103225806451612</v>
      </c>
      <c r="E61" t="s">
        <v>7</v>
      </c>
      <c r="F61" t="s">
        <v>18</v>
      </c>
      <c r="G61">
        <v>15660</v>
      </c>
      <c r="H61" t="s">
        <v>458</v>
      </c>
      <c r="I61" s="59">
        <v>45133</v>
      </c>
      <c r="J61" t="s">
        <v>536</v>
      </c>
      <c r="L61" s="59"/>
      <c r="M61" s="1">
        <v>0.42645161290322581</v>
      </c>
      <c r="N61" t="s">
        <v>164</v>
      </c>
      <c r="O61" t="s">
        <v>7</v>
      </c>
      <c r="P61">
        <v>6610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v>0.70012903225806455</v>
      </c>
      <c r="E62" t="s">
        <v>7</v>
      </c>
      <c r="F62" t="s">
        <v>105</v>
      </c>
      <c r="G62">
        <v>10852</v>
      </c>
      <c r="H62" t="s">
        <v>490</v>
      </c>
      <c r="I62" s="59">
        <v>44657</v>
      </c>
      <c r="J62" t="s">
        <v>536</v>
      </c>
      <c r="L62" s="59"/>
      <c r="M62" s="1">
        <v>0.3496774193548387</v>
      </c>
      <c r="N62" t="s">
        <v>165</v>
      </c>
      <c r="O62" t="s">
        <v>7</v>
      </c>
      <c r="P62">
        <v>5420</v>
      </c>
      <c r="Q62">
        <v>15500</v>
      </c>
      <c r="R62" t="s">
        <v>107</v>
      </c>
      <c r="S62" t="s">
        <v>152</v>
      </c>
    </row>
    <row r="63" spans="1:19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v>0.42645161290322581</v>
      </c>
      <c r="E63" t="s">
        <v>7</v>
      </c>
      <c r="F63" t="s">
        <v>21</v>
      </c>
      <c r="G63">
        <v>6610</v>
      </c>
      <c r="H63" t="s">
        <v>436</v>
      </c>
      <c r="I63" s="59">
        <v>44301</v>
      </c>
      <c r="J63" t="s">
        <v>536</v>
      </c>
      <c r="L63" s="59"/>
      <c r="M63" s="1">
        <v>0.28006451612903227</v>
      </c>
      <c r="N63" t="s">
        <v>165</v>
      </c>
      <c r="O63" t="s">
        <v>7</v>
      </c>
      <c r="P63">
        <v>4341</v>
      </c>
      <c r="Q63">
        <v>15500</v>
      </c>
      <c r="R63" t="s">
        <v>103</v>
      </c>
      <c r="S63" t="s">
        <v>152</v>
      </c>
    </row>
    <row r="64" spans="1:19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v>0.3496774193548387</v>
      </c>
      <c r="E64" t="s">
        <v>7</v>
      </c>
      <c r="F64" t="s">
        <v>107</v>
      </c>
      <c r="G64">
        <v>5420</v>
      </c>
      <c r="H64" t="s">
        <v>485</v>
      </c>
      <c r="I64" s="59">
        <v>45727</v>
      </c>
      <c r="J64" t="s">
        <v>536</v>
      </c>
      <c r="L64" s="59"/>
      <c r="M64" s="1">
        <v>0.26838709677419353</v>
      </c>
      <c r="N64" t="s">
        <v>165</v>
      </c>
      <c r="O64" t="s">
        <v>7</v>
      </c>
      <c r="P64">
        <v>4160</v>
      </c>
      <c r="Q64">
        <v>15500</v>
      </c>
      <c r="R64" t="s">
        <v>20</v>
      </c>
      <c r="S64" t="s">
        <v>152</v>
      </c>
    </row>
    <row r="65" spans="1:19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v>0.28006451612903227</v>
      </c>
      <c r="E65" t="s">
        <v>7</v>
      </c>
      <c r="F65" t="s">
        <v>103</v>
      </c>
      <c r="G65">
        <v>4341</v>
      </c>
      <c r="H65" t="s">
        <v>446</v>
      </c>
      <c r="I65" s="59">
        <v>45451</v>
      </c>
      <c r="J65" t="s">
        <v>536</v>
      </c>
      <c r="L65" s="59"/>
      <c r="M65" s="1">
        <v>0.18258064516129033</v>
      </c>
      <c r="N65" t="s">
        <v>165</v>
      </c>
      <c r="O65" t="s">
        <v>7</v>
      </c>
      <c r="P65">
        <v>2830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v>0.26838709677419353</v>
      </c>
      <c r="E66" t="s">
        <v>7</v>
      </c>
      <c r="F66" t="s">
        <v>20</v>
      </c>
      <c r="G66">
        <v>4160</v>
      </c>
      <c r="H66" t="s">
        <v>454</v>
      </c>
      <c r="I66" s="59">
        <v>45142</v>
      </c>
      <c r="J66" t="s">
        <v>536</v>
      </c>
      <c r="L66" s="59"/>
      <c r="M66" s="1">
        <v>7.5483870967741937E-2</v>
      </c>
      <c r="N66" t="s">
        <v>165</v>
      </c>
      <c r="O66" t="s">
        <v>7</v>
      </c>
      <c r="P66">
        <v>1170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v>0.18258064516129033</v>
      </c>
      <c r="E67" t="s">
        <v>7</v>
      </c>
      <c r="F67" t="s">
        <v>110</v>
      </c>
      <c r="G67">
        <v>2830</v>
      </c>
      <c r="H67" t="s">
        <v>481</v>
      </c>
      <c r="I67" s="59">
        <v>44993</v>
      </c>
      <c r="J67" t="s">
        <v>536</v>
      </c>
      <c r="L67" s="59"/>
      <c r="M67" s="1">
        <v>6.4516129032258063E-2</v>
      </c>
      <c r="N67" t="s">
        <v>165</v>
      </c>
      <c r="O67" t="s">
        <v>7</v>
      </c>
      <c r="P67">
        <v>1000</v>
      </c>
      <c r="Q67">
        <v>15500</v>
      </c>
      <c r="R67" t="s">
        <v>104</v>
      </c>
      <c r="S67" t="s">
        <v>152</v>
      </c>
    </row>
    <row r="68" spans="1:19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v>0.86550000000000005</v>
      </c>
      <c r="N68" t="s">
        <v>163</v>
      </c>
      <c r="O68" t="s">
        <v>8</v>
      </c>
      <c r="P68">
        <v>13848</v>
      </c>
      <c r="Q68">
        <v>16000</v>
      </c>
      <c r="R68" t="s">
        <v>42</v>
      </c>
      <c r="S68" t="s">
        <v>153</v>
      </c>
    </row>
    <row r="69" spans="1:19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v>6.4516129032258063E-2</v>
      </c>
      <c r="E69" t="s">
        <v>7</v>
      </c>
      <c r="F69" t="s">
        <v>104</v>
      </c>
      <c r="G69">
        <v>1000</v>
      </c>
      <c r="H69" t="s">
        <v>483</v>
      </c>
      <c r="I69" s="59">
        <v>44104</v>
      </c>
      <c r="J69" t="s">
        <v>536</v>
      </c>
      <c r="L69" s="59"/>
      <c r="M69" s="1">
        <v>0.85631250000000003</v>
      </c>
      <c r="N69" t="s">
        <v>163</v>
      </c>
      <c r="O69" t="s">
        <v>8</v>
      </c>
      <c r="P69">
        <v>13701</v>
      </c>
      <c r="Q69">
        <v>16000</v>
      </c>
      <c r="R69" t="s">
        <v>44</v>
      </c>
      <c r="S69" t="s">
        <v>153</v>
      </c>
    </row>
    <row r="70" spans="1:19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v>0.92800000000000005</v>
      </c>
      <c r="E70" t="s">
        <v>8</v>
      </c>
      <c r="F70" t="s">
        <v>42</v>
      </c>
      <c r="G70">
        <v>13848</v>
      </c>
      <c r="H70" t="s">
        <v>442</v>
      </c>
      <c r="I70" s="59">
        <v>45399</v>
      </c>
      <c r="J70" t="s">
        <v>536</v>
      </c>
      <c r="L70" s="59"/>
      <c r="M70" s="1">
        <v>0.85106250000000006</v>
      </c>
      <c r="N70" t="s">
        <v>163</v>
      </c>
      <c r="O70" t="s">
        <v>8</v>
      </c>
      <c r="P70">
        <v>13617</v>
      </c>
      <c r="Q70">
        <v>16000</v>
      </c>
      <c r="R70" t="s">
        <v>41</v>
      </c>
      <c r="S70" t="s">
        <v>153</v>
      </c>
    </row>
    <row r="71" spans="1:19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v>0.85631250000000003</v>
      </c>
      <c r="E71" t="s">
        <v>8</v>
      </c>
      <c r="F71" t="s">
        <v>44</v>
      </c>
      <c r="G71">
        <v>13701</v>
      </c>
      <c r="H71" t="s">
        <v>494</v>
      </c>
      <c r="I71" s="59">
        <v>45804</v>
      </c>
      <c r="J71" t="s">
        <v>536</v>
      </c>
      <c r="L71" s="59"/>
      <c r="M71" s="1">
        <v>0.78818750000000004</v>
      </c>
      <c r="N71" t="s">
        <v>163</v>
      </c>
      <c r="O71" t="s">
        <v>8</v>
      </c>
      <c r="P71">
        <v>12611</v>
      </c>
      <c r="Q71">
        <v>16000</v>
      </c>
      <c r="R71" t="s">
        <v>46</v>
      </c>
      <c r="S71" t="s">
        <v>153</v>
      </c>
    </row>
    <row r="72" spans="1:19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v>0.85599999999999998</v>
      </c>
      <c r="E72" t="s">
        <v>8</v>
      </c>
      <c r="F72" t="s">
        <v>41</v>
      </c>
      <c r="G72">
        <v>13617</v>
      </c>
      <c r="H72" t="s">
        <v>414</v>
      </c>
      <c r="I72" s="59">
        <v>45304</v>
      </c>
      <c r="J72" t="s">
        <v>536</v>
      </c>
      <c r="L72" s="59"/>
      <c r="M72" s="1">
        <v>0.70107874999999997</v>
      </c>
      <c r="N72" t="s">
        <v>163</v>
      </c>
      <c r="O72" t="s">
        <v>8</v>
      </c>
      <c r="P72">
        <v>11217.26</v>
      </c>
      <c r="Q72">
        <v>16000</v>
      </c>
      <c r="R72" t="s">
        <v>43</v>
      </c>
      <c r="S72" t="s">
        <v>153</v>
      </c>
    </row>
    <row r="73" spans="1:19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v>0.78818750000000004</v>
      </c>
      <c r="E73" t="s">
        <v>8</v>
      </c>
      <c r="F73" t="s">
        <v>46</v>
      </c>
      <c r="G73">
        <v>12611</v>
      </c>
      <c r="H73" t="s">
        <v>421</v>
      </c>
      <c r="I73" s="59">
        <v>45344</v>
      </c>
      <c r="J73" t="s">
        <v>536</v>
      </c>
      <c r="L73" s="59"/>
      <c r="M73" s="1">
        <v>0.66062500000000002</v>
      </c>
      <c r="N73" t="s">
        <v>164</v>
      </c>
      <c r="O73" t="s">
        <v>8</v>
      </c>
      <c r="P73">
        <v>10570</v>
      </c>
      <c r="Q73">
        <v>16000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v>0.70107874999999997</v>
      </c>
      <c r="E74" t="s">
        <v>8</v>
      </c>
      <c r="F74" t="s">
        <v>43</v>
      </c>
      <c r="G74">
        <v>11217.26</v>
      </c>
      <c r="H74" t="s">
        <v>498</v>
      </c>
      <c r="I74" s="59">
        <v>45793</v>
      </c>
      <c r="J74" t="s">
        <v>536</v>
      </c>
      <c r="L74" s="59"/>
      <c r="M74" s="1">
        <v>0.56137499999999996</v>
      </c>
      <c r="N74" t="s">
        <v>164</v>
      </c>
      <c r="O74" t="s">
        <v>8</v>
      </c>
      <c r="P74">
        <v>8982</v>
      </c>
      <c r="Q74">
        <v>16000</v>
      </c>
      <c r="R74" t="s">
        <v>45</v>
      </c>
      <c r="S74" t="s">
        <v>153</v>
      </c>
    </row>
    <row r="75" spans="1:19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v>0.66062500000000002</v>
      </c>
      <c r="E75" t="s">
        <v>8</v>
      </c>
      <c r="F75" t="s">
        <v>48</v>
      </c>
      <c r="G75">
        <v>10570</v>
      </c>
      <c r="H75" t="s">
        <v>448</v>
      </c>
      <c r="I75" s="59">
        <v>44748</v>
      </c>
      <c r="J75" t="s">
        <v>536</v>
      </c>
      <c r="L75" s="59"/>
      <c r="M75" s="1">
        <v>0.39924999999999999</v>
      </c>
      <c r="N75" t="s">
        <v>165</v>
      </c>
      <c r="O75" t="s">
        <v>8</v>
      </c>
      <c r="P75">
        <v>6388</v>
      </c>
      <c r="Q75">
        <v>16000</v>
      </c>
      <c r="R75" t="s">
        <v>97</v>
      </c>
      <c r="S75" t="s">
        <v>153</v>
      </c>
    </row>
    <row r="76" spans="1:19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v>0.56137499999999996</v>
      </c>
      <c r="E76" t="s">
        <v>8</v>
      </c>
      <c r="F76" t="s">
        <v>45</v>
      </c>
      <c r="G76">
        <v>8982</v>
      </c>
      <c r="H76" t="s">
        <v>503</v>
      </c>
      <c r="I76" s="59">
        <v>38525</v>
      </c>
      <c r="J76" t="s">
        <v>536</v>
      </c>
      <c r="L76" s="59"/>
      <c r="M76" s="1">
        <v>0.28125</v>
      </c>
      <c r="N76" t="s">
        <v>165</v>
      </c>
      <c r="O76" t="s">
        <v>8</v>
      </c>
      <c r="P76">
        <v>4500</v>
      </c>
      <c r="Q76">
        <v>16000</v>
      </c>
      <c r="R76" t="s">
        <v>92</v>
      </c>
      <c r="S76" t="s">
        <v>153</v>
      </c>
    </row>
    <row r="77" spans="1:19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v>0</v>
      </c>
      <c r="E77" t="s">
        <v>8</v>
      </c>
      <c r="F77" t="s">
        <v>97</v>
      </c>
      <c r="G77">
        <v>6388</v>
      </c>
      <c r="H77" t="s">
        <v>512</v>
      </c>
      <c r="I77" s="59">
        <v>45889</v>
      </c>
      <c r="J77" t="s">
        <v>536</v>
      </c>
      <c r="L77" s="59"/>
      <c r="M77" s="1">
        <v>0.26250000000000001</v>
      </c>
      <c r="N77" t="s">
        <v>165</v>
      </c>
      <c r="O77" t="s">
        <v>8</v>
      </c>
      <c r="P77">
        <v>4200</v>
      </c>
      <c r="Q77">
        <v>16000</v>
      </c>
      <c r="R77" t="s">
        <v>98</v>
      </c>
      <c r="S77" t="s">
        <v>153</v>
      </c>
    </row>
    <row r="78" spans="1:19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v>0.28125</v>
      </c>
      <c r="E78" t="s">
        <v>8</v>
      </c>
      <c r="F78" t="s">
        <v>92</v>
      </c>
      <c r="G78">
        <v>4500</v>
      </c>
      <c r="H78" t="s">
        <v>513</v>
      </c>
      <c r="I78" s="59">
        <v>45399</v>
      </c>
      <c r="J78" t="s">
        <v>536</v>
      </c>
      <c r="L78" s="59"/>
      <c r="M78" s="1">
        <v>8.1125000000000003E-2</v>
      </c>
      <c r="N78" t="s">
        <v>165</v>
      </c>
      <c r="O78" t="s">
        <v>8</v>
      </c>
      <c r="P78">
        <v>1298</v>
      </c>
      <c r="Q78">
        <v>16000</v>
      </c>
      <c r="R78" t="s">
        <v>47</v>
      </c>
      <c r="S78" t="s">
        <v>153</v>
      </c>
    </row>
    <row r="79" spans="1:19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v>0.26250000000000001</v>
      </c>
      <c r="E79" t="s">
        <v>8</v>
      </c>
      <c r="F79" t="s">
        <v>98</v>
      </c>
      <c r="G79">
        <v>4200</v>
      </c>
      <c r="H79" t="s">
        <v>514</v>
      </c>
      <c r="I79" s="59">
        <v>45896</v>
      </c>
      <c r="J79" t="s">
        <v>536</v>
      </c>
      <c r="L79" s="59"/>
      <c r="M79" s="1">
        <v>0.95628499999999994</v>
      </c>
      <c r="N79" t="s">
        <v>163</v>
      </c>
      <c r="O79" t="s">
        <v>9</v>
      </c>
      <c r="P79">
        <v>15300.56</v>
      </c>
      <c r="Q79">
        <v>16000</v>
      </c>
      <c r="R79" t="s">
        <v>50</v>
      </c>
      <c r="S79" t="s">
        <v>153</v>
      </c>
    </row>
    <row r="80" spans="1:19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v>0.78743750000000001</v>
      </c>
      <c r="N80" t="s">
        <v>163</v>
      </c>
      <c r="O80" t="s">
        <v>9</v>
      </c>
      <c r="P80">
        <v>12599</v>
      </c>
      <c r="Q80">
        <v>16000</v>
      </c>
      <c r="R80" t="s">
        <v>49</v>
      </c>
      <c r="S80" t="s">
        <v>153</v>
      </c>
    </row>
    <row r="81" spans="1:19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v>0.95628499999999994</v>
      </c>
      <c r="E81" t="s">
        <v>9</v>
      </c>
      <c r="F81" t="s">
        <v>50</v>
      </c>
      <c r="G81">
        <v>15300.56</v>
      </c>
      <c r="H81" t="s">
        <v>429</v>
      </c>
      <c r="I81" s="59">
        <v>45523</v>
      </c>
      <c r="J81" t="s">
        <v>536</v>
      </c>
      <c r="L81" s="59"/>
      <c r="M81" s="1">
        <v>0.72962499999999997</v>
      </c>
      <c r="N81" t="s">
        <v>163</v>
      </c>
      <c r="O81" t="s">
        <v>9</v>
      </c>
      <c r="P81">
        <v>11674</v>
      </c>
      <c r="Q81">
        <v>16000</v>
      </c>
      <c r="R81" t="s">
        <v>51</v>
      </c>
      <c r="S81" t="s">
        <v>153</v>
      </c>
    </row>
    <row r="82" spans="1:19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v>0.78743750000000001</v>
      </c>
      <c r="E82" t="s">
        <v>9</v>
      </c>
      <c r="F82" t="s">
        <v>49</v>
      </c>
      <c r="G82">
        <v>12599</v>
      </c>
      <c r="H82" t="s">
        <v>463</v>
      </c>
      <c r="I82" s="59">
        <v>42814</v>
      </c>
      <c r="J82" t="s">
        <v>536</v>
      </c>
      <c r="L82" s="59"/>
      <c r="M82" s="1">
        <v>0.61562499999999998</v>
      </c>
      <c r="N82" t="s">
        <v>164</v>
      </c>
      <c r="O82" t="s">
        <v>9</v>
      </c>
      <c r="P82">
        <v>9850</v>
      </c>
      <c r="Q82">
        <v>16000</v>
      </c>
      <c r="R82" t="s">
        <v>52</v>
      </c>
      <c r="S82" t="s">
        <v>153</v>
      </c>
    </row>
    <row r="83" spans="1:19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v>0.72962499999999997</v>
      </c>
      <c r="E83" t="s">
        <v>9</v>
      </c>
      <c r="F83" t="s">
        <v>51</v>
      </c>
      <c r="G83">
        <v>11674</v>
      </c>
      <c r="H83" t="s">
        <v>440</v>
      </c>
      <c r="I83" s="59">
        <v>45674</v>
      </c>
      <c r="J83" t="s">
        <v>536</v>
      </c>
      <c r="M83" s="1">
        <v>0.46249437500000001</v>
      </c>
      <c r="N83" t="s">
        <v>164</v>
      </c>
      <c r="O83" t="s">
        <v>9</v>
      </c>
      <c r="P83">
        <v>7399.91</v>
      </c>
      <c r="Q83">
        <v>16000</v>
      </c>
      <c r="R83" t="s">
        <v>53</v>
      </c>
      <c r="S83" t="s">
        <v>153</v>
      </c>
    </row>
    <row r="84" spans="1:19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v>0.61562499999999998</v>
      </c>
      <c r="E84" t="s">
        <v>9</v>
      </c>
      <c r="F84" t="s">
        <v>52</v>
      </c>
      <c r="G84">
        <v>9850</v>
      </c>
      <c r="H84" t="s">
        <v>507</v>
      </c>
      <c r="I84" s="59">
        <v>45862</v>
      </c>
      <c r="J84" t="s">
        <v>536</v>
      </c>
      <c r="M84" s="1">
        <v>0.43093749999999997</v>
      </c>
      <c r="N84" t="s">
        <v>164</v>
      </c>
      <c r="O84" t="s">
        <v>9</v>
      </c>
      <c r="P84">
        <v>6895</v>
      </c>
      <c r="Q84">
        <v>16000</v>
      </c>
      <c r="R84" t="s">
        <v>55</v>
      </c>
      <c r="S84" t="s">
        <v>153</v>
      </c>
    </row>
    <row r="85" spans="1:19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v>0.46249437500000001</v>
      </c>
      <c r="E85" t="s">
        <v>9</v>
      </c>
      <c r="F85" t="s">
        <v>53</v>
      </c>
      <c r="G85">
        <v>7399.91</v>
      </c>
      <c r="H85" t="s">
        <v>484</v>
      </c>
      <c r="I85" s="59">
        <v>45727</v>
      </c>
      <c r="J85" t="s">
        <v>536</v>
      </c>
      <c r="M85" s="1">
        <v>0.40094375000000004</v>
      </c>
      <c r="N85" t="s">
        <v>164</v>
      </c>
      <c r="O85" t="s">
        <v>9</v>
      </c>
      <c r="P85">
        <v>6415.1</v>
      </c>
      <c r="Q85">
        <v>16000</v>
      </c>
      <c r="R85" t="s">
        <v>54</v>
      </c>
      <c r="S85" t="s">
        <v>153</v>
      </c>
    </row>
    <row r="86" spans="1:19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v>0.43093749999999997</v>
      </c>
      <c r="E86" t="s">
        <v>9</v>
      </c>
      <c r="F86" t="s">
        <v>55</v>
      </c>
      <c r="G86">
        <v>6895</v>
      </c>
      <c r="H86" t="s">
        <v>502</v>
      </c>
      <c r="I86" s="59">
        <v>45818</v>
      </c>
      <c r="J86" t="s">
        <v>536</v>
      </c>
      <c r="M86" s="1">
        <v>0.27625</v>
      </c>
      <c r="N86" t="s">
        <v>165</v>
      </c>
      <c r="O86" t="s">
        <v>9</v>
      </c>
      <c r="P86">
        <v>4420</v>
      </c>
      <c r="Q86">
        <v>16000</v>
      </c>
      <c r="R86" t="s">
        <v>101</v>
      </c>
      <c r="S86" t="s">
        <v>153</v>
      </c>
    </row>
    <row r="87" spans="1:19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v>0.40094375000000004</v>
      </c>
      <c r="E87" t="s">
        <v>9</v>
      </c>
      <c r="F87" t="s">
        <v>54</v>
      </c>
      <c r="G87">
        <v>6415.1</v>
      </c>
      <c r="H87" t="s">
        <v>501</v>
      </c>
      <c r="I87" s="59">
        <v>45819</v>
      </c>
      <c r="J87" t="s">
        <v>536</v>
      </c>
      <c r="M87" s="1">
        <v>0.2235</v>
      </c>
      <c r="N87" t="s">
        <v>165</v>
      </c>
      <c r="O87" t="s">
        <v>9</v>
      </c>
      <c r="P87">
        <v>3576</v>
      </c>
      <c r="Q87">
        <v>16000</v>
      </c>
      <c r="R87" t="s">
        <v>56</v>
      </c>
      <c r="S87" t="s">
        <v>153</v>
      </c>
    </row>
    <row r="88" spans="1:19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v>0.27625</v>
      </c>
      <c r="E88" t="s">
        <v>9</v>
      </c>
      <c r="F88" t="s">
        <v>101</v>
      </c>
      <c r="G88">
        <v>4420</v>
      </c>
      <c r="H88" t="s">
        <v>515</v>
      </c>
      <c r="I88" s="59">
        <v>45875</v>
      </c>
      <c r="J88" t="s">
        <v>536</v>
      </c>
      <c r="M88" s="1">
        <v>7.6624999999999999E-2</v>
      </c>
      <c r="N88" t="s">
        <v>165</v>
      </c>
      <c r="O88" t="s">
        <v>9</v>
      </c>
      <c r="P88">
        <v>1226</v>
      </c>
      <c r="Q88">
        <v>16000</v>
      </c>
      <c r="R88" t="s">
        <v>100</v>
      </c>
      <c r="S88" t="s">
        <v>153</v>
      </c>
    </row>
    <row r="89" spans="1:19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v>0.2235</v>
      </c>
      <c r="E89" t="s">
        <v>9</v>
      </c>
      <c r="F89" t="s">
        <v>56</v>
      </c>
      <c r="G89">
        <v>3576</v>
      </c>
      <c r="H89" t="s">
        <v>491</v>
      </c>
      <c r="I89" s="59">
        <v>45772</v>
      </c>
      <c r="J89" t="s">
        <v>536</v>
      </c>
    </row>
    <row r="90" spans="1:19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v>7.6624999999999999E-2</v>
      </c>
      <c r="E90" t="s">
        <v>9</v>
      </c>
      <c r="F90" t="s">
        <v>100</v>
      </c>
      <c r="G90">
        <v>1226</v>
      </c>
      <c r="H90" t="s">
        <v>516</v>
      </c>
      <c r="I90" s="59">
        <v>45895</v>
      </c>
      <c r="J90" t="s">
        <v>536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BQ159"/>
  <sheetViews>
    <sheetView zoomScale="70" zoomScaleNormal="70" workbookViewId="0">
      <selection activeCell="G5" sqref="G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11.42578125" style="59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43" width="12.7109375" customWidth="1"/>
    <col min="44" max="44" width="20" bestFit="1" customWidth="1"/>
    <col min="45" max="45" width="15.140625" customWidth="1"/>
    <col min="46" max="46" width="14.42578125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69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69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69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69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69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540</v>
      </c>
      <c r="W8" s="14" t="s">
        <v>541</v>
      </c>
      <c r="X8" s="14" t="s">
        <v>543</v>
      </c>
      <c r="Y8" s="14" t="s">
        <v>561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562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563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568</v>
      </c>
      <c r="AV8" s="41" t="s">
        <v>538</v>
      </c>
      <c r="AW8" s="41" t="s">
        <v>560</v>
      </c>
      <c r="AX8" s="41" t="s">
        <v>540</v>
      </c>
      <c r="AY8" s="41" t="s">
        <v>541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v>2.6484327272727275</v>
      </c>
      <c r="E9" t="s">
        <v>3</v>
      </c>
      <c r="F9" t="s">
        <v>23</v>
      </c>
      <c r="G9">
        <v>58265</v>
      </c>
      <c r="H9" t="s">
        <v>472</v>
      </c>
      <c r="I9" s="59">
        <v>44111</v>
      </c>
      <c r="J9" s="59" t="s">
        <v>536</v>
      </c>
      <c r="K9" s="59"/>
      <c r="L9" s="59"/>
      <c r="M9" s="1">
        <v>2.6484090909090909</v>
      </c>
      <c r="N9" t="s">
        <v>162</v>
      </c>
      <c r="O9" t="s">
        <v>3</v>
      </c>
      <c r="P9">
        <v>58265</v>
      </c>
      <c r="Q9">
        <v>22000</v>
      </c>
      <c r="R9" t="s">
        <v>23</v>
      </c>
      <c r="S9">
        <v>350</v>
      </c>
      <c r="T9">
        <v>0</v>
      </c>
      <c r="U9">
        <v>403</v>
      </c>
      <c r="V9">
        <v>400</v>
      </c>
      <c r="W9">
        <v>0</v>
      </c>
      <c r="X9">
        <v>1045</v>
      </c>
      <c r="Y9">
        <v>3832</v>
      </c>
      <c r="Z9">
        <v>5300</v>
      </c>
      <c r="AA9">
        <v>8500</v>
      </c>
      <c r="AB9">
        <v>1300</v>
      </c>
      <c r="AC9">
        <v>600</v>
      </c>
      <c r="AD9">
        <v>0</v>
      </c>
      <c r="AE9">
        <v>860</v>
      </c>
      <c r="AF9">
        <v>10950</v>
      </c>
      <c r="AG9">
        <v>0</v>
      </c>
      <c r="AH9">
        <v>4000</v>
      </c>
      <c r="AI9">
        <v>200</v>
      </c>
      <c r="AJ9">
        <v>3000</v>
      </c>
      <c r="AK9">
        <v>1700</v>
      </c>
      <c r="AL9">
        <v>4000</v>
      </c>
      <c r="AM9">
        <v>4000</v>
      </c>
      <c r="AN9">
        <v>7825</v>
      </c>
      <c r="AO9" t="s">
        <v>157</v>
      </c>
      <c r="AQ9">
        <f>VLOOKUP($M$3&amp;$N$3&amp;DITE_OCTUBRE_2025[[#This Row],[SUPER]],TablaMeta[],5,0)</f>
        <v>239472</v>
      </c>
      <c r="AR9" s="12">
        <f t="shared" ref="AR9:AR16" ca="1" si="0">MAX(INDIRECT("DITE_"&amp;$N$3&amp;"_2025[@["&amp;"SUPER"&amp;"]:["&amp;"CARTERA"&amp;"]]"))</f>
        <v>238043.6</v>
      </c>
      <c r="AS9" s="18">
        <f ca="1">IFERROR(DITE_OCTUBRE_2025[[#This Row],[RECUPERO SUPERVISOR]]/DITE_OCTUBRE_2025[[#This Row],[META SUPER]],"")</f>
        <v>0.9940352107970869</v>
      </c>
      <c r="AT9" t="s">
        <v>3</v>
      </c>
      <c r="AU9">
        <v>4950</v>
      </c>
      <c r="AV9">
        <v>7168</v>
      </c>
      <c r="AW9">
        <v>8889</v>
      </c>
      <c r="AX9">
        <v>13450</v>
      </c>
      <c r="AY9">
        <v>16320</v>
      </c>
      <c r="AZ9">
        <v>17845</v>
      </c>
      <c r="BA9">
        <v>27589</v>
      </c>
      <c r="BB9">
        <v>36834</v>
      </c>
      <c r="BC9">
        <v>60084</v>
      </c>
      <c r="BD9">
        <v>73540</v>
      </c>
      <c r="BE9">
        <v>75515</v>
      </c>
      <c r="BF9">
        <v>84739</v>
      </c>
      <c r="BG9">
        <v>97142</v>
      </c>
      <c r="BH9">
        <v>121017</v>
      </c>
      <c r="BI9">
        <v>131667</v>
      </c>
      <c r="BJ9">
        <v>145287</v>
      </c>
      <c r="BK9">
        <v>151085</v>
      </c>
      <c r="BL9">
        <v>166541</v>
      </c>
      <c r="BM9">
        <v>173741</v>
      </c>
      <c r="BN9">
        <v>189586</v>
      </c>
      <c r="BO9">
        <v>220216</v>
      </c>
      <c r="BP9">
        <v>238043.6</v>
      </c>
      <c r="BQ9" s="12" t="str">
        <f>VLOOKUP($M$3&amp;$N$3&amp;DITE_OCTUBRE_2025[[#This Row],[SUPER]],TablaMeta[],7,0)</f>
        <v>S3 - 4</v>
      </c>
    </row>
    <row r="10" spans="1:69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v>1.1218181818181818</v>
      </c>
      <c r="N10" t="s">
        <v>162</v>
      </c>
      <c r="O10" t="s">
        <v>3</v>
      </c>
      <c r="P10">
        <v>24680</v>
      </c>
      <c r="Q10">
        <v>22000</v>
      </c>
      <c r="R10" t="s">
        <v>44</v>
      </c>
      <c r="S10">
        <v>1000</v>
      </c>
      <c r="T10">
        <v>0</v>
      </c>
      <c r="U10">
        <v>270</v>
      </c>
      <c r="V10">
        <v>0</v>
      </c>
      <c r="W10">
        <v>0</v>
      </c>
      <c r="X10">
        <v>0</v>
      </c>
      <c r="Y10">
        <v>650</v>
      </c>
      <c r="Z10">
        <v>0</v>
      </c>
      <c r="AA10">
        <v>12000</v>
      </c>
      <c r="AB10">
        <v>1300</v>
      </c>
      <c r="AC10">
        <v>300</v>
      </c>
      <c r="AD10">
        <v>0</v>
      </c>
      <c r="AE10">
        <v>1550</v>
      </c>
      <c r="AF10">
        <v>1800</v>
      </c>
      <c r="AG10">
        <v>150</v>
      </c>
      <c r="AH10">
        <v>0</v>
      </c>
      <c r="AI10">
        <v>0</v>
      </c>
      <c r="AJ10">
        <v>1900</v>
      </c>
      <c r="AK10">
        <v>500</v>
      </c>
      <c r="AL10">
        <v>950</v>
      </c>
      <c r="AM10">
        <v>0</v>
      </c>
      <c r="AN10">
        <v>2310</v>
      </c>
      <c r="AO10" t="s">
        <v>157</v>
      </c>
      <c r="AQ10">
        <f>VLOOKUP($M$3&amp;$N$3&amp;DITE_OCTUBRE_2025[[#This Row],[SUPER]],TablaMeta[],5,0)</f>
        <v>239472</v>
      </c>
      <c r="AR10" s="12">
        <f t="shared" ca="1" si="0"/>
        <v>184081</v>
      </c>
      <c r="AS10" s="18">
        <f ca="1">IFERROR(DITE_OCTUBRE_2025[[#This Row],[RECUPERO SUPERVISOR]]/DITE_OCTUBRE_2025[[#This Row],[META SUPER]],"")</f>
        <v>0.76869529631856748</v>
      </c>
      <c r="AT10" t="s">
        <v>4</v>
      </c>
      <c r="AU10">
        <v>1943</v>
      </c>
      <c r="AV10">
        <v>3233</v>
      </c>
      <c r="AW10">
        <v>4643</v>
      </c>
      <c r="AX10">
        <v>7343</v>
      </c>
      <c r="AY10">
        <v>10723</v>
      </c>
      <c r="AZ10">
        <v>12723</v>
      </c>
      <c r="BA10">
        <v>19072</v>
      </c>
      <c r="BB10">
        <v>25012</v>
      </c>
      <c r="BC10">
        <v>26210</v>
      </c>
      <c r="BD10">
        <v>48810</v>
      </c>
      <c r="BE10">
        <v>68210</v>
      </c>
      <c r="BF10">
        <v>72190</v>
      </c>
      <c r="BG10">
        <v>91280</v>
      </c>
      <c r="BH10">
        <v>94228</v>
      </c>
      <c r="BI10">
        <v>98724</v>
      </c>
      <c r="BJ10">
        <v>106406</v>
      </c>
      <c r="BK10">
        <v>116505</v>
      </c>
      <c r="BL10">
        <v>121885</v>
      </c>
      <c r="BM10">
        <v>124720</v>
      </c>
      <c r="BN10">
        <v>132105</v>
      </c>
      <c r="BO10">
        <v>150352</v>
      </c>
      <c r="BP10">
        <v>184081</v>
      </c>
      <c r="BQ10" s="12" t="str">
        <f>VLOOKUP($M$3&amp;$N$3&amp;DITE_OCTUBRE_2025[[#This Row],[SUPER]],TablaMeta[],7,0)</f>
        <v>S3 - 4</v>
      </c>
    </row>
    <row r="11" spans="1:69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v>1.079690909090909</v>
      </c>
      <c r="N11" t="s">
        <v>162</v>
      </c>
      <c r="O11" t="s">
        <v>3</v>
      </c>
      <c r="P11">
        <v>23753.200000000001</v>
      </c>
      <c r="Q11">
        <v>22000</v>
      </c>
      <c r="R11" t="s">
        <v>48</v>
      </c>
      <c r="S11">
        <v>0</v>
      </c>
      <c r="T11">
        <v>0</v>
      </c>
      <c r="U11">
        <v>500</v>
      </c>
      <c r="V11">
        <v>400</v>
      </c>
      <c r="W11">
        <v>0</v>
      </c>
      <c r="X11">
        <v>0</v>
      </c>
      <c r="Y11">
        <v>1700</v>
      </c>
      <c r="Z11">
        <v>2485</v>
      </c>
      <c r="AA11">
        <v>150</v>
      </c>
      <c r="AB11">
        <v>0</v>
      </c>
      <c r="AC11">
        <v>700</v>
      </c>
      <c r="AD11">
        <v>0</v>
      </c>
      <c r="AE11">
        <v>0</v>
      </c>
      <c r="AF11">
        <v>3500</v>
      </c>
      <c r="AG11">
        <v>10000</v>
      </c>
      <c r="AH11">
        <v>0</v>
      </c>
      <c r="AI11">
        <v>0</v>
      </c>
      <c r="AJ11">
        <v>400</v>
      </c>
      <c r="AK11">
        <v>0</v>
      </c>
      <c r="AL11">
        <v>0</v>
      </c>
      <c r="AM11">
        <v>4300</v>
      </c>
      <c r="AN11">
        <v>0</v>
      </c>
      <c r="AO11" t="s">
        <v>157</v>
      </c>
      <c r="AQ11">
        <f>VLOOKUP($M$3&amp;$N$3&amp;DITE_OCTUBRE_2025[[#This Row],[SUPER]],TablaMeta[],5,0)</f>
        <v>253237</v>
      </c>
      <c r="AR11" s="12">
        <f t="shared" ca="1" si="0"/>
        <v>200576.3</v>
      </c>
      <c r="AS11" s="18">
        <f ca="1">IFERROR(DITE_OCTUBRE_2025[[#This Row],[RECUPERO SUPERVISOR]]/DITE_OCTUBRE_2025[[#This Row],[META SUPER]],"")</f>
        <v>0.79204973996690842</v>
      </c>
      <c r="AT11" t="s">
        <v>5</v>
      </c>
      <c r="AU11">
        <v>1000</v>
      </c>
      <c r="AV11">
        <v>1600</v>
      </c>
      <c r="AW11">
        <v>4107</v>
      </c>
      <c r="AX11">
        <v>5869</v>
      </c>
      <c r="AY11">
        <v>11719</v>
      </c>
      <c r="AZ11">
        <v>22370</v>
      </c>
      <c r="BA11">
        <v>26870</v>
      </c>
      <c r="BB11">
        <v>28809</v>
      </c>
      <c r="BC11">
        <v>38059</v>
      </c>
      <c r="BD11">
        <v>39100</v>
      </c>
      <c r="BE11">
        <v>43059</v>
      </c>
      <c r="BF11">
        <v>50159</v>
      </c>
      <c r="BG11">
        <v>56568</v>
      </c>
      <c r="BH11">
        <v>62743</v>
      </c>
      <c r="BI11">
        <v>71343</v>
      </c>
      <c r="BJ11">
        <v>76712</v>
      </c>
      <c r="BK11">
        <v>99341</v>
      </c>
      <c r="BL11">
        <v>110955</v>
      </c>
      <c r="BM11">
        <v>121465</v>
      </c>
      <c r="BN11">
        <v>128309</v>
      </c>
      <c r="BO11">
        <v>174999.3</v>
      </c>
      <c r="BP11">
        <v>200576.3</v>
      </c>
      <c r="BQ11" s="12" t="str">
        <f>VLOOKUP($M$3&amp;$N$3&amp;DITE_OCTUBRE_2025[[#This Row],[SUPER]],TablaMeta[],7,0)</f>
        <v>S2</v>
      </c>
    </row>
    <row r="12" spans="1:69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v>1.011590909090909</v>
      </c>
      <c r="N12" t="s">
        <v>162</v>
      </c>
      <c r="O12" t="s">
        <v>3</v>
      </c>
      <c r="P12">
        <v>22255</v>
      </c>
      <c r="Q12">
        <v>22000</v>
      </c>
      <c r="R12" t="s">
        <v>43</v>
      </c>
      <c r="S12">
        <v>0</v>
      </c>
      <c r="T12">
        <v>600</v>
      </c>
      <c r="U12">
        <v>208</v>
      </c>
      <c r="V12">
        <v>120</v>
      </c>
      <c r="W12">
        <v>560</v>
      </c>
      <c r="X12">
        <v>0</v>
      </c>
      <c r="Y12">
        <v>0</v>
      </c>
      <c r="Z12">
        <v>0</v>
      </c>
      <c r="AA12">
        <v>2000</v>
      </c>
      <c r="AB12">
        <v>1100</v>
      </c>
      <c r="AC12">
        <v>0</v>
      </c>
      <c r="AD12">
        <v>1047</v>
      </c>
      <c r="AE12">
        <v>2500</v>
      </c>
      <c r="AF12">
        <v>0</v>
      </c>
      <c r="AG12">
        <v>0</v>
      </c>
      <c r="AH12">
        <v>1000</v>
      </c>
      <c r="AI12">
        <v>775</v>
      </c>
      <c r="AJ12">
        <v>100</v>
      </c>
      <c r="AK12">
        <v>0</v>
      </c>
      <c r="AL12">
        <v>9240</v>
      </c>
      <c r="AM12">
        <v>2525</v>
      </c>
      <c r="AN12">
        <v>1200</v>
      </c>
      <c r="AO12" t="s">
        <v>157</v>
      </c>
      <c r="AQ12">
        <f>VLOOKUP($M$3&amp;$N$3&amp;DITE_OCTUBRE_2025[[#This Row],[SUPER]],TablaMeta[],5,0)</f>
        <v>253237</v>
      </c>
      <c r="AR12" s="12">
        <f t="shared" ca="1" si="0"/>
        <v>228768</v>
      </c>
      <c r="AS12" s="18">
        <f ca="1">IFERROR(DITE_OCTUBRE_2025[[#This Row],[RECUPERO SUPERVISOR]]/DITE_OCTUBRE_2025[[#This Row],[META SUPER]],"")</f>
        <v>0.90337509921535952</v>
      </c>
      <c r="AT12" t="s">
        <v>125</v>
      </c>
      <c r="AU12">
        <v>850</v>
      </c>
      <c r="AV12">
        <v>1253</v>
      </c>
      <c r="AW12">
        <v>6103</v>
      </c>
      <c r="AX12">
        <v>8453</v>
      </c>
      <c r="AY12">
        <v>11653</v>
      </c>
      <c r="AZ12">
        <v>15278</v>
      </c>
      <c r="BA12">
        <v>19833</v>
      </c>
      <c r="BB12">
        <v>32644</v>
      </c>
      <c r="BC12">
        <v>58944</v>
      </c>
      <c r="BD12">
        <v>62814.5</v>
      </c>
      <c r="BE12">
        <v>89644.5</v>
      </c>
      <c r="BF12">
        <v>94554.5</v>
      </c>
      <c r="BG12">
        <v>98939.5</v>
      </c>
      <c r="BH12">
        <v>103539.5</v>
      </c>
      <c r="BI12">
        <v>115189.5</v>
      </c>
      <c r="BJ12">
        <v>120489.5</v>
      </c>
      <c r="BK12">
        <v>133549.5</v>
      </c>
      <c r="BL12">
        <v>134959.5</v>
      </c>
      <c r="BM12">
        <v>157859.5</v>
      </c>
      <c r="BN12">
        <v>160609.5</v>
      </c>
      <c r="BO12">
        <v>173982.5</v>
      </c>
      <c r="BP12">
        <v>228768</v>
      </c>
      <c r="BQ12" s="12" t="str">
        <f>VLOOKUP($M$3&amp;$N$3&amp;DITE_OCTUBRE_2025[[#This Row],[SUPER]],TablaMeta[],7,0)</f>
        <v>S2</v>
      </c>
    </row>
    <row r="13" spans="1:69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v>0.94077272727272732</v>
      </c>
      <c r="N13" t="s">
        <v>163</v>
      </c>
      <c r="O13" t="s">
        <v>3</v>
      </c>
      <c r="P13">
        <v>20697</v>
      </c>
      <c r="Q13">
        <v>22000</v>
      </c>
      <c r="R13" t="s">
        <v>102</v>
      </c>
      <c r="S13">
        <v>0</v>
      </c>
      <c r="T13">
        <v>500</v>
      </c>
      <c r="U13">
        <v>340</v>
      </c>
      <c r="V13">
        <v>500</v>
      </c>
      <c r="W13">
        <v>0</v>
      </c>
      <c r="X13">
        <v>0</v>
      </c>
      <c r="Y13">
        <v>2000</v>
      </c>
      <c r="Z13">
        <v>0</v>
      </c>
      <c r="AA13">
        <v>0</v>
      </c>
      <c r="AB13">
        <v>300</v>
      </c>
      <c r="AC13">
        <v>375</v>
      </c>
      <c r="AD13">
        <v>340</v>
      </c>
      <c r="AE13">
        <v>0</v>
      </c>
      <c r="AF13">
        <v>4800</v>
      </c>
      <c r="AG13">
        <v>0</v>
      </c>
      <c r="AH13">
        <v>0</v>
      </c>
      <c r="AI13">
        <v>1415</v>
      </c>
      <c r="AJ13">
        <v>3551</v>
      </c>
      <c r="AK13">
        <v>0</v>
      </c>
      <c r="AL13">
        <v>880</v>
      </c>
      <c r="AM13">
        <v>5695</v>
      </c>
      <c r="AN13">
        <v>0</v>
      </c>
      <c r="AO13" t="s">
        <v>157</v>
      </c>
      <c r="AQ13">
        <f>VLOOKUP($M$3&amp;$N$3&amp;DITE_OCTUBRE_2025[[#This Row],[SUPER]],TablaMeta[],5,0)</f>
        <v>420827</v>
      </c>
      <c r="AR13" s="12">
        <f t="shared" ca="1" si="0"/>
        <v>342321</v>
      </c>
      <c r="AS13" s="18">
        <f ca="1">IFERROR(DITE_OCTUBRE_2025[[#This Row],[RECUPERO SUPERVISOR]]/DITE_OCTUBRE_2025[[#This Row],[META SUPER]],"")</f>
        <v>0.81344828159790128</v>
      </c>
      <c r="AT13" t="s">
        <v>6</v>
      </c>
      <c r="AU13">
        <v>2300</v>
      </c>
      <c r="AV13">
        <v>4130</v>
      </c>
      <c r="AW13">
        <v>12330</v>
      </c>
      <c r="AX13">
        <v>14030</v>
      </c>
      <c r="AY13">
        <v>18670</v>
      </c>
      <c r="AZ13">
        <v>19670</v>
      </c>
      <c r="BA13">
        <v>24612</v>
      </c>
      <c r="BB13">
        <v>80661</v>
      </c>
      <c r="BC13">
        <v>116561</v>
      </c>
      <c r="BD13">
        <v>128161</v>
      </c>
      <c r="BE13">
        <v>150344</v>
      </c>
      <c r="BF13">
        <v>154444</v>
      </c>
      <c r="BG13">
        <v>163301</v>
      </c>
      <c r="BH13">
        <v>169450</v>
      </c>
      <c r="BI13">
        <v>172150</v>
      </c>
      <c r="BJ13">
        <v>173007</v>
      </c>
      <c r="BK13">
        <v>189904</v>
      </c>
      <c r="BL13">
        <v>209692</v>
      </c>
      <c r="BM13">
        <v>230292</v>
      </c>
      <c r="BN13">
        <v>238759</v>
      </c>
      <c r="BO13">
        <v>261013</v>
      </c>
      <c r="BP13">
        <v>342321</v>
      </c>
      <c r="BQ13" s="12" t="str">
        <f>VLOOKUP($M$3&amp;$N$3&amp;DITE_OCTUBRE_2025[[#This Row],[SUPER]],TablaMeta[],7,0)</f>
        <v>S1</v>
      </c>
    </row>
    <row r="14" spans="1:69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v>0.85445454545454547</v>
      </c>
      <c r="N14" t="s">
        <v>163</v>
      </c>
      <c r="O14" t="s">
        <v>3</v>
      </c>
      <c r="P14">
        <v>18798</v>
      </c>
      <c r="Q14">
        <v>22000</v>
      </c>
      <c r="R14" t="s">
        <v>97</v>
      </c>
      <c r="S14">
        <v>300</v>
      </c>
      <c r="T14">
        <v>200</v>
      </c>
      <c r="U14">
        <v>0</v>
      </c>
      <c r="V14">
        <v>1070</v>
      </c>
      <c r="W14">
        <v>1000</v>
      </c>
      <c r="X14">
        <v>300</v>
      </c>
      <c r="Y14">
        <v>0</v>
      </c>
      <c r="Z14">
        <v>1310</v>
      </c>
      <c r="AA14">
        <v>300</v>
      </c>
      <c r="AB14">
        <v>288</v>
      </c>
      <c r="AC14">
        <v>0</v>
      </c>
      <c r="AD14">
        <v>1040</v>
      </c>
      <c r="AE14">
        <v>1150</v>
      </c>
      <c r="AF14">
        <v>475</v>
      </c>
      <c r="AG14">
        <v>0</v>
      </c>
      <c r="AH14">
        <v>7500</v>
      </c>
      <c r="AI14">
        <v>1570</v>
      </c>
      <c r="AJ14">
        <v>200</v>
      </c>
      <c r="AK14">
        <v>2500</v>
      </c>
      <c r="AL14">
        <v>175</v>
      </c>
      <c r="AM14">
        <v>0</v>
      </c>
      <c r="AN14">
        <v>0</v>
      </c>
      <c r="AO14" t="s">
        <v>157</v>
      </c>
      <c r="AQ14">
        <f>VLOOKUP($M$3&amp;$N$3&amp;DITE_OCTUBRE_2025[[#This Row],[SUPER]],TablaMeta[],5,0)</f>
        <v>420827</v>
      </c>
      <c r="AR14" s="12">
        <f t="shared" ca="1" si="0"/>
        <v>251326.5</v>
      </c>
      <c r="AS14" s="18">
        <f ca="1">IFERROR(DITE_OCTUBRE_2025[[#This Row],[RECUPERO SUPERVISOR]]/DITE_OCTUBRE_2025[[#This Row],[META SUPER]],"")</f>
        <v>0.59722047302098014</v>
      </c>
      <c r="AT14" t="s">
        <v>7</v>
      </c>
      <c r="AU14">
        <v>23872</v>
      </c>
      <c r="AV14">
        <v>24910</v>
      </c>
      <c r="AW14">
        <v>30762</v>
      </c>
      <c r="AX14">
        <v>34082</v>
      </c>
      <c r="AY14">
        <v>37844</v>
      </c>
      <c r="AZ14">
        <v>40744</v>
      </c>
      <c r="BA14">
        <v>46436</v>
      </c>
      <c r="BB14">
        <v>51736</v>
      </c>
      <c r="BC14">
        <v>54086</v>
      </c>
      <c r="BD14">
        <v>72286</v>
      </c>
      <c r="BE14">
        <v>86063</v>
      </c>
      <c r="BF14">
        <v>97363</v>
      </c>
      <c r="BG14">
        <v>101613</v>
      </c>
      <c r="BH14">
        <v>125413</v>
      </c>
      <c r="BI14">
        <v>132963</v>
      </c>
      <c r="BJ14">
        <v>139833</v>
      </c>
      <c r="BK14">
        <v>156168</v>
      </c>
      <c r="BL14">
        <v>163868</v>
      </c>
      <c r="BM14">
        <v>188068</v>
      </c>
      <c r="BN14">
        <v>190568</v>
      </c>
      <c r="BO14">
        <v>217419</v>
      </c>
      <c r="BP14">
        <v>251326.5</v>
      </c>
      <c r="BQ14" s="12" t="str">
        <f>VLOOKUP($M$3&amp;$N$3&amp;DITE_OCTUBRE_2025[[#This Row],[SUPER]],TablaMeta[],7,0)</f>
        <v>S1</v>
      </c>
    </row>
    <row r="15" spans="1:69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v>0.76181818181818184</v>
      </c>
      <c r="N15" t="s">
        <v>163</v>
      </c>
      <c r="O15" t="s">
        <v>3</v>
      </c>
      <c r="P15">
        <v>16760</v>
      </c>
      <c r="Q15">
        <v>22000</v>
      </c>
      <c r="R15" t="s">
        <v>33</v>
      </c>
      <c r="S15">
        <v>0</v>
      </c>
      <c r="T15">
        <v>0</v>
      </c>
      <c r="U15">
        <v>0</v>
      </c>
      <c r="V15">
        <v>400</v>
      </c>
      <c r="W15">
        <v>150</v>
      </c>
      <c r="X15">
        <v>0</v>
      </c>
      <c r="Y15">
        <v>1062</v>
      </c>
      <c r="Z15">
        <v>0</v>
      </c>
      <c r="AA15">
        <v>300</v>
      </c>
      <c r="AB15">
        <v>618</v>
      </c>
      <c r="AC15">
        <v>0</v>
      </c>
      <c r="AD15">
        <v>2000</v>
      </c>
      <c r="AE15">
        <v>4500</v>
      </c>
      <c r="AF15">
        <v>0</v>
      </c>
      <c r="AG15">
        <v>0</v>
      </c>
      <c r="AH15">
        <v>820</v>
      </c>
      <c r="AI15">
        <v>400</v>
      </c>
      <c r="AJ15">
        <v>3000</v>
      </c>
      <c r="AK15">
        <v>500</v>
      </c>
      <c r="AL15">
        <v>0</v>
      </c>
      <c r="AM15">
        <v>1310</v>
      </c>
      <c r="AN15">
        <v>1700</v>
      </c>
      <c r="AO15" t="s">
        <v>157</v>
      </c>
      <c r="AQ15">
        <f>VLOOKUP($M$3&amp;$N$3&amp;DITE_OCTUBRE_2025[[#This Row],[SUPER]],TablaMeta[],5,0)</f>
        <v>230608</v>
      </c>
      <c r="AR15" s="12">
        <f t="shared" ca="1" si="0"/>
        <v>256139</v>
      </c>
      <c r="AS15" s="18">
        <f ca="1">IFERROR(DITE_OCTUBRE_2025[[#This Row],[RECUPERO SUPERVISOR]]/DITE_OCTUBRE_2025[[#This Row],[META SUPER]],"")</f>
        <v>1.1107116838964823</v>
      </c>
      <c r="AT15" t="s">
        <v>9</v>
      </c>
      <c r="AU15">
        <v>3018</v>
      </c>
      <c r="AV15">
        <v>5484</v>
      </c>
      <c r="AW15">
        <v>8374</v>
      </c>
      <c r="AX15">
        <v>16569</v>
      </c>
      <c r="AY15">
        <v>21229</v>
      </c>
      <c r="AZ15">
        <v>28137</v>
      </c>
      <c r="BA15">
        <v>31619</v>
      </c>
      <c r="BB15">
        <v>32449</v>
      </c>
      <c r="BC15">
        <v>46879</v>
      </c>
      <c r="BD15">
        <v>48512</v>
      </c>
      <c r="BE15">
        <v>107692</v>
      </c>
      <c r="BF15">
        <v>115926</v>
      </c>
      <c r="BG15">
        <v>124060</v>
      </c>
      <c r="BH15">
        <v>133678</v>
      </c>
      <c r="BI15">
        <v>148378</v>
      </c>
      <c r="BJ15">
        <v>170861</v>
      </c>
      <c r="BK15">
        <v>172161</v>
      </c>
      <c r="BL15">
        <v>177111</v>
      </c>
      <c r="BM15">
        <v>193341</v>
      </c>
      <c r="BN15">
        <v>212119</v>
      </c>
      <c r="BO15">
        <v>243325</v>
      </c>
      <c r="BP15">
        <v>256139</v>
      </c>
      <c r="BQ15" s="12" t="str">
        <f>VLOOKUP($M$3&amp;$N$3&amp;DITE_OCTUBRE_2025[[#This Row],[SUPER]],TablaMeta[],7,0)</f>
        <v>IBK - NUEVO</v>
      </c>
    </row>
    <row r="16" spans="1:69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v>0.69650000000000001</v>
      </c>
      <c r="N16" t="s">
        <v>164</v>
      </c>
      <c r="O16" t="s">
        <v>3</v>
      </c>
      <c r="P16">
        <v>15323</v>
      </c>
      <c r="Q16">
        <v>22000</v>
      </c>
      <c r="R16" t="s">
        <v>106</v>
      </c>
      <c r="S16">
        <v>0</v>
      </c>
      <c r="T16">
        <v>0</v>
      </c>
      <c r="U16">
        <v>0</v>
      </c>
      <c r="V16">
        <v>150</v>
      </c>
      <c r="W16">
        <v>200</v>
      </c>
      <c r="X16">
        <v>0</v>
      </c>
      <c r="Y16">
        <v>200</v>
      </c>
      <c r="Z16">
        <v>0</v>
      </c>
      <c r="AA16">
        <v>0</v>
      </c>
      <c r="AB16">
        <v>550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3305</v>
      </c>
      <c r="AK16">
        <v>0</v>
      </c>
      <c r="AL16">
        <v>600</v>
      </c>
      <c r="AM16">
        <v>6000</v>
      </c>
      <c r="AN16">
        <v>4318</v>
      </c>
      <c r="AO16" t="s">
        <v>157</v>
      </c>
      <c r="AQ16">
        <f>VLOOKUP($M$3&amp;$N$3&amp;DITE_OCTUBRE_2025[[#This Row],[SUPER]],TablaMeta[],5,0)</f>
        <v>698156</v>
      </c>
      <c r="AR16" s="12">
        <f t="shared" ca="1" si="0"/>
        <v>616860.46</v>
      </c>
      <c r="AS16" s="18">
        <f ca="1">IFERROR(DITE_OCTUBRE_2025[[#This Row],[RECUPERO SUPERVISOR]]/DITE_OCTUBRE_2025[[#This Row],[META SUPER]],"")</f>
        <v>0.88355676954720719</v>
      </c>
      <c r="AT16" t="s">
        <v>8</v>
      </c>
      <c r="AU16">
        <v>21405</v>
      </c>
      <c r="AV16">
        <v>22705</v>
      </c>
      <c r="AW16">
        <v>24981</v>
      </c>
      <c r="AX16">
        <v>41291</v>
      </c>
      <c r="AY16">
        <v>75747</v>
      </c>
      <c r="AZ16">
        <v>104207</v>
      </c>
      <c r="BA16">
        <v>170707</v>
      </c>
      <c r="BB16">
        <v>195380</v>
      </c>
      <c r="BC16">
        <v>241180</v>
      </c>
      <c r="BD16">
        <v>280722.05</v>
      </c>
      <c r="BE16">
        <v>303665.05</v>
      </c>
      <c r="BF16">
        <v>320710.05</v>
      </c>
      <c r="BG16">
        <v>331030.05</v>
      </c>
      <c r="BH16">
        <v>375619.05</v>
      </c>
      <c r="BI16">
        <v>397115.05</v>
      </c>
      <c r="BJ16">
        <v>423140.05</v>
      </c>
      <c r="BK16">
        <v>443127</v>
      </c>
      <c r="BL16">
        <v>449427.05</v>
      </c>
      <c r="BM16">
        <v>461927.05</v>
      </c>
      <c r="BN16">
        <v>516992.46</v>
      </c>
      <c r="BO16">
        <v>554471.46</v>
      </c>
      <c r="BP16">
        <v>616860.46</v>
      </c>
      <c r="BQ16" s="12" t="str">
        <f>VLOOKUP($M$3&amp;$N$3&amp;DITE_OCTUBRE_2025[[#This Row],[SUPER]],TablaMeta[],7,0)</f>
        <v>BBVA - NUEVO</v>
      </c>
    </row>
    <row r="17" spans="1:47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v>0.45429090909090908</v>
      </c>
      <c r="N17" t="s">
        <v>164</v>
      </c>
      <c r="O17" t="s">
        <v>3</v>
      </c>
      <c r="P17">
        <v>9994.4</v>
      </c>
      <c r="Q17">
        <v>22000</v>
      </c>
      <c r="R17" t="s">
        <v>53</v>
      </c>
      <c r="S17">
        <v>0</v>
      </c>
      <c r="T17">
        <v>318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7000</v>
      </c>
      <c r="AC17">
        <v>0</v>
      </c>
      <c r="AD17">
        <v>560</v>
      </c>
      <c r="AE17">
        <v>1610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560</v>
      </c>
      <c r="AO17" t="s">
        <v>157</v>
      </c>
    </row>
    <row r="18" spans="1:47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v>0.32363636363636361</v>
      </c>
      <c r="N18" t="s">
        <v>165</v>
      </c>
      <c r="O18" t="s">
        <v>3</v>
      </c>
      <c r="P18">
        <v>7120</v>
      </c>
      <c r="Q18">
        <v>22000</v>
      </c>
      <c r="R18" t="s">
        <v>101</v>
      </c>
      <c r="S18">
        <v>2100</v>
      </c>
      <c r="T18">
        <v>0</v>
      </c>
      <c r="U18">
        <v>0</v>
      </c>
      <c r="V18">
        <v>0</v>
      </c>
      <c r="W18">
        <v>0</v>
      </c>
      <c r="X18">
        <v>380</v>
      </c>
      <c r="Y18">
        <v>0</v>
      </c>
      <c r="Z18">
        <v>150</v>
      </c>
      <c r="AA18">
        <v>0</v>
      </c>
      <c r="AB18">
        <v>1000</v>
      </c>
      <c r="AC18">
        <v>0</v>
      </c>
      <c r="AD18">
        <v>2200</v>
      </c>
      <c r="AE18">
        <v>0</v>
      </c>
      <c r="AF18">
        <v>0</v>
      </c>
      <c r="AG18">
        <v>500</v>
      </c>
      <c r="AH18">
        <v>0</v>
      </c>
      <c r="AI18">
        <v>840</v>
      </c>
      <c r="AJ18">
        <v>0</v>
      </c>
      <c r="AK18">
        <v>0</v>
      </c>
      <c r="AL18">
        <v>0</v>
      </c>
      <c r="AM18">
        <v>0</v>
      </c>
      <c r="AN18">
        <v>0</v>
      </c>
      <c r="AO18" t="s">
        <v>157</v>
      </c>
    </row>
    <row r="19" spans="1:47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v>2.3106363636363638</v>
      </c>
      <c r="E19" t="s">
        <v>4</v>
      </c>
      <c r="F19" t="s">
        <v>40</v>
      </c>
      <c r="G19">
        <v>49284</v>
      </c>
      <c r="H19" t="s">
        <v>451</v>
      </c>
      <c r="I19" s="59">
        <v>45429</v>
      </c>
      <c r="J19" s="59" t="s">
        <v>536</v>
      </c>
      <c r="K19" s="59"/>
      <c r="L19" s="59"/>
      <c r="M19" s="1">
        <v>2.2401818181818181</v>
      </c>
      <c r="N19" t="s">
        <v>162</v>
      </c>
      <c r="O19" t="s">
        <v>4</v>
      </c>
      <c r="P19">
        <v>49284</v>
      </c>
      <c r="Q19">
        <v>22000</v>
      </c>
      <c r="R19" t="s">
        <v>40</v>
      </c>
      <c r="S19">
        <v>950</v>
      </c>
      <c r="T19">
        <v>0</v>
      </c>
      <c r="U19">
        <v>0</v>
      </c>
      <c r="V19">
        <v>0</v>
      </c>
      <c r="W19">
        <v>0</v>
      </c>
      <c r="X19">
        <v>1700</v>
      </c>
      <c r="Y19">
        <v>800</v>
      </c>
      <c r="Z19">
        <v>1200</v>
      </c>
      <c r="AA19">
        <v>300</v>
      </c>
      <c r="AB19">
        <v>20300</v>
      </c>
      <c r="AC19">
        <v>0</v>
      </c>
      <c r="AD19">
        <v>280</v>
      </c>
      <c r="AE19">
        <v>390</v>
      </c>
      <c r="AF19">
        <v>0</v>
      </c>
      <c r="AG19">
        <v>700</v>
      </c>
      <c r="AH19">
        <v>294</v>
      </c>
      <c r="AI19">
        <v>220</v>
      </c>
      <c r="AJ19">
        <v>1200</v>
      </c>
      <c r="AK19">
        <v>0</v>
      </c>
      <c r="AL19">
        <v>0</v>
      </c>
      <c r="AM19">
        <v>0</v>
      </c>
      <c r="AN19">
        <v>20950</v>
      </c>
      <c r="AO19" t="s">
        <v>157</v>
      </c>
    </row>
    <row r="20" spans="1:47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v>1.1891818181818181</v>
      </c>
      <c r="N20" t="s">
        <v>162</v>
      </c>
      <c r="O20" t="s">
        <v>4</v>
      </c>
      <c r="P20">
        <v>26162</v>
      </c>
      <c r="Q20">
        <v>22000</v>
      </c>
      <c r="R20" t="s">
        <v>93</v>
      </c>
      <c r="S20">
        <v>200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540</v>
      </c>
      <c r="AA20">
        <v>0</v>
      </c>
      <c r="AB20">
        <v>200</v>
      </c>
      <c r="AC20">
        <v>14200</v>
      </c>
      <c r="AD20">
        <v>100</v>
      </c>
      <c r="AE20">
        <v>5000</v>
      </c>
      <c r="AF20">
        <v>300</v>
      </c>
      <c r="AG20">
        <v>230</v>
      </c>
      <c r="AH20">
        <v>0</v>
      </c>
      <c r="AI20">
        <v>0</v>
      </c>
      <c r="AJ20">
        <v>590</v>
      </c>
      <c r="AK20">
        <v>0</v>
      </c>
      <c r="AL20">
        <v>2180</v>
      </c>
      <c r="AM20">
        <v>800</v>
      </c>
      <c r="AN20">
        <v>1822</v>
      </c>
      <c r="AO20" t="s">
        <v>157</v>
      </c>
      <c r="AU20">
        <f>SUM(DITE_OCTUBRE_2025[1])</f>
        <v>59338</v>
      </c>
    </row>
    <row r="21" spans="1:47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v>0.80418181818181822</v>
      </c>
      <c r="N21" t="s">
        <v>163</v>
      </c>
      <c r="O21" t="s">
        <v>4</v>
      </c>
      <c r="P21">
        <v>17692</v>
      </c>
      <c r="Q21">
        <v>22000</v>
      </c>
      <c r="R21" t="s">
        <v>35</v>
      </c>
      <c r="S21">
        <v>520</v>
      </c>
      <c r="T21">
        <v>600</v>
      </c>
      <c r="U21">
        <v>0</v>
      </c>
      <c r="V21">
        <v>0</v>
      </c>
      <c r="W21">
        <v>2000</v>
      </c>
      <c r="X21">
        <v>0</v>
      </c>
      <c r="Y21">
        <v>4400</v>
      </c>
      <c r="Z21">
        <v>0</v>
      </c>
      <c r="AA21">
        <v>0</v>
      </c>
      <c r="AB21">
        <v>700</v>
      </c>
      <c r="AC21">
        <v>700</v>
      </c>
      <c r="AD21">
        <v>0</v>
      </c>
      <c r="AE21">
        <v>2300</v>
      </c>
      <c r="AF21">
        <v>0</v>
      </c>
      <c r="AG21">
        <v>0</v>
      </c>
      <c r="AH21">
        <v>368</v>
      </c>
      <c r="AI21">
        <v>592</v>
      </c>
      <c r="AJ21">
        <v>290</v>
      </c>
      <c r="AK21">
        <v>0</v>
      </c>
      <c r="AL21">
        <v>0</v>
      </c>
      <c r="AM21">
        <v>2222</v>
      </c>
      <c r="AN21">
        <v>3000</v>
      </c>
      <c r="AO21" t="s">
        <v>157</v>
      </c>
    </row>
    <row r="22" spans="1:47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v>0.72113863636363629</v>
      </c>
      <c r="E22" t="s">
        <v>4</v>
      </c>
      <c r="F22" t="s">
        <v>55</v>
      </c>
      <c r="G22">
        <v>14814</v>
      </c>
      <c r="H22" t="s">
        <v>502</v>
      </c>
      <c r="I22" s="59">
        <v>45818</v>
      </c>
      <c r="J22" s="59" t="s">
        <v>536</v>
      </c>
      <c r="K22" s="59"/>
      <c r="L22" s="59"/>
      <c r="M22" s="1">
        <v>0.67336363636363639</v>
      </c>
      <c r="N22" t="s">
        <v>164</v>
      </c>
      <c r="O22" t="s">
        <v>4</v>
      </c>
      <c r="P22">
        <v>14814</v>
      </c>
      <c r="Q22">
        <v>22000</v>
      </c>
      <c r="R22" t="s">
        <v>55</v>
      </c>
      <c r="S22">
        <v>0</v>
      </c>
      <c r="T22">
        <v>0</v>
      </c>
      <c r="U22">
        <v>510</v>
      </c>
      <c r="V22">
        <v>200</v>
      </c>
      <c r="W22">
        <v>300</v>
      </c>
      <c r="X22">
        <v>0</v>
      </c>
      <c r="Y22">
        <v>149</v>
      </c>
      <c r="Z22">
        <v>0</v>
      </c>
      <c r="AA22">
        <v>0</v>
      </c>
      <c r="AB22">
        <v>0</v>
      </c>
      <c r="AC22">
        <v>4000</v>
      </c>
      <c r="AD22">
        <v>0</v>
      </c>
      <c r="AE22">
        <v>6000</v>
      </c>
      <c r="AF22">
        <v>400</v>
      </c>
      <c r="AG22">
        <v>0</v>
      </c>
      <c r="AH22">
        <v>0</v>
      </c>
      <c r="AI22">
        <v>0</v>
      </c>
      <c r="AJ22">
        <v>200</v>
      </c>
      <c r="AK22">
        <v>1575</v>
      </c>
      <c r="AL22">
        <v>480</v>
      </c>
      <c r="AM22">
        <v>200</v>
      </c>
      <c r="AN22">
        <v>800</v>
      </c>
      <c r="AO22" t="s">
        <v>157</v>
      </c>
    </row>
    <row r="23" spans="1:47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v>0.53572727272727272</v>
      </c>
      <c r="E23" t="s">
        <v>4</v>
      </c>
      <c r="F23" t="s">
        <v>71</v>
      </c>
      <c r="G23">
        <v>11786</v>
      </c>
      <c r="H23" t="s">
        <v>441</v>
      </c>
      <c r="I23" s="59">
        <v>45423</v>
      </c>
      <c r="J23" s="59" t="s">
        <v>536</v>
      </c>
      <c r="K23" s="59"/>
      <c r="L23" s="59"/>
      <c r="M23" s="1">
        <v>0.53572727272727272</v>
      </c>
      <c r="N23" t="s">
        <v>164</v>
      </c>
      <c r="O23" t="s">
        <v>4</v>
      </c>
      <c r="P23">
        <v>11786</v>
      </c>
      <c r="Q23">
        <v>22000</v>
      </c>
      <c r="R23" t="s">
        <v>71</v>
      </c>
      <c r="S23">
        <v>153</v>
      </c>
      <c r="T23">
        <v>690</v>
      </c>
      <c r="U23">
        <v>0</v>
      </c>
      <c r="V23">
        <v>0</v>
      </c>
      <c r="W23">
        <v>0</v>
      </c>
      <c r="X23">
        <v>0</v>
      </c>
      <c r="Y23">
        <v>0</v>
      </c>
      <c r="Z23">
        <v>700</v>
      </c>
      <c r="AA23">
        <v>0</v>
      </c>
      <c r="AB23">
        <v>200</v>
      </c>
      <c r="AC23">
        <v>0</v>
      </c>
      <c r="AD23">
        <v>0</v>
      </c>
      <c r="AE23">
        <v>250</v>
      </c>
      <c r="AF23">
        <v>0</v>
      </c>
      <c r="AG23">
        <v>1716</v>
      </c>
      <c r="AH23">
        <v>720</v>
      </c>
      <c r="AI23">
        <v>3637</v>
      </c>
      <c r="AJ23">
        <v>1050</v>
      </c>
      <c r="AK23">
        <v>0</v>
      </c>
      <c r="AL23">
        <v>2400</v>
      </c>
      <c r="AM23">
        <v>270</v>
      </c>
      <c r="AN23">
        <v>0</v>
      </c>
      <c r="AO23" t="s">
        <v>157</v>
      </c>
    </row>
    <row r="24" spans="1:47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v>0.53149999999999997</v>
      </c>
      <c r="N24" t="s">
        <v>164</v>
      </c>
      <c r="O24" t="s">
        <v>4</v>
      </c>
      <c r="P24">
        <v>11693</v>
      </c>
      <c r="Q24">
        <v>22000</v>
      </c>
      <c r="R24" t="s">
        <v>74</v>
      </c>
      <c r="S24">
        <v>120</v>
      </c>
      <c r="T24">
        <v>0</v>
      </c>
      <c r="U24">
        <v>250</v>
      </c>
      <c r="V24">
        <v>0</v>
      </c>
      <c r="W24">
        <v>0</v>
      </c>
      <c r="X24">
        <v>0</v>
      </c>
      <c r="Y24">
        <v>0</v>
      </c>
      <c r="Z24">
        <v>3500</v>
      </c>
      <c r="AA24">
        <v>0</v>
      </c>
      <c r="AB24">
        <v>0</v>
      </c>
      <c r="AC24">
        <v>500</v>
      </c>
      <c r="AD24">
        <v>0</v>
      </c>
      <c r="AE24">
        <v>0</v>
      </c>
      <c r="AF24">
        <v>0</v>
      </c>
      <c r="AG24">
        <v>0</v>
      </c>
      <c r="AH24">
        <v>6000</v>
      </c>
      <c r="AI24">
        <v>0</v>
      </c>
      <c r="AJ24">
        <v>0</v>
      </c>
      <c r="AK24">
        <v>260</v>
      </c>
      <c r="AL24">
        <v>300</v>
      </c>
      <c r="AM24">
        <v>340</v>
      </c>
      <c r="AN24">
        <v>423</v>
      </c>
      <c r="AO24" t="s">
        <v>157</v>
      </c>
    </row>
    <row r="25" spans="1:47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v>0.44704545454545452</v>
      </c>
      <c r="E25" t="s">
        <v>4</v>
      </c>
      <c r="F25" t="s">
        <v>92</v>
      </c>
      <c r="G25">
        <v>9835</v>
      </c>
      <c r="H25" t="s">
        <v>513</v>
      </c>
      <c r="I25" s="59">
        <v>45399</v>
      </c>
      <c r="J25" s="59" t="s">
        <v>536</v>
      </c>
      <c r="K25" s="59"/>
      <c r="L25" s="59"/>
      <c r="M25" s="1">
        <v>0.44704545454545452</v>
      </c>
      <c r="N25" t="s">
        <v>164</v>
      </c>
      <c r="O25" t="s">
        <v>4</v>
      </c>
      <c r="P25">
        <v>9835</v>
      </c>
      <c r="Q25">
        <v>22000</v>
      </c>
      <c r="R25" t="s">
        <v>92</v>
      </c>
      <c r="S25">
        <v>0</v>
      </c>
      <c r="T25">
        <v>0</v>
      </c>
      <c r="U25">
        <v>450</v>
      </c>
      <c r="V25">
        <v>2500</v>
      </c>
      <c r="W25">
        <v>400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700</v>
      </c>
      <c r="AE25">
        <v>150</v>
      </c>
      <c r="AF25">
        <v>0</v>
      </c>
      <c r="AG25">
        <v>450</v>
      </c>
      <c r="AH25">
        <v>0</v>
      </c>
      <c r="AI25">
        <v>4000</v>
      </c>
      <c r="AJ25">
        <v>0</v>
      </c>
      <c r="AK25">
        <v>200</v>
      </c>
      <c r="AL25">
        <v>0</v>
      </c>
      <c r="AM25">
        <v>985</v>
      </c>
      <c r="AN25">
        <v>0</v>
      </c>
      <c r="AO25" t="s">
        <v>157</v>
      </c>
    </row>
    <row r="26" spans="1:47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v>0.4249090909090909</v>
      </c>
      <c r="E26" t="s">
        <v>4</v>
      </c>
      <c r="F26" t="s">
        <v>114</v>
      </c>
      <c r="G26">
        <v>9348</v>
      </c>
      <c r="H26" t="s">
        <v>517</v>
      </c>
      <c r="I26" s="59">
        <v>45917</v>
      </c>
      <c r="J26" s="59" t="s">
        <v>536</v>
      </c>
      <c r="K26" s="59"/>
      <c r="L26" s="59"/>
      <c r="M26" s="1">
        <v>0.4249090909090909</v>
      </c>
      <c r="N26" t="s">
        <v>164</v>
      </c>
      <c r="O26" t="s">
        <v>4</v>
      </c>
      <c r="P26">
        <v>9348</v>
      </c>
      <c r="Q26">
        <v>22000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1000</v>
      </c>
      <c r="Z26">
        <v>0</v>
      </c>
      <c r="AA26">
        <v>398</v>
      </c>
      <c r="AB26">
        <v>750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7000</v>
      </c>
      <c r="AN26">
        <v>200</v>
      </c>
      <c r="AO26" t="s">
        <v>157</v>
      </c>
    </row>
    <row r="27" spans="1:47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v>0.42295454545454547</v>
      </c>
      <c r="N27" t="s">
        <v>164</v>
      </c>
      <c r="O27" t="s">
        <v>4</v>
      </c>
      <c r="P27">
        <v>9305</v>
      </c>
      <c r="Q27">
        <v>22000</v>
      </c>
      <c r="R27" t="s">
        <v>49</v>
      </c>
      <c r="S27">
        <v>0</v>
      </c>
      <c r="T27">
        <v>0</v>
      </c>
      <c r="U27">
        <v>0</v>
      </c>
      <c r="V27">
        <v>0</v>
      </c>
      <c r="W27">
        <v>680</v>
      </c>
      <c r="X27">
        <v>0</v>
      </c>
      <c r="Y27">
        <v>0</v>
      </c>
      <c r="Z27">
        <v>0</v>
      </c>
      <c r="AA27">
        <v>500</v>
      </c>
      <c r="AB27">
        <v>100</v>
      </c>
      <c r="AC27">
        <v>0</v>
      </c>
      <c r="AD27">
        <v>900</v>
      </c>
      <c r="AE27">
        <v>0</v>
      </c>
      <c r="AF27">
        <v>2000</v>
      </c>
      <c r="AG27">
        <v>0</v>
      </c>
      <c r="AH27">
        <v>0</v>
      </c>
      <c r="AI27">
        <v>1000</v>
      </c>
      <c r="AJ27">
        <v>500</v>
      </c>
      <c r="AK27">
        <v>0</v>
      </c>
      <c r="AL27">
        <v>700</v>
      </c>
      <c r="AM27">
        <v>0</v>
      </c>
      <c r="AN27">
        <v>2600</v>
      </c>
      <c r="AO27" t="s">
        <v>157</v>
      </c>
    </row>
    <row r="28" spans="1:47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v>0.42222727272727273</v>
      </c>
      <c r="N28" t="s">
        <v>164</v>
      </c>
      <c r="O28" t="s">
        <v>4</v>
      </c>
      <c r="P28">
        <v>9289</v>
      </c>
      <c r="Q28">
        <v>22000</v>
      </c>
      <c r="R28" t="s">
        <v>104</v>
      </c>
      <c r="S28">
        <v>0</v>
      </c>
      <c r="T28">
        <v>0</v>
      </c>
      <c r="U28">
        <v>200</v>
      </c>
      <c r="V28">
        <v>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350</v>
      </c>
      <c r="AC28">
        <v>0</v>
      </c>
      <c r="AD28">
        <v>0</v>
      </c>
      <c r="AE28">
        <v>0</v>
      </c>
      <c r="AF28">
        <v>248</v>
      </c>
      <c r="AG28">
        <v>1400</v>
      </c>
      <c r="AH28">
        <v>300</v>
      </c>
      <c r="AI28">
        <v>650</v>
      </c>
      <c r="AJ28">
        <v>750</v>
      </c>
      <c r="AK28">
        <v>0</v>
      </c>
      <c r="AL28">
        <v>1000</v>
      </c>
      <c r="AM28">
        <v>1230</v>
      </c>
      <c r="AN28">
        <v>861</v>
      </c>
      <c r="AO28" t="s">
        <v>157</v>
      </c>
    </row>
    <row r="29" spans="1:47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v>1.3979375000000001</v>
      </c>
      <c r="N29" t="s">
        <v>162</v>
      </c>
      <c r="O29" t="s">
        <v>125</v>
      </c>
      <c r="P29">
        <v>44734</v>
      </c>
      <c r="Q29">
        <v>32000</v>
      </c>
      <c r="R29" t="s">
        <v>65</v>
      </c>
      <c r="S29">
        <v>0</v>
      </c>
      <c r="T29">
        <v>0</v>
      </c>
      <c r="U29">
        <v>1200</v>
      </c>
      <c r="V29">
        <v>0</v>
      </c>
      <c r="W29">
        <v>3200</v>
      </c>
      <c r="X29">
        <v>0</v>
      </c>
      <c r="Y29">
        <v>800</v>
      </c>
      <c r="Z29">
        <v>0</v>
      </c>
      <c r="AA29">
        <v>3400</v>
      </c>
      <c r="AB29">
        <v>0</v>
      </c>
      <c r="AC29">
        <v>0</v>
      </c>
      <c r="AD29">
        <v>1500</v>
      </c>
      <c r="AE29">
        <v>1498</v>
      </c>
      <c r="AF29">
        <v>1000</v>
      </c>
      <c r="AG29">
        <v>0</v>
      </c>
      <c r="AH29">
        <v>1400</v>
      </c>
      <c r="AI29">
        <v>3200</v>
      </c>
      <c r="AJ29">
        <v>0</v>
      </c>
      <c r="AK29">
        <v>13300</v>
      </c>
      <c r="AL29">
        <v>0</v>
      </c>
      <c r="AM29">
        <v>10319</v>
      </c>
      <c r="AN29">
        <v>3917</v>
      </c>
      <c r="AO29" t="s">
        <v>158</v>
      </c>
    </row>
    <row r="30" spans="1:47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v>0.99562499999999998</v>
      </c>
      <c r="N30" t="s">
        <v>163</v>
      </c>
      <c r="O30" t="s">
        <v>125</v>
      </c>
      <c r="P30">
        <v>31860</v>
      </c>
      <c r="Q30">
        <v>32000</v>
      </c>
      <c r="R30" t="s">
        <v>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105</v>
      </c>
      <c r="Z30">
        <v>0</v>
      </c>
      <c r="AA30">
        <v>0</v>
      </c>
      <c r="AB30">
        <v>985</v>
      </c>
      <c r="AC30">
        <v>13000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2500</v>
      </c>
      <c r="AJ30">
        <v>0</v>
      </c>
      <c r="AK30">
        <v>0</v>
      </c>
      <c r="AL30">
        <v>600</v>
      </c>
      <c r="AM30">
        <v>860</v>
      </c>
      <c r="AN30">
        <v>13810</v>
      </c>
      <c r="AO30" t="s">
        <v>158</v>
      </c>
    </row>
    <row r="31" spans="1:47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v>0.95665624999999999</v>
      </c>
      <c r="N31" t="s">
        <v>163</v>
      </c>
      <c r="O31" t="s">
        <v>125</v>
      </c>
      <c r="P31">
        <v>30613</v>
      </c>
      <c r="Q31">
        <v>32000</v>
      </c>
      <c r="R31" t="s">
        <v>16</v>
      </c>
      <c r="S31">
        <v>600</v>
      </c>
      <c r="T31">
        <v>0</v>
      </c>
      <c r="U31">
        <v>600</v>
      </c>
      <c r="V31">
        <v>0</v>
      </c>
      <c r="W31">
        <v>0</v>
      </c>
      <c r="X31">
        <v>600</v>
      </c>
      <c r="Y31">
        <v>0</v>
      </c>
      <c r="Z31">
        <v>8800</v>
      </c>
      <c r="AA31">
        <v>2900</v>
      </c>
      <c r="AB31">
        <v>0</v>
      </c>
      <c r="AC31">
        <v>0</v>
      </c>
      <c r="AD31">
        <v>3000</v>
      </c>
      <c r="AE31">
        <v>600</v>
      </c>
      <c r="AF31">
        <v>0</v>
      </c>
      <c r="AG31">
        <v>0</v>
      </c>
      <c r="AH31">
        <v>400</v>
      </c>
      <c r="AI31">
        <v>0</v>
      </c>
      <c r="AJ31">
        <v>0</v>
      </c>
      <c r="AK31">
        <v>5000</v>
      </c>
      <c r="AL31">
        <v>1500</v>
      </c>
      <c r="AM31">
        <v>813</v>
      </c>
      <c r="AN31">
        <v>5800</v>
      </c>
      <c r="AO31" t="s">
        <v>158</v>
      </c>
    </row>
    <row r="32" spans="1:47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v>0.96356249999999999</v>
      </c>
      <c r="N32" t="s">
        <v>163</v>
      </c>
      <c r="O32" t="s">
        <v>125</v>
      </c>
      <c r="P32">
        <v>30834</v>
      </c>
      <c r="Q32">
        <v>32000</v>
      </c>
      <c r="R32" t="s">
        <v>15</v>
      </c>
      <c r="S32">
        <v>250</v>
      </c>
      <c r="T32">
        <v>0</v>
      </c>
      <c r="U32">
        <v>600</v>
      </c>
      <c r="V32">
        <v>0</v>
      </c>
      <c r="W32">
        <v>0</v>
      </c>
      <c r="X32">
        <v>0</v>
      </c>
      <c r="Y32">
        <v>330</v>
      </c>
      <c r="Z32">
        <v>254</v>
      </c>
      <c r="AA32">
        <v>20000</v>
      </c>
      <c r="AB32">
        <v>0</v>
      </c>
      <c r="AC32">
        <v>0</v>
      </c>
      <c r="AD32">
        <v>0</v>
      </c>
      <c r="AE32">
        <v>500</v>
      </c>
      <c r="AF32">
        <v>3000</v>
      </c>
      <c r="AG32">
        <v>2100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3800</v>
      </c>
      <c r="AO32" t="s">
        <v>158</v>
      </c>
    </row>
    <row r="33" spans="1:41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v>0.95709374999999997</v>
      </c>
      <c r="N33" t="s">
        <v>163</v>
      </c>
      <c r="O33" t="s">
        <v>125</v>
      </c>
      <c r="P33">
        <v>30627</v>
      </c>
      <c r="Q33">
        <v>32000</v>
      </c>
      <c r="R33" t="s">
        <v>38</v>
      </c>
      <c r="S33">
        <v>0</v>
      </c>
      <c r="T33">
        <v>0</v>
      </c>
      <c r="U33">
        <v>550</v>
      </c>
      <c r="V33">
        <v>850</v>
      </c>
      <c r="W33">
        <v>0</v>
      </c>
      <c r="X33">
        <v>180</v>
      </c>
      <c r="Y33">
        <v>1600</v>
      </c>
      <c r="Z33">
        <v>0</v>
      </c>
      <c r="AA33">
        <v>0</v>
      </c>
      <c r="AB33">
        <v>903.5</v>
      </c>
      <c r="AC33">
        <v>13500</v>
      </c>
      <c r="AD33">
        <v>0</v>
      </c>
      <c r="AE33">
        <v>787</v>
      </c>
      <c r="AF33">
        <v>0</v>
      </c>
      <c r="AG33">
        <v>600</v>
      </c>
      <c r="AH33">
        <v>1300</v>
      </c>
      <c r="AI33">
        <v>1000</v>
      </c>
      <c r="AJ33">
        <v>100</v>
      </c>
      <c r="AK33">
        <v>4000</v>
      </c>
      <c r="AL33">
        <v>0</v>
      </c>
      <c r="AM33">
        <v>0</v>
      </c>
      <c r="AN33">
        <v>5256.5</v>
      </c>
      <c r="AO33" t="s">
        <v>158</v>
      </c>
    </row>
    <row r="34" spans="1:41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v>0.86759375000000005</v>
      </c>
      <c r="N34" t="s">
        <v>163</v>
      </c>
      <c r="O34" t="s">
        <v>125</v>
      </c>
      <c r="P34">
        <v>27763</v>
      </c>
      <c r="Q34">
        <v>32000</v>
      </c>
      <c r="R34" t="s">
        <v>12</v>
      </c>
      <c r="S34">
        <v>0</v>
      </c>
      <c r="T34">
        <v>0</v>
      </c>
      <c r="U34">
        <v>1900</v>
      </c>
      <c r="V34">
        <v>600</v>
      </c>
      <c r="W34">
        <v>0</v>
      </c>
      <c r="X34">
        <v>1100</v>
      </c>
      <c r="Y34">
        <v>800</v>
      </c>
      <c r="Z34">
        <v>3500</v>
      </c>
      <c r="AA34">
        <v>0</v>
      </c>
      <c r="AB34">
        <v>1282</v>
      </c>
      <c r="AC34">
        <v>0</v>
      </c>
      <c r="AD34">
        <v>0</v>
      </c>
      <c r="AE34">
        <v>0</v>
      </c>
      <c r="AF34">
        <v>600</v>
      </c>
      <c r="AG34">
        <v>3450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531</v>
      </c>
      <c r="AN34">
        <v>14000</v>
      </c>
      <c r="AO34" t="s">
        <v>158</v>
      </c>
    </row>
    <row r="35" spans="1:41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v>0.44046875000000002</v>
      </c>
      <c r="N35" t="s">
        <v>164</v>
      </c>
      <c r="O35" t="s">
        <v>125</v>
      </c>
      <c r="P35">
        <v>14095</v>
      </c>
      <c r="Q35">
        <v>32000</v>
      </c>
      <c r="R35" t="s">
        <v>73</v>
      </c>
      <c r="S35">
        <v>0</v>
      </c>
      <c r="T35">
        <v>0</v>
      </c>
      <c r="U35">
        <v>0</v>
      </c>
      <c r="V35">
        <v>0</v>
      </c>
      <c r="W35">
        <v>0</v>
      </c>
      <c r="X35">
        <v>1200</v>
      </c>
      <c r="Y35">
        <v>650</v>
      </c>
      <c r="Z35">
        <v>0</v>
      </c>
      <c r="AA35">
        <v>0</v>
      </c>
      <c r="AB35">
        <v>700</v>
      </c>
      <c r="AC35">
        <v>0</v>
      </c>
      <c r="AD35">
        <v>0</v>
      </c>
      <c r="AE35">
        <v>0</v>
      </c>
      <c r="AF35">
        <v>0</v>
      </c>
      <c r="AG35">
        <v>4500</v>
      </c>
      <c r="AH35">
        <v>0</v>
      </c>
      <c r="AI35">
        <v>510</v>
      </c>
      <c r="AJ35">
        <v>0</v>
      </c>
      <c r="AK35">
        <v>0</v>
      </c>
      <c r="AL35">
        <v>0</v>
      </c>
      <c r="AM35">
        <v>850</v>
      </c>
      <c r="AN35">
        <v>5685</v>
      </c>
      <c r="AO35" t="s">
        <v>158</v>
      </c>
    </row>
    <row r="36" spans="1:41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v>0.3354375</v>
      </c>
      <c r="N36" t="s">
        <v>165</v>
      </c>
      <c r="O36" t="s">
        <v>125</v>
      </c>
      <c r="P36">
        <v>10734</v>
      </c>
      <c r="Q36">
        <v>32000</v>
      </c>
      <c r="R36" t="s">
        <v>41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320</v>
      </c>
      <c r="Z36">
        <v>257</v>
      </c>
      <c r="AA36">
        <v>0</v>
      </c>
      <c r="AB36">
        <v>0</v>
      </c>
      <c r="AC36">
        <v>330</v>
      </c>
      <c r="AD36">
        <v>230</v>
      </c>
      <c r="AE36">
        <v>0</v>
      </c>
      <c r="AF36">
        <v>0</v>
      </c>
      <c r="AG36">
        <v>1000</v>
      </c>
      <c r="AH36">
        <v>300</v>
      </c>
      <c r="AI36">
        <v>5500</v>
      </c>
      <c r="AJ36">
        <v>1000</v>
      </c>
      <c r="AK36">
        <v>0</v>
      </c>
      <c r="AL36">
        <v>650</v>
      </c>
      <c r="AM36">
        <v>0</v>
      </c>
      <c r="AN36">
        <v>1147</v>
      </c>
      <c r="AO36" t="s">
        <v>158</v>
      </c>
    </row>
    <row r="37" spans="1:41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v>1.5539156250000001</v>
      </c>
      <c r="N37" t="s">
        <v>162</v>
      </c>
      <c r="O37" t="s">
        <v>5</v>
      </c>
      <c r="P37">
        <v>49725.3</v>
      </c>
      <c r="Q37">
        <v>32000</v>
      </c>
      <c r="R37" t="s">
        <v>72</v>
      </c>
      <c r="S37">
        <v>0</v>
      </c>
      <c r="T37">
        <v>0</v>
      </c>
      <c r="U37">
        <v>0</v>
      </c>
      <c r="V37">
        <v>0</v>
      </c>
      <c r="W37">
        <v>850</v>
      </c>
      <c r="X37">
        <v>0</v>
      </c>
      <c r="Y37">
        <v>0</v>
      </c>
      <c r="Z37">
        <v>650</v>
      </c>
      <c r="AA37">
        <v>950</v>
      </c>
      <c r="AB37">
        <v>1041</v>
      </c>
      <c r="AC37">
        <v>2200</v>
      </c>
      <c r="AD37">
        <v>0</v>
      </c>
      <c r="AE37">
        <v>0</v>
      </c>
      <c r="AF37">
        <v>0</v>
      </c>
      <c r="AG37">
        <v>0</v>
      </c>
      <c r="AH37">
        <v>2000</v>
      </c>
      <c r="AI37">
        <v>4684</v>
      </c>
      <c r="AJ37">
        <v>1100</v>
      </c>
      <c r="AK37">
        <v>9500</v>
      </c>
      <c r="AL37">
        <v>0</v>
      </c>
      <c r="AM37">
        <v>25550.3</v>
      </c>
      <c r="AN37">
        <v>1200</v>
      </c>
      <c r="AO37" t="s">
        <v>158</v>
      </c>
    </row>
    <row r="38" spans="1:41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v>0.94443750000000004</v>
      </c>
      <c r="N38" t="s">
        <v>163</v>
      </c>
      <c r="O38" t="s">
        <v>5</v>
      </c>
      <c r="P38">
        <v>30222</v>
      </c>
      <c r="Q38">
        <v>32000</v>
      </c>
      <c r="R38" t="s">
        <v>68</v>
      </c>
      <c r="S38">
        <v>1000</v>
      </c>
      <c r="T38">
        <v>0</v>
      </c>
      <c r="U38">
        <v>0</v>
      </c>
      <c r="V38">
        <v>0</v>
      </c>
      <c r="W38">
        <v>300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2100</v>
      </c>
      <c r="AE38">
        <v>0</v>
      </c>
      <c r="AF38">
        <v>0</v>
      </c>
      <c r="AG38">
        <v>2000</v>
      </c>
      <c r="AH38">
        <v>269</v>
      </c>
      <c r="AI38">
        <v>10545</v>
      </c>
      <c r="AJ38">
        <v>8000</v>
      </c>
      <c r="AK38">
        <v>0</v>
      </c>
      <c r="AL38">
        <v>261</v>
      </c>
      <c r="AM38">
        <v>4920</v>
      </c>
      <c r="AN38">
        <v>4000</v>
      </c>
      <c r="AO38" t="s">
        <v>158</v>
      </c>
    </row>
    <row r="39" spans="1:41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v>0.89687499999999998</v>
      </c>
      <c r="N39" t="s">
        <v>163</v>
      </c>
      <c r="O39" t="s">
        <v>5</v>
      </c>
      <c r="P39">
        <v>28700</v>
      </c>
      <c r="Q39">
        <v>32000</v>
      </c>
      <c r="R39" t="s">
        <v>79</v>
      </c>
      <c r="S39">
        <v>0</v>
      </c>
      <c r="T39">
        <v>0</v>
      </c>
      <c r="U39">
        <v>0</v>
      </c>
      <c r="V39">
        <v>0</v>
      </c>
      <c r="W39">
        <v>2200</v>
      </c>
      <c r="X39">
        <v>9000</v>
      </c>
      <c r="Y39">
        <v>0</v>
      </c>
      <c r="Z39">
        <v>0</v>
      </c>
      <c r="AA39">
        <v>3600</v>
      </c>
      <c r="AB39">
        <v>0</v>
      </c>
      <c r="AC39">
        <v>0</v>
      </c>
      <c r="AD39">
        <v>1500</v>
      </c>
      <c r="AE39">
        <v>0</v>
      </c>
      <c r="AF39">
        <v>0</v>
      </c>
      <c r="AG39">
        <v>6600</v>
      </c>
      <c r="AH39">
        <v>0</v>
      </c>
      <c r="AI39">
        <v>1600</v>
      </c>
      <c r="AJ39">
        <v>0</v>
      </c>
      <c r="AK39">
        <v>0</v>
      </c>
      <c r="AL39">
        <v>0</v>
      </c>
      <c r="AM39">
        <v>3800</v>
      </c>
      <c r="AN39">
        <v>400</v>
      </c>
      <c r="AO39" t="s">
        <v>158</v>
      </c>
    </row>
    <row r="40" spans="1:41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v>0.88634374999999999</v>
      </c>
      <c r="N40" t="s">
        <v>163</v>
      </c>
      <c r="O40" t="s">
        <v>5</v>
      </c>
      <c r="P40">
        <v>28363</v>
      </c>
      <c r="Q40">
        <v>32000</v>
      </c>
      <c r="R40" t="s">
        <v>96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1200</v>
      </c>
      <c r="AB40">
        <v>0</v>
      </c>
      <c r="AC40">
        <v>600</v>
      </c>
      <c r="AD40">
        <v>0</v>
      </c>
      <c r="AE40">
        <v>0</v>
      </c>
      <c r="AF40">
        <v>5000</v>
      </c>
      <c r="AG40">
        <v>0</v>
      </c>
      <c r="AH40">
        <v>300</v>
      </c>
      <c r="AI40">
        <v>5800</v>
      </c>
      <c r="AJ40">
        <v>0</v>
      </c>
      <c r="AK40">
        <v>160</v>
      </c>
      <c r="AL40">
        <v>4383</v>
      </c>
      <c r="AM40">
        <v>4520</v>
      </c>
      <c r="AN40">
        <v>0</v>
      </c>
      <c r="AO40" t="s">
        <v>158</v>
      </c>
    </row>
    <row r="41" spans="1:41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v>0.80615625000000002</v>
      </c>
      <c r="N41" t="s">
        <v>163</v>
      </c>
      <c r="O41" t="s">
        <v>5</v>
      </c>
      <c r="P41">
        <v>25797</v>
      </c>
      <c r="Q41">
        <v>32000</v>
      </c>
      <c r="R41" t="s">
        <v>26</v>
      </c>
      <c r="S41">
        <v>0</v>
      </c>
      <c r="T41">
        <v>0</v>
      </c>
      <c r="U41">
        <v>400</v>
      </c>
      <c r="V41">
        <v>1262</v>
      </c>
      <c r="W41">
        <v>0</v>
      </c>
      <c r="X41">
        <v>800</v>
      </c>
      <c r="Y41">
        <v>3000</v>
      </c>
      <c r="Z41">
        <v>0</v>
      </c>
      <c r="AA41">
        <v>3500</v>
      </c>
      <c r="AB41">
        <v>0</v>
      </c>
      <c r="AC41">
        <v>800</v>
      </c>
      <c r="AD41">
        <v>3500</v>
      </c>
      <c r="AE41">
        <v>510</v>
      </c>
      <c r="AF41">
        <v>775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11250</v>
      </c>
      <c r="AO41" t="s">
        <v>158</v>
      </c>
    </row>
    <row r="42" spans="1:41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v>0.60309374999999998</v>
      </c>
      <c r="N42" t="s">
        <v>164</v>
      </c>
      <c r="O42" t="s">
        <v>5</v>
      </c>
      <c r="P42">
        <v>19299</v>
      </c>
      <c r="Q42">
        <v>32000</v>
      </c>
      <c r="R42" t="s">
        <v>103</v>
      </c>
      <c r="S42">
        <v>0</v>
      </c>
      <c r="T42">
        <v>0</v>
      </c>
      <c r="U42">
        <v>1900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5899</v>
      </c>
      <c r="AF42">
        <v>0</v>
      </c>
      <c r="AG42">
        <v>0</v>
      </c>
      <c r="AH42">
        <v>0</v>
      </c>
      <c r="AI42">
        <v>0</v>
      </c>
      <c r="AJ42">
        <v>1500</v>
      </c>
      <c r="AK42">
        <v>0</v>
      </c>
      <c r="AL42">
        <v>2000</v>
      </c>
      <c r="AM42">
        <v>6500</v>
      </c>
      <c r="AN42">
        <v>1500</v>
      </c>
      <c r="AO42" t="s">
        <v>158</v>
      </c>
    </row>
    <row r="43" spans="1:41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v>0.36471874999999998</v>
      </c>
      <c r="N43" t="s">
        <v>165</v>
      </c>
      <c r="O43" t="s">
        <v>5</v>
      </c>
      <c r="P43">
        <v>11671</v>
      </c>
      <c r="Q43">
        <v>32000</v>
      </c>
      <c r="R43" t="s">
        <v>28</v>
      </c>
      <c r="S43">
        <v>0</v>
      </c>
      <c r="T43">
        <v>0</v>
      </c>
      <c r="U43">
        <v>207</v>
      </c>
      <c r="V43">
        <v>0</v>
      </c>
      <c r="W43">
        <v>2000</v>
      </c>
      <c r="X43">
        <v>0</v>
      </c>
      <c r="Y43">
        <v>800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400</v>
      </c>
      <c r="AG43">
        <v>0</v>
      </c>
      <c r="AH43">
        <v>2700</v>
      </c>
      <c r="AI43">
        <v>0</v>
      </c>
      <c r="AJ43">
        <v>314</v>
      </c>
      <c r="AK43">
        <v>850</v>
      </c>
      <c r="AL43">
        <v>0</v>
      </c>
      <c r="AM43">
        <v>400</v>
      </c>
      <c r="AN43">
        <v>6400</v>
      </c>
      <c r="AO43" t="s">
        <v>158</v>
      </c>
    </row>
    <row r="44" spans="1:41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v>0.13746875</v>
      </c>
      <c r="N44" t="s">
        <v>165</v>
      </c>
      <c r="O44" t="s">
        <v>5</v>
      </c>
      <c r="P44">
        <v>4399</v>
      </c>
      <c r="Q44">
        <v>32000</v>
      </c>
      <c r="R44" t="s">
        <v>70</v>
      </c>
      <c r="S44">
        <v>0</v>
      </c>
      <c r="T44">
        <v>0</v>
      </c>
      <c r="U44">
        <v>0</v>
      </c>
      <c r="V44">
        <v>0</v>
      </c>
      <c r="W44">
        <v>0</v>
      </c>
      <c r="X44">
        <v>851</v>
      </c>
      <c r="Y44">
        <v>0</v>
      </c>
      <c r="Z44">
        <v>1289</v>
      </c>
      <c r="AA44">
        <v>0</v>
      </c>
      <c r="AB44">
        <v>0</v>
      </c>
      <c r="AC44">
        <v>359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700</v>
      </c>
      <c r="AK44">
        <v>0</v>
      </c>
      <c r="AL44">
        <v>200</v>
      </c>
      <c r="AM44">
        <v>1000</v>
      </c>
      <c r="AN44">
        <v>11250</v>
      </c>
      <c r="AO44" t="s">
        <v>158</v>
      </c>
    </row>
    <row r="45" spans="1:41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v>1.9579811320754716</v>
      </c>
      <c r="N45" t="s">
        <v>162</v>
      </c>
      <c r="O45" t="s">
        <v>6</v>
      </c>
      <c r="P45">
        <v>103773</v>
      </c>
      <c r="Q45">
        <v>53000</v>
      </c>
      <c r="R45" t="s">
        <v>75</v>
      </c>
      <c r="S45">
        <v>1500</v>
      </c>
      <c r="T45">
        <v>0</v>
      </c>
      <c r="U45">
        <v>600</v>
      </c>
      <c r="V45">
        <v>0</v>
      </c>
      <c r="W45">
        <v>0</v>
      </c>
      <c r="X45">
        <v>0</v>
      </c>
      <c r="Y45">
        <v>0</v>
      </c>
      <c r="Z45">
        <v>28500</v>
      </c>
      <c r="AA45">
        <v>15000</v>
      </c>
      <c r="AB45">
        <v>0</v>
      </c>
      <c r="AC45">
        <v>0</v>
      </c>
      <c r="AD45">
        <v>7000</v>
      </c>
      <c r="AE45">
        <v>0</v>
      </c>
      <c r="AF45">
        <v>0</v>
      </c>
      <c r="AG45">
        <v>0</v>
      </c>
      <c r="AH45">
        <v>0</v>
      </c>
      <c r="AI45">
        <v>2000</v>
      </c>
      <c r="AJ45">
        <v>10000</v>
      </c>
      <c r="AK45">
        <v>1600</v>
      </c>
      <c r="AL45">
        <v>420</v>
      </c>
      <c r="AM45">
        <v>1049</v>
      </c>
      <c r="AN45">
        <v>36104</v>
      </c>
      <c r="AO45" t="s">
        <v>159</v>
      </c>
    </row>
    <row r="46" spans="1:41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v>1.1283018867924528</v>
      </c>
      <c r="N46" t="s">
        <v>162</v>
      </c>
      <c r="O46" t="s">
        <v>6</v>
      </c>
      <c r="P46">
        <v>59800</v>
      </c>
      <c r="Q46">
        <v>53000</v>
      </c>
      <c r="R46" t="s">
        <v>22</v>
      </c>
      <c r="S46">
        <v>0</v>
      </c>
      <c r="T46">
        <v>1000</v>
      </c>
      <c r="U46">
        <v>0</v>
      </c>
      <c r="V46">
        <v>0</v>
      </c>
      <c r="W46">
        <v>145</v>
      </c>
      <c r="X46">
        <v>350</v>
      </c>
      <c r="Y46">
        <v>3000</v>
      </c>
      <c r="Z46">
        <v>17830</v>
      </c>
      <c r="AA46">
        <v>0</v>
      </c>
      <c r="AB46">
        <v>0</v>
      </c>
      <c r="AC46">
        <v>19283</v>
      </c>
      <c r="AD46">
        <v>2300</v>
      </c>
      <c r="AE46">
        <v>0</v>
      </c>
      <c r="AF46">
        <v>0</v>
      </c>
      <c r="AG46">
        <v>800</v>
      </c>
      <c r="AH46">
        <v>687</v>
      </c>
      <c r="AI46">
        <v>4000</v>
      </c>
      <c r="AJ46">
        <v>0</v>
      </c>
      <c r="AK46">
        <v>0</v>
      </c>
      <c r="AL46">
        <v>5000</v>
      </c>
      <c r="AM46">
        <v>0</v>
      </c>
      <c r="AN46">
        <v>5405</v>
      </c>
      <c r="AO46" t="s">
        <v>159</v>
      </c>
    </row>
    <row r="47" spans="1:41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v>0.95771698113207548</v>
      </c>
      <c r="N47" t="s">
        <v>163</v>
      </c>
      <c r="O47" t="s">
        <v>6</v>
      </c>
      <c r="P47">
        <v>50759</v>
      </c>
      <c r="Q47">
        <v>53000</v>
      </c>
      <c r="R47" t="s">
        <v>78</v>
      </c>
      <c r="S47">
        <v>0</v>
      </c>
      <c r="T47">
        <v>0</v>
      </c>
      <c r="U47">
        <v>1000</v>
      </c>
      <c r="V47">
        <v>500</v>
      </c>
      <c r="W47">
        <v>0</v>
      </c>
      <c r="X47">
        <v>400</v>
      </c>
      <c r="Y47">
        <v>0</v>
      </c>
      <c r="Z47">
        <v>2150</v>
      </c>
      <c r="AA47">
        <v>20000</v>
      </c>
      <c r="AB47">
        <v>3600</v>
      </c>
      <c r="AC47">
        <v>0</v>
      </c>
      <c r="AD47">
        <v>0</v>
      </c>
      <c r="AE47">
        <v>1057</v>
      </c>
      <c r="AF47">
        <v>1219</v>
      </c>
      <c r="AG47">
        <v>300</v>
      </c>
      <c r="AH47">
        <v>420</v>
      </c>
      <c r="AI47">
        <v>1847</v>
      </c>
      <c r="AJ47">
        <v>88</v>
      </c>
      <c r="AK47">
        <v>4000</v>
      </c>
      <c r="AL47">
        <v>1000</v>
      </c>
      <c r="AM47">
        <v>8600</v>
      </c>
      <c r="AN47">
        <v>4578</v>
      </c>
      <c r="AO47" t="s">
        <v>159</v>
      </c>
    </row>
    <row r="48" spans="1:41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v>0.84499999999999997</v>
      </c>
      <c r="E48" t="s">
        <v>6</v>
      </c>
      <c r="F48" t="s">
        <v>67</v>
      </c>
      <c r="G48">
        <v>44785</v>
      </c>
      <c r="H48" t="s">
        <v>408</v>
      </c>
      <c r="I48" s="59">
        <v>44811</v>
      </c>
      <c r="J48" s="59" t="s">
        <v>536</v>
      </c>
      <c r="K48" s="59"/>
      <c r="L48" s="59"/>
      <c r="M48" s="1">
        <v>0.84499999999999997</v>
      </c>
      <c r="N48" t="s">
        <v>163</v>
      </c>
      <c r="O48" t="s">
        <v>6</v>
      </c>
      <c r="P48">
        <v>44785</v>
      </c>
      <c r="Q48">
        <v>53000</v>
      </c>
      <c r="R48" t="s">
        <v>67</v>
      </c>
      <c r="S48">
        <v>200</v>
      </c>
      <c r="T48">
        <v>830</v>
      </c>
      <c r="U48">
        <v>0</v>
      </c>
      <c r="V48">
        <v>331</v>
      </c>
      <c r="W48">
        <v>0</v>
      </c>
      <c r="X48">
        <v>250</v>
      </c>
      <c r="Y48">
        <v>1650</v>
      </c>
      <c r="Z48">
        <v>7000</v>
      </c>
      <c r="AA48">
        <v>0</v>
      </c>
      <c r="AB48">
        <v>4000</v>
      </c>
      <c r="AC48">
        <v>0</v>
      </c>
      <c r="AD48">
        <v>0</v>
      </c>
      <c r="AE48">
        <v>0</v>
      </c>
      <c r="AF48">
        <v>1000</v>
      </c>
      <c r="AG48">
        <v>1000</v>
      </c>
      <c r="AH48">
        <v>0</v>
      </c>
      <c r="AI48">
        <v>5000</v>
      </c>
      <c r="AJ48">
        <v>700</v>
      </c>
      <c r="AK48">
        <v>12700</v>
      </c>
      <c r="AL48">
        <v>1315</v>
      </c>
      <c r="AM48">
        <v>2505</v>
      </c>
      <c r="AN48">
        <v>6304</v>
      </c>
      <c r="AO48" t="s">
        <v>159</v>
      </c>
    </row>
    <row r="49" spans="1:41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v>0.73509433962264148</v>
      </c>
      <c r="N49" t="s">
        <v>163</v>
      </c>
      <c r="O49" t="s">
        <v>6</v>
      </c>
      <c r="P49">
        <v>38960</v>
      </c>
      <c r="Q49">
        <v>53000</v>
      </c>
      <c r="R49" t="s">
        <v>99</v>
      </c>
      <c r="S49">
        <v>0</v>
      </c>
      <c r="T49">
        <v>0</v>
      </c>
      <c r="U49">
        <v>5000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4000</v>
      </c>
      <c r="AC49">
        <v>2900</v>
      </c>
      <c r="AD49">
        <v>0</v>
      </c>
      <c r="AE49">
        <v>0</v>
      </c>
      <c r="AF49">
        <v>150</v>
      </c>
      <c r="AG49">
        <v>0</v>
      </c>
      <c r="AH49">
        <v>0</v>
      </c>
      <c r="AI49">
        <v>1580</v>
      </c>
      <c r="AJ49">
        <v>2000</v>
      </c>
      <c r="AK49">
        <v>0</v>
      </c>
      <c r="AL49">
        <v>0</v>
      </c>
      <c r="AM49">
        <v>4000</v>
      </c>
      <c r="AN49">
        <v>19330</v>
      </c>
      <c r="AO49" t="s">
        <v>159</v>
      </c>
    </row>
    <row r="50" spans="1:41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v>0.27422641509433965</v>
      </c>
      <c r="N50" t="s">
        <v>165</v>
      </c>
      <c r="O50" t="s">
        <v>6</v>
      </c>
      <c r="P50">
        <v>14534</v>
      </c>
      <c r="Q50">
        <v>53000</v>
      </c>
      <c r="R50" t="s">
        <v>36</v>
      </c>
      <c r="S50">
        <v>0</v>
      </c>
      <c r="T50">
        <v>0</v>
      </c>
      <c r="U50">
        <v>600</v>
      </c>
      <c r="V50">
        <v>0</v>
      </c>
      <c r="W50">
        <v>1164</v>
      </c>
      <c r="X50">
        <v>0</v>
      </c>
      <c r="Y50">
        <v>0</v>
      </c>
      <c r="Z50">
        <v>0</v>
      </c>
      <c r="AA50">
        <v>900</v>
      </c>
      <c r="AB50">
        <v>0</v>
      </c>
      <c r="AC50">
        <v>0</v>
      </c>
      <c r="AD50">
        <v>0</v>
      </c>
      <c r="AE50">
        <v>600</v>
      </c>
      <c r="AF50">
        <v>930</v>
      </c>
      <c r="AG50">
        <v>600</v>
      </c>
      <c r="AH50">
        <v>0</v>
      </c>
      <c r="AI50">
        <v>0</v>
      </c>
      <c r="AJ50">
        <v>3000</v>
      </c>
      <c r="AK50">
        <v>300</v>
      </c>
      <c r="AL50">
        <v>0</v>
      </c>
      <c r="AM50">
        <v>600</v>
      </c>
      <c r="AN50">
        <v>6000</v>
      </c>
      <c r="AO50" t="s">
        <v>159</v>
      </c>
    </row>
    <row r="51" spans="1:41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v>0.19549056603773585</v>
      </c>
      <c r="N51" t="s">
        <v>165</v>
      </c>
      <c r="O51" t="s">
        <v>6</v>
      </c>
      <c r="P51">
        <v>10361</v>
      </c>
      <c r="Q51">
        <v>53000</v>
      </c>
      <c r="R51" t="s">
        <v>29</v>
      </c>
      <c r="S51">
        <v>600</v>
      </c>
      <c r="T51">
        <v>0</v>
      </c>
      <c r="U51">
        <v>0</v>
      </c>
      <c r="V51">
        <v>0</v>
      </c>
      <c r="W51">
        <v>0</v>
      </c>
      <c r="X51">
        <v>0</v>
      </c>
      <c r="Y51">
        <v>292</v>
      </c>
      <c r="Z51">
        <v>569</v>
      </c>
      <c r="AA51">
        <v>0</v>
      </c>
      <c r="AB51">
        <v>0</v>
      </c>
      <c r="AC51">
        <v>0</v>
      </c>
      <c r="AD51">
        <v>0</v>
      </c>
      <c r="AE51">
        <v>2600</v>
      </c>
      <c r="AF51">
        <v>0</v>
      </c>
      <c r="AG51">
        <v>0</v>
      </c>
      <c r="AH51">
        <v>500</v>
      </c>
      <c r="AI51">
        <v>0</v>
      </c>
      <c r="AJ51">
        <v>0</v>
      </c>
      <c r="AK51">
        <v>2000</v>
      </c>
      <c r="AL51">
        <v>0</v>
      </c>
      <c r="AM51">
        <v>3000</v>
      </c>
      <c r="AN51">
        <v>800</v>
      </c>
      <c r="AO51" t="s">
        <v>159</v>
      </c>
    </row>
    <row r="52" spans="1:41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v>0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v>0.14150943396226415</v>
      </c>
      <c r="N52" t="s">
        <v>165</v>
      </c>
      <c r="O52" t="s">
        <v>6</v>
      </c>
      <c r="P52">
        <v>7500</v>
      </c>
      <c r="Q52">
        <v>53000</v>
      </c>
      <c r="R52" t="s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1000</v>
      </c>
      <c r="AJ52">
        <v>4000</v>
      </c>
      <c r="AK52">
        <v>0</v>
      </c>
      <c r="AL52">
        <v>0</v>
      </c>
      <c r="AM52">
        <v>2500</v>
      </c>
      <c r="AN52">
        <v>0</v>
      </c>
      <c r="AO52" t="s">
        <v>159</v>
      </c>
    </row>
    <row r="53" spans="1:41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v>1.3928301886792454</v>
      </c>
      <c r="N53" t="s">
        <v>162</v>
      </c>
      <c r="O53" t="s">
        <v>7</v>
      </c>
      <c r="P53">
        <v>73820</v>
      </c>
      <c r="Q53">
        <v>53000</v>
      </c>
      <c r="R53" t="s">
        <v>69</v>
      </c>
      <c r="S53">
        <v>20000</v>
      </c>
      <c r="T53">
        <v>0</v>
      </c>
      <c r="U53">
        <v>800</v>
      </c>
      <c r="V53">
        <v>0</v>
      </c>
      <c r="W53">
        <v>0</v>
      </c>
      <c r="X53">
        <v>2100</v>
      </c>
      <c r="Y53">
        <v>0</v>
      </c>
      <c r="Z53">
        <v>3000</v>
      </c>
      <c r="AA53">
        <v>0</v>
      </c>
      <c r="AB53">
        <v>10000</v>
      </c>
      <c r="AC53">
        <v>7500</v>
      </c>
      <c r="AD53">
        <v>5900</v>
      </c>
      <c r="AE53">
        <v>3000</v>
      </c>
      <c r="AF53">
        <v>0</v>
      </c>
      <c r="AG53">
        <v>0</v>
      </c>
      <c r="AH53">
        <v>170</v>
      </c>
      <c r="AI53">
        <v>3500</v>
      </c>
      <c r="AJ53">
        <v>0</v>
      </c>
      <c r="AK53">
        <v>10500</v>
      </c>
      <c r="AL53">
        <v>0</v>
      </c>
      <c r="AM53">
        <v>5600</v>
      </c>
      <c r="AN53">
        <v>1600</v>
      </c>
      <c r="AO53" t="s">
        <v>159</v>
      </c>
    </row>
    <row r="54" spans="1:41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v>0.55169811320754714</v>
      </c>
      <c r="N54" t="s">
        <v>164</v>
      </c>
      <c r="O54" t="s">
        <v>7</v>
      </c>
      <c r="P54">
        <v>29240</v>
      </c>
      <c r="Q54">
        <v>53000</v>
      </c>
      <c r="R54" t="s">
        <v>60</v>
      </c>
      <c r="S54">
        <v>0</v>
      </c>
      <c r="T54">
        <v>0</v>
      </c>
      <c r="U54">
        <v>750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1200</v>
      </c>
      <c r="AE54">
        <v>0</v>
      </c>
      <c r="AF54">
        <v>0</v>
      </c>
      <c r="AG54">
        <v>5000</v>
      </c>
      <c r="AH54">
        <v>0</v>
      </c>
      <c r="AI54">
        <v>3000</v>
      </c>
      <c r="AJ54">
        <v>1700</v>
      </c>
      <c r="AK54">
        <v>1500</v>
      </c>
      <c r="AL54">
        <v>0</v>
      </c>
      <c r="AM54">
        <v>700</v>
      </c>
      <c r="AN54">
        <v>15050</v>
      </c>
      <c r="AO54" t="s">
        <v>159</v>
      </c>
    </row>
    <row r="55" spans="1:41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v>0.53179245283018872</v>
      </c>
      <c r="E55" t="s">
        <v>7</v>
      </c>
      <c r="F55" t="s">
        <v>21</v>
      </c>
      <c r="G55">
        <v>28185</v>
      </c>
      <c r="H55" t="s">
        <v>436</v>
      </c>
      <c r="I55" s="59">
        <v>44301</v>
      </c>
      <c r="J55" s="59" t="s">
        <v>536</v>
      </c>
      <c r="K55" s="59"/>
      <c r="L55" s="59"/>
      <c r="M55" s="1">
        <v>0.53179245283018872</v>
      </c>
      <c r="N55" t="s">
        <v>164</v>
      </c>
      <c r="O55" t="s">
        <v>7</v>
      </c>
      <c r="P55">
        <v>28185</v>
      </c>
      <c r="Q55">
        <v>53000</v>
      </c>
      <c r="R55" t="s">
        <v>21</v>
      </c>
      <c r="S55">
        <v>0</v>
      </c>
      <c r="T55">
        <v>0</v>
      </c>
      <c r="U55">
        <v>0</v>
      </c>
      <c r="V55">
        <v>0</v>
      </c>
      <c r="W55">
        <v>400</v>
      </c>
      <c r="X55">
        <v>0</v>
      </c>
      <c r="Y55">
        <v>0</v>
      </c>
      <c r="Z55">
        <v>0</v>
      </c>
      <c r="AA55">
        <v>0</v>
      </c>
      <c r="AB55">
        <v>600</v>
      </c>
      <c r="AC55">
        <v>0</v>
      </c>
      <c r="AD55">
        <v>0</v>
      </c>
      <c r="AE55">
        <v>600</v>
      </c>
      <c r="AF55">
        <v>15800</v>
      </c>
      <c r="AG55">
        <v>2300</v>
      </c>
      <c r="AH55">
        <v>0</v>
      </c>
      <c r="AI55">
        <v>485</v>
      </c>
      <c r="AJ55">
        <v>1000</v>
      </c>
      <c r="AK55">
        <v>0</v>
      </c>
      <c r="AL55">
        <v>0</v>
      </c>
      <c r="AM55">
        <v>7000</v>
      </c>
      <c r="AN55">
        <v>0</v>
      </c>
      <c r="AO55" t="s">
        <v>159</v>
      </c>
    </row>
    <row r="56" spans="1:41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v>0.46154716981132077</v>
      </c>
      <c r="E56" t="s">
        <v>7</v>
      </c>
      <c r="F56" t="s">
        <v>11</v>
      </c>
      <c r="G56">
        <v>24962</v>
      </c>
      <c r="H56" t="s">
        <v>456</v>
      </c>
      <c r="I56" s="59">
        <v>45371</v>
      </c>
      <c r="J56" s="59" t="s">
        <v>536</v>
      </c>
      <c r="K56" s="59"/>
      <c r="L56" s="59"/>
      <c r="M56" s="1">
        <v>0.47098113207547171</v>
      </c>
      <c r="N56" t="s">
        <v>164</v>
      </c>
      <c r="O56" t="s">
        <v>7</v>
      </c>
      <c r="P56">
        <v>24962</v>
      </c>
      <c r="Q56">
        <v>53000</v>
      </c>
      <c r="R56" t="s">
        <v>11</v>
      </c>
      <c r="S56">
        <v>0</v>
      </c>
      <c r="T56">
        <v>0</v>
      </c>
      <c r="U56">
        <v>0</v>
      </c>
      <c r="V56">
        <v>1200</v>
      </c>
      <c r="W56">
        <v>0</v>
      </c>
      <c r="X56">
        <v>0</v>
      </c>
      <c r="Y56">
        <v>392</v>
      </c>
      <c r="Z56">
        <v>0</v>
      </c>
      <c r="AA56">
        <v>0</v>
      </c>
      <c r="AB56">
        <v>3000</v>
      </c>
      <c r="AC56">
        <v>0</v>
      </c>
      <c r="AD56">
        <v>4000</v>
      </c>
      <c r="AE56">
        <v>0</v>
      </c>
      <c r="AF56">
        <v>5000</v>
      </c>
      <c r="AG56">
        <v>250</v>
      </c>
      <c r="AH56">
        <v>0</v>
      </c>
      <c r="AI56">
        <v>0</v>
      </c>
      <c r="AJ56">
        <v>4000</v>
      </c>
      <c r="AK56">
        <v>5000</v>
      </c>
      <c r="AL56">
        <v>1000</v>
      </c>
      <c r="AM56">
        <v>0</v>
      </c>
      <c r="AN56">
        <v>1120</v>
      </c>
      <c r="AO56" t="s">
        <v>159</v>
      </c>
    </row>
    <row r="57" spans="1:41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v>0.45182075471698113</v>
      </c>
      <c r="N57" t="s">
        <v>164</v>
      </c>
      <c r="O57" t="s">
        <v>7</v>
      </c>
      <c r="P57">
        <v>23946.5</v>
      </c>
      <c r="Q57">
        <v>53000</v>
      </c>
      <c r="R57" t="s">
        <v>58</v>
      </c>
      <c r="S57">
        <v>0</v>
      </c>
      <c r="T57">
        <v>0</v>
      </c>
      <c r="U57">
        <v>4000</v>
      </c>
      <c r="V57">
        <v>2120</v>
      </c>
      <c r="W57">
        <v>700</v>
      </c>
      <c r="X57">
        <v>0</v>
      </c>
      <c r="Y57">
        <v>0</v>
      </c>
      <c r="Z57">
        <v>2300</v>
      </c>
      <c r="AA57">
        <v>0</v>
      </c>
      <c r="AB57">
        <v>600</v>
      </c>
      <c r="AC57">
        <v>0</v>
      </c>
      <c r="AD57">
        <v>0</v>
      </c>
      <c r="AE57">
        <v>0</v>
      </c>
      <c r="AF57">
        <v>3000</v>
      </c>
      <c r="AG57">
        <v>0</v>
      </c>
      <c r="AH57">
        <v>0</v>
      </c>
      <c r="AI57">
        <v>688</v>
      </c>
      <c r="AJ57">
        <v>400</v>
      </c>
      <c r="AK57">
        <v>0</v>
      </c>
      <c r="AL57">
        <v>0</v>
      </c>
      <c r="AM57">
        <v>700</v>
      </c>
      <c r="AN57">
        <v>9838</v>
      </c>
      <c r="AO57" t="s">
        <v>159</v>
      </c>
    </row>
    <row r="58" spans="1:41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v>0.34173584905660376</v>
      </c>
      <c r="N58" t="s">
        <v>165</v>
      </c>
      <c r="O58" t="s">
        <v>7</v>
      </c>
      <c r="P58">
        <v>18112</v>
      </c>
      <c r="Q58">
        <v>53000</v>
      </c>
      <c r="R58" t="s">
        <v>105</v>
      </c>
      <c r="S58">
        <v>0</v>
      </c>
      <c r="T58">
        <v>0</v>
      </c>
      <c r="U58">
        <v>0</v>
      </c>
      <c r="V58">
        <v>0</v>
      </c>
      <c r="W58">
        <v>1862</v>
      </c>
      <c r="X58">
        <v>0</v>
      </c>
      <c r="Y58">
        <v>0</v>
      </c>
      <c r="Z58">
        <v>0</v>
      </c>
      <c r="AA58">
        <v>0</v>
      </c>
      <c r="AB58">
        <v>4000</v>
      </c>
      <c r="AC58">
        <v>4000</v>
      </c>
      <c r="AD58">
        <v>0</v>
      </c>
      <c r="AE58">
        <v>0</v>
      </c>
      <c r="AF58">
        <v>0</v>
      </c>
      <c r="AG58">
        <v>0</v>
      </c>
      <c r="AH58">
        <v>4200</v>
      </c>
      <c r="AI58">
        <v>700</v>
      </c>
      <c r="AJ58">
        <v>0</v>
      </c>
      <c r="AK58">
        <v>1800</v>
      </c>
      <c r="AL58">
        <v>0</v>
      </c>
      <c r="AM58">
        <v>0</v>
      </c>
      <c r="AN58">
        <v>1550</v>
      </c>
      <c r="AO58" t="s">
        <v>159</v>
      </c>
    </row>
    <row r="59" spans="1:41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v>0.26792452830188679</v>
      </c>
      <c r="N59" t="s">
        <v>165</v>
      </c>
      <c r="O59" t="s">
        <v>7</v>
      </c>
      <c r="P59">
        <v>14200</v>
      </c>
      <c r="Q59">
        <v>53000</v>
      </c>
      <c r="R59" t="s">
        <v>18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600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2100</v>
      </c>
      <c r="AJ59">
        <v>0</v>
      </c>
      <c r="AK59">
        <v>5000</v>
      </c>
      <c r="AL59">
        <v>0</v>
      </c>
      <c r="AM59">
        <v>1500</v>
      </c>
      <c r="AN59">
        <v>5000</v>
      </c>
      <c r="AO59" t="s">
        <v>159</v>
      </c>
    </row>
    <row r="60" spans="1:41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v>0.26111320754716982</v>
      </c>
      <c r="N60" t="s">
        <v>165</v>
      </c>
      <c r="O60" t="s">
        <v>7</v>
      </c>
      <c r="P60">
        <v>13839</v>
      </c>
      <c r="Q60">
        <v>53000</v>
      </c>
      <c r="R60" t="s">
        <v>20</v>
      </c>
      <c r="S60">
        <v>0</v>
      </c>
      <c r="T60">
        <v>700</v>
      </c>
      <c r="U60">
        <v>0</v>
      </c>
      <c r="V60">
        <v>0</v>
      </c>
      <c r="W60">
        <v>800</v>
      </c>
      <c r="X60">
        <v>0</v>
      </c>
      <c r="Y60">
        <v>0</v>
      </c>
      <c r="Z60">
        <v>0</v>
      </c>
      <c r="AA60">
        <v>2350</v>
      </c>
      <c r="AB60">
        <v>0</v>
      </c>
      <c r="AC60">
        <v>2277</v>
      </c>
      <c r="AD60">
        <v>0</v>
      </c>
      <c r="AE60">
        <v>650</v>
      </c>
      <c r="AF60">
        <v>0</v>
      </c>
      <c r="AG60">
        <v>0</v>
      </c>
      <c r="AH60">
        <v>0</v>
      </c>
      <c r="AI60">
        <v>4362</v>
      </c>
      <c r="AJ60">
        <v>0</v>
      </c>
      <c r="AK60">
        <v>400</v>
      </c>
      <c r="AL60">
        <v>0</v>
      </c>
      <c r="AM60">
        <v>2300</v>
      </c>
      <c r="AN60">
        <v>0</v>
      </c>
      <c r="AO60" t="s">
        <v>159</v>
      </c>
    </row>
    <row r="61" spans="1:41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v>1.6813142857142858</v>
      </c>
      <c r="N61" t="s">
        <v>162</v>
      </c>
      <c r="O61" t="s">
        <v>8</v>
      </c>
      <c r="P61">
        <v>117692</v>
      </c>
      <c r="Q61">
        <v>70000</v>
      </c>
      <c r="R61" t="s">
        <v>61</v>
      </c>
      <c r="S61">
        <v>1000</v>
      </c>
      <c r="T61">
        <v>0</v>
      </c>
      <c r="U61">
        <v>700</v>
      </c>
      <c r="V61">
        <v>0</v>
      </c>
      <c r="W61">
        <v>0</v>
      </c>
      <c r="X61">
        <v>0</v>
      </c>
      <c r="Y61">
        <v>21000</v>
      </c>
      <c r="Z61">
        <v>0</v>
      </c>
      <c r="AA61">
        <v>0</v>
      </c>
      <c r="AB61">
        <v>10855</v>
      </c>
      <c r="AC61">
        <v>11500</v>
      </c>
      <c r="AD61">
        <v>6690</v>
      </c>
      <c r="AE61">
        <v>0</v>
      </c>
      <c r="AF61">
        <v>20000</v>
      </c>
      <c r="AG61">
        <v>8200</v>
      </c>
      <c r="AH61">
        <v>7300</v>
      </c>
      <c r="AI61">
        <v>6132</v>
      </c>
      <c r="AJ61">
        <v>900</v>
      </c>
      <c r="AK61">
        <v>0</v>
      </c>
      <c r="AL61">
        <v>3600</v>
      </c>
      <c r="AM61">
        <v>6315</v>
      </c>
      <c r="AN61">
        <v>13500</v>
      </c>
      <c r="AO61" t="s">
        <v>155</v>
      </c>
    </row>
    <row r="62" spans="1:41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v>1.3420721428571429</v>
      </c>
      <c r="E62" t="s">
        <v>8</v>
      </c>
      <c r="F62" t="s">
        <v>81</v>
      </c>
      <c r="G62">
        <v>93850.05</v>
      </c>
      <c r="H62" t="s">
        <v>452</v>
      </c>
      <c r="I62" s="59">
        <v>45506</v>
      </c>
      <c r="J62" s="59" t="s">
        <v>536</v>
      </c>
      <c r="K62" s="59"/>
      <c r="L62" s="59"/>
      <c r="M62" s="1">
        <v>1.3407150000000001</v>
      </c>
      <c r="N62" t="s">
        <v>162</v>
      </c>
      <c r="O62" t="s">
        <v>8</v>
      </c>
      <c r="P62">
        <v>93850.05</v>
      </c>
      <c r="Q62">
        <v>70000</v>
      </c>
      <c r="R62" t="s">
        <v>81</v>
      </c>
      <c r="S62">
        <v>400</v>
      </c>
      <c r="T62">
        <v>0</v>
      </c>
      <c r="U62">
        <v>1000</v>
      </c>
      <c r="V62">
        <v>0</v>
      </c>
      <c r="W62">
        <v>18882</v>
      </c>
      <c r="X62">
        <v>0</v>
      </c>
      <c r="Y62">
        <v>2000</v>
      </c>
      <c r="Z62">
        <v>223</v>
      </c>
      <c r="AA62">
        <v>36128.050000000003</v>
      </c>
      <c r="AB62">
        <v>3959</v>
      </c>
      <c r="AC62">
        <v>220</v>
      </c>
      <c r="AD62">
        <v>355</v>
      </c>
      <c r="AE62">
        <v>3020</v>
      </c>
      <c r="AF62">
        <v>6260</v>
      </c>
      <c r="AG62">
        <v>1741</v>
      </c>
      <c r="AH62">
        <v>0</v>
      </c>
      <c r="AI62">
        <v>5900</v>
      </c>
      <c r="AJ62">
        <v>400</v>
      </c>
      <c r="AK62">
        <v>600</v>
      </c>
      <c r="AL62">
        <v>6000</v>
      </c>
      <c r="AM62">
        <v>6430</v>
      </c>
      <c r="AN62">
        <v>332</v>
      </c>
      <c r="AO62" t="s">
        <v>155</v>
      </c>
    </row>
    <row r="63" spans="1:41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v>0.91550585714285715</v>
      </c>
      <c r="N63" t="s">
        <v>163</v>
      </c>
      <c r="O63" t="s">
        <v>8</v>
      </c>
      <c r="P63">
        <v>64085.41</v>
      </c>
      <c r="Q63">
        <v>70000</v>
      </c>
      <c r="R63" t="s">
        <v>76</v>
      </c>
      <c r="S63">
        <v>1000</v>
      </c>
      <c r="T63">
        <v>0</v>
      </c>
      <c r="U63">
        <v>0</v>
      </c>
      <c r="V63">
        <v>10000</v>
      </c>
      <c r="W63">
        <v>4775</v>
      </c>
      <c r="X63">
        <v>600</v>
      </c>
      <c r="Y63">
        <v>0</v>
      </c>
      <c r="Z63">
        <v>20500</v>
      </c>
      <c r="AA63">
        <v>0</v>
      </c>
      <c r="AB63">
        <v>2500</v>
      </c>
      <c r="AC63">
        <v>3875</v>
      </c>
      <c r="AD63">
        <v>0</v>
      </c>
      <c r="AE63">
        <v>0</v>
      </c>
      <c r="AF63">
        <v>0</v>
      </c>
      <c r="AG63">
        <v>9780</v>
      </c>
      <c r="AH63">
        <v>900</v>
      </c>
      <c r="AI63">
        <v>0</v>
      </c>
      <c r="AJ63">
        <v>0</v>
      </c>
      <c r="AK63">
        <v>900</v>
      </c>
      <c r="AL63">
        <v>815.41</v>
      </c>
      <c r="AM63">
        <v>7150</v>
      </c>
      <c r="AN63">
        <v>1290</v>
      </c>
      <c r="AO63" t="s">
        <v>155</v>
      </c>
    </row>
    <row r="64" spans="1:41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v>0.87085714285714289</v>
      </c>
      <c r="E64" t="s">
        <v>8</v>
      </c>
      <c r="F64" t="s">
        <v>10</v>
      </c>
      <c r="G64">
        <v>60760</v>
      </c>
      <c r="H64" t="s">
        <v>476</v>
      </c>
      <c r="I64" s="59">
        <v>44706</v>
      </c>
      <c r="J64" s="59" t="s">
        <v>536</v>
      </c>
      <c r="K64" s="59"/>
      <c r="L64" s="59"/>
      <c r="M64" s="1">
        <v>0.86799999999999999</v>
      </c>
      <c r="N64" t="s">
        <v>163</v>
      </c>
      <c r="O64" t="s">
        <v>8</v>
      </c>
      <c r="P64">
        <v>60760</v>
      </c>
      <c r="Q64">
        <v>70000</v>
      </c>
      <c r="R64" t="s">
        <v>10</v>
      </c>
      <c r="S64">
        <v>0</v>
      </c>
      <c r="T64">
        <v>0</v>
      </c>
      <c r="U64">
        <v>0</v>
      </c>
      <c r="V64">
        <v>0</v>
      </c>
      <c r="W64">
        <v>0</v>
      </c>
      <c r="X64">
        <v>3700</v>
      </c>
      <c r="Y64">
        <v>0</v>
      </c>
      <c r="Z64">
        <v>3250</v>
      </c>
      <c r="AA64">
        <v>0</v>
      </c>
      <c r="AB64">
        <v>1405</v>
      </c>
      <c r="AC64">
        <v>2000</v>
      </c>
      <c r="AD64">
        <v>500</v>
      </c>
      <c r="AE64">
        <v>4300</v>
      </c>
      <c r="AF64">
        <v>8000</v>
      </c>
      <c r="AG64">
        <v>775</v>
      </c>
      <c r="AH64">
        <v>9900</v>
      </c>
      <c r="AI64">
        <v>4380</v>
      </c>
      <c r="AJ64">
        <v>0</v>
      </c>
      <c r="AK64">
        <v>1000</v>
      </c>
      <c r="AL64">
        <v>0</v>
      </c>
      <c r="AM64">
        <v>8550</v>
      </c>
      <c r="AN64">
        <v>13000</v>
      </c>
      <c r="AO64" t="s">
        <v>155</v>
      </c>
    </row>
    <row r="65" spans="1:41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v>0.7658571428571429</v>
      </c>
      <c r="N65" t="s">
        <v>163</v>
      </c>
      <c r="O65" t="s">
        <v>8</v>
      </c>
      <c r="P65">
        <v>53610</v>
      </c>
      <c r="Q65">
        <v>70000</v>
      </c>
      <c r="R65" t="s">
        <v>27</v>
      </c>
      <c r="S65">
        <v>0</v>
      </c>
      <c r="T65">
        <v>0</v>
      </c>
      <c r="U65">
        <v>576</v>
      </c>
      <c r="V65">
        <v>5000</v>
      </c>
      <c r="W65">
        <v>0</v>
      </c>
      <c r="X65">
        <v>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1000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25600</v>
      </c>
      <c r="AM65">
        <v>2034</v>
      </c>
      <c r="AN65">
        <v>18400</v>
      </c>
      <c r="AO65" t="s">
        <v>155</v>
      </c>
    </row>
    <row r="66" spans="1:41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v>0.64928571428571424</v>
      </c>
      <c r="N66" t="s">
        <v>164</v>
      </c>
      <c r="O66" t="s">
        <v>8</v>
      </c>
      <c r="P66">
        <v>45450</v>
      </c>
      <c r="Q66">
        <v>70000</v>
      </c>
      <c r="R66" t="s">
        <v>42</v>
      </c>
      <c r="S66">
        <v>0</v>
      </c>
      <c r="T66">
        <v>0</v>
      </c>
      <c r="U66">
        <v>0</v>
      </c>
      <c r="V66">
        <v>0</v>
      </c>
      <c r="W66">
        <v>0</v>
      </c>
      <c r="X66">
        <v>8700</v>
      </c>
      <c r="Y66">
        <v>3500</v>
      </c>
      <c r="Z66">
        <v>0</v>
      </c>
      <c r="AA66">
        <v>2900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5000</v>
      </c>
      <c r="AI66">
        <v>650</v>
      </c>
      <c r="AJ66">
        <v>0</v>
      </c>
      <c r="AK66">
        <v>5000</v>
      </c>
      <c r="AL66">
        <v>3200</v>
      </c>
      <c r="AM66">
        <v>5500</v>
      </c>
      <c r="AN66">
        <v>11000</v>
      </c>
      <c r="AO66" t="s">
        <v>155</v>
      </c>
    </row>
    <row r="67" spans="1:41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v>0.52096428571428577</v>
      </c>
      <c r="E67" t="s">
        <v>8</v>
      </c>
      <c r="F67" t="s">
        <v>25</v>
      </c>
      <c r="G67">
        <v>36071</v>
      </c>
      <c r="H67" t="s">
        <v>473</v>
      </c>
      <c r="I67" s="59">
        <v>44820</v>
      </c>
      <c r="J67" s="59" t="s">
        <v>536</v>
      </c>
      <c r="K67" s="59"/>
      <c r="L67" s="59"/>
      <c r="M67" s="1">
        <v>0.51529999999999998</v>
      </c>
      <c r="N67" t="s">
        <v>164</v>
      </c>
      <c r="O67" t="s">
        <v>8</v>
      </c>
      <c r="P67">
        <v>36071</v>
      </c>
      <c r="Q67">
        <v>70000</v>
      </c>
      <c r="R67" t="s">
        <v>25</v>
      </c>
      <c r="S67">
        <v>3000</v>
      </c>
      <c r="T67">
        <v>0</v>
      </c>
      <c r="U67">
        <v>0</v>
      </c>
      <c r="V67">
        <v>0</v>
      </c>
      <c r="W67">
        <v>5000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1598</v>
      </c>
      <c r="AD67">
        <v>6500</v>
      </c>
      <c r="AE67">
        <v>506</v>
      </c>
      <c r="AF67">
        <v>0</v>
      </c>
      <c r="AG67">
        <v>0</v>
      </c>
      <c r="AH67">
        <v>2925</v>
      </c>
      <c r="AI67">
        <v>2925</v>
      </c>
      <c r="AJ67">
        <v>5000</v>
      </c>
      <c r="AK67">
        <v>0</v>
      </c>
      <c r="AL67">
        <v>6500</v>
      </c>
      <c r="AM67">
        <v>0</v>
      </c>
      <c r="AN67">
        <v>2117</v>
      </c>
      <c r="AO67" t="s">
        <v>155</v>
      </c>
    </row>
    <row r="68" spans="1:41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v>0.28318571428571426</v>
      </c>
      <c r="N68" t="s">
        <v>165</v>
      </c>
      <c r="O68" t="s">
        <v>8</v>
      </c>
      <c r="P68">
        <v>19823</v>
      </c>
      <c r="Q68">
        <v>70000</v>
      </c>
      <c r="R68" t="s">
        <v>57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5000</v>
      </c>
      <c r="AB68">
        <v>9000</v>
      </c>
      <c r="AC68">
        <v>0</v>
      </c>
      <c r="AD68">
        <v>0</v>
      </c>
      <c r="AE68">
        <v>0</v>
      </c>
      <c r="AF68">
        <v>823</v>
      </c>
      <c r="AG68">
        <v>0</v>
      </c>
      <c r="AH68">
        <v>0</v>
      </c>
      <c r="AI68">
        <v>0</v>
      </c>
      <c r="AJ68">
        <v>0</v>
      </c>
      <c r="AK68">
        <v>5000</v>
      </c>
      <c r="AL68">
        <v>0</v>
      </c>
      <c r="AM68">
        <v>0</v>
      </c>
      <c r="AN68">
        <v>0</v>
      </c>
      <c r="AO68" t="s">
        <v>155</v>
      </c>
    </row>
    <row r="69" spans="1:41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v>1.7717391304347827</v>
      </c>
      <c r="N69" t="s">
        <v>162</v>
      </c>
      <c r="O69" t="s">
        <v>9</v>
      </c>
      <c r="P69">
        <v>40750</v>
      </c>
      <c r="Q69">
        <v>23000</v>
      </c>
      <c r="R69" t="s">
        <v>80</v>
      </c>
      <c r="S69">
        <v>235</v>
      </c>
      <c r="T69">
        <v>0</v>
      </c>
      <c r="U69">
        <v>0</v>
      </c>
      <c r="V69">
        <v>0</v>
      </c>
      <c r="W69">
        <v>0</v>
      </c>
      <c r="X69">
        <v>800</v>
      </c>
      <c r="Y69">
        <v>365</v>
      </c>
      <c r="Z69">
        <v>0</v>
      </c>
      <c r="AA69">
        <v>800</v>
      </c>
      <c r="AB69">
        <v>0</v>
      </c>
      <c r="AC69">
        <v>38000</v>
      </c>
      <c r="AD69">
        <v>0</v>
      </c>
      <c r="AE69">
        <v>400</v>
      </c>
      <c r="AF69">
        <v>150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s">
        <v>156</v>
      </c>
    </row>
    <row r="70" spans="1:41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v>1.4431739130434782</v>
      </c>
      <c r="N70" t="s">
        <v>162</v>
      </c>
      <c r="O70" t="s">
        <v>9</v>
      </c>
      <c r="P70">
        <v>33193</v>
      </c>
      <c r="Q70">
        <v>23000</v>
      </c>
      <c r="R70" t="s">
        <v>19</v>
      </c>
      <c r="S70">
        <v>0</v>
      </c>
      <c r="T70">
        <v>500</v>
      </c>
      <c r="U70">
        <v>2255</v>
      </c>
      <c r="V70">
        <v>0</v>
      </c>
      <c r="W70">
        <v>1750</v>
      </c>
      <c r="X70">
        <v>258</v>
      </c>
      <c r="Y70">
        <v>0</v>
      </c>
      <c r="Z70">
        <v>130</v>
      </c>
      <c r="AA70">
        <v>0</v>
      </c>
      <c r="AB70">
        <v>0</v>
      </c>
      <c r="AC70">
        <v>0</v>
      </c>
      <c r="AD70">
        <v>700</v>
      </c>
      <c r="AE70">
        <v>1000</v>
      </c>
      <c r="AF70">
        <v>0</v>
      </c>
      <c r="AG70">
        <v>6700</v>
      </c>
      <c r="AH70">
        <v>1000</v>
      </c>
      <c r="AI70">
        <v>0</v>
      </c>
      <c r="AJ70">
        <v>2000</v>
      </c>
      <c r="AK70">
        <v>0</v>
      </c>
      <c r="AL70">
        <v>1300</v>
      </c>
      <c r="AM70">
        <v>14000</v>
      </c>
      <c r="AN70">
        <v>1600</v>
      </c>
      <c r="AO70" t="s">
        <v>156</v>
      </c>
    </row>
    <row r="71" spans="1:41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v>1.2923913043478261</v>
      </c>
      <c r="N71" t="s">
        <v>162</v>
      </c>
      <c r="O71" t="s">
        <v>9</v>
      </c>
      <c r="P71">
        <v>29725</v>
      </c>
      <c r="Q71">
        <v>23000</v>
      </c>
      <c r="R71" t="s">
        <v>34</v>
      </c>
      <c r="S71">
        <v>430</v>
      </c>
      <c r="T71">
        <v>1700</v>
      </c>
      <c r="U71">
        <v>310</v>
      </c>
      <c r="V71">
        <v>450</v>
      </c>
      <c r="W71">
        <v>400</v>
      </c>
      <c r="X71">
        <v>5000</v>
      </c>
      <c r="Y71">
        <v>0</v>
      </c>
      <c r="Z71">
        <v>0</v>
      </c>
      <c r="AA71">
        <v>13500</v>
      </c>
      <c r="AB71">
        <v>1025</v>
      </c>
      <c r="AC71">
        <v>800</v>
      </c>
      <c r="AD71">
        <v>0</v>
      </c>
      <c r="AE71">
        <v>210</v>
      </c>
      <c r="AF71">
        <v>250</v>
      </c>
      <c r="AG71">
        <v>0</v>
      </c>
      <c r="AH71">
        <v>0</v>
      </c>
      <c r="AI71">
        <v>0</v>
      </c>
      <c r="AJ71">
        <v>2150</v>
      </c>
      <c r="AK71">
        <v>1500</v>
      </c>
      <c r="AL71">
        <v>2000</v>
      </c>
      <c r="AM71">
        <v>0</v>
      </c>
      <c r="AN71">
        <v>0</v>
      </c>
      <c r="AO71" t="s">
        <v>156</v>
      </c>
    </row>
    <row r="72" spans="1:41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v>1.1452608695652173</v>
      </c>
      <c r="N72" t="s">
        <v>162</v>
      </c>
      <c r="O72" t="s">
        <v>9</v>
      </c>
      <c r="P72">
        <v>26341</v>
      </c>
      <c r="Q72">
        <v>23000</v>
      </c>
      <c r="R72" t="s">
        <v>13</v>
      </c>
      <c r="S72">
        <v>1800</v>
      </c>
      <c r="T72">
        <v>266</v>
      </c>
      <c r="U72">
        <v>0</v>
      </c>
      <c r="V72">
        <v>4200</v>
      </c>
      <c r="W72">
        <v>2000</v>
      </c>
      <c r="X72">
        <v>350</v>
      </c>
      <c r="Y72">
        <v>1400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360</v>
      </c>
      <c r="AG72">
        <v>0</v>
      </c>
      <c r="AH72">
        <v>16000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156</v>
      </c>
    </row>
    <row r="73" spans="1:41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v>1.0704347826086957</v>
      </c>
      <c r="N73" t="s">
        <v>162</v>
      </c>
      <c r="O73" t="s">
        <v>9</v>
      </c>
      <c r="P73">
        <v>24620</v>
      </c>
      <c r="Q73">
        <v>23000</v>
      </c>
      <c r="R73" t="s">
        <v>24</v>
      </c>
      <c r="S73">
        <v>0</v>
      </c>
      <c r="T73">
        <v>0</v>
      </c>
      <c r="U73">
        <v>0</v>
      </c>
      <c r="V73">
        <v>250</v>
      </c>
      <c r="W73">
        <v>210</v>
      </c>
      <c r="X73">
        <v>500</v>
      </c>
      <c r="Y73">
        <v>0</v>
      </c>
      <c r="Z73">
        <v>0</v>
      </c>
      <c r="AA73">
        <v>0</v>
      </c>
      <c r="AB73">
        <v>0</v>
      </c>
      <c r="AC73">
        <v>160</v>
      </c>
      <c r="AD73">
        <v>6000</v>
      </c>
      <c r="AE73">
        <v>5544</v>
      </c>
      <c r="AF73">
        <v>800</v>
      </c>
      <c r="AG73">
        <v>0</v>
      </c>
      <c r="AH73">
        <v>2000</v>
      </c>
      <c r="AI73">
        <v>250</v>
      </c>
      <c r="AJ73">
        <v>0</v>
      </c>
      <c r="AK73">
        <v>500</v>
      </c>
      <c r="AL73">
        <v>1300</v>
      </c>
      <c r="AM73">
        <v>5906</v>
      </c>
      <c r="AN73">
        <v>1200</v>
      </c>
      <c r="AO73" t="s">
        <v>156</v>
      </c>
    </row>
    <row r="74" spans="1:41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v>0.72826086956521741</v>
      </c>
      <c r="E74" t="s">
        <v>9</v>
      </c>
      <c r="F74" t="s">
        <v>51</v>
      </c>
      <c r="G74">
        <v>16965</v>
      </c>
      <c r="H74" t="s">
        <v>440</v>
      </c>
      <c r="I74" s="59">
        <v>45674</v>
      </c>
      <c r="J74" s="59" t="s">
        <v>536</v>
      </c>
      <c r="M74" s="1">
        <v>0.73760869565217391</v>
      </c>
      <c r="N74" t="s">
        <v>163</v>
      </c>
      <c r="O74" t="s">
        <v>9</v>
      </c>
      <c r="P74">
        <v>16965</v>
      </c>
      <c r="Q74">
        <v>23000</v>
      </c>
      <c r="R74" t="s">
        <v>51</v>
      </c>
      <c r="S74">
        <v>0</v>
      </c>
      <c r="T74">
        <v>0</v>
      </c>
      <c r="U74">
        <v>0</v>
      </c>
      <c r="V74">
        <v>1795</v>
      </c>
      <c r="W74">
        <v>0</v>
      </c>
      <c r="X74">
        <v>0</v>
      </c>
      <c r="Y74">
        <v>0</v>
      </c>
      <c r="Z74">
        <v>500</v>
      </c>
      <c r="AA74">
        <v>0</v>
      </c>
      <c r="AB74">
        <v>160</v>
      </c>
      <c r="AC74">
        <v>720</v>
      </c>
      <c r="AD74">
        <v>380</v>
      </c>
      <c r="AE74">
        <v>650</v>
      </c>
      <c r="AF74">
        <v>0</v>
      </c>
      <c r="AG74">
        <v>0</v>
      </c>
      <c r="AH74">
        <v>0</v>
      </c>
      <c r="AI74">
        <v>400</v>
      </c>
      <c r="AJ74">
        <v>400</v>
      </c>
      <c r="AK74">
        <v>0</v>
      </c>
      <c r="AL74">
        <v>4800</v>
      </c>
      <c r="AM74">
        <v>7000</v>
      </c>
      <c r="AN74">
        <v>160</v>
      </c>
      <c r="AO74" t="s">
        <v>156</v>
      </c>
    </row>
    <row r="75" spans="1:41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v>0.65221739130434786</v>
      </c>
      <c r="N75" t="s">
        <v>164</v>
      </c>
      <c r="O75" t="s">
        <v>9</v>
      </c>
      <c r="P75">
        <v>15001</v>
      </c>
      <c r="Q75">
        <v>23000</v>
      </c>
      <c r="R75" t="s">
        <v>77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160</v>
      </c>
      <c r="Z75">
        <v>0</v>
      </c>
      <c r="AA75">
        <v>130</v>
      </c>
      <c r="AB75">
        <v>113</v>
      </c>
      <c r="AC75">
        <v>0</v>
      </c>
      <c r="AD75">
        <v>1054</v>
      </c>
      <c r="AE75">
        <v>330</v>
      </c>
      <c r="AF75">
        <v>258</v>
      </c>
      <c r="AG75">
        <v>0</v>
      </c>
      <c r="AH75">
        <v>0</v>
      </c>
      <c r="AI75">
        <v>0</v>
      </c>
      <c r="AJ75">
        <v>400</v>
      </c>
      <c r="AK75">
        <v>4000</v>
      </c>
      <c r="AL75">
        <v>250</v>
      </c>
      <c r="AM75">
        <v>0</v>
      </c>
      <c r="AN75">
        <v>8306</v>
      </c>
      <c r="AO75" t="s">
        <v>156</v>
      </c>
    </row>
    <row r="76" spans="1:41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v>0.38526086956521738</v>
      </c>
      <c r="E76" t="s">
        <v>9</v>
      </c>
      <c r="F76" t="s">
        <v>54</v>
      </c>
      <c r="G76">
        <v>8861</v>
      </c>
      <c r="H76" t="s">
        <v>501</v>
      </c>
      <c r="I76" s="59">
        <v>45819</v>
      </c>
      <c r="J76" s="59" t="s">
        <v>536</v>
      </c>
      <c r="M76" s="1">
        <v>0.38526086956521738</v>
      </c>
      <c r="N76" t="s">
        <v>165</v>
      </c>
      <c r="O76" t="s">
        <v>9</v>
      </c>
      <c r="P76">
        <v>8861</v>
      </c>
      <c r="Q76">
        <v>23000</v>
      </c>
      <c r="R76" t="s">
        <v>54</v>
      </c>
      <c r="S76">
        <v>0</v>
      </c>
      <c r="T76">
        <v>0</v>
      </c>
      <c r="U76">
        <v>130</v>
      </c>
      <c r="V76">
        <v>0</v>
      </c>
      <c r="W76">
        <v>300</v>
      </c>
      <c r="X76">
        <v>0</v>
      </c>
      <c r="Y76">
        <v>0</v>
      </c>
      <c r="Z76">
        <v>200</v>
      </c>
      <c r="AA76">
        <v>0</v>
      </c>
      <c r="AB76">
        <v>83</v>
      </c>
      <c r="AC76">
        <v>0</v>
      </c>
      <c r="AD76">
        <v>0</v>
      </c>
      <c r="AE76">
        <v>0</v>
      </c>
      <c r="AF76">
        <v>2800</v>
      </c>
      <c r="AG76">
        <v>3500</v>
      </c>
      <c r="AH76">
        <v>0</v>
      </c>
      <c r="AI76">
        <v>0</v>
      </c>
      <c r="AJ76">
        <v>0</v>
      </c>
      <c r="AK76">
        <v>0</v>
      </c>
      <c r="AL76">
        <v>848</v>
      </c>
      <c r="AM76">
        <v>0</v>
      </c>
      <c r="AN76">
        <v>1000</v>
      </c>
      <c r="AO76" t="s">
        <v>156</v>
      </c>
    </row>
    <row r="77" spans="1:41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v>0.2713913043478261</v>
      </c>
      <c r="N77" t="s">
        <v>165</v>
      </c>
      <c r="O77" t="s">
        <v>9</v>
      </c>
      <c r="P77">
        <v>6242</v>
      </c>
      <c r="Q77">
        <v>23000</v>
      </c>
      <c r="R77" t="s">
        <v>100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475</v>
      </c>
      <c r="Z77">
        <v>0</v>
      </c>
      <c r="AA77">
        <v>0</v>
      </c>
      <c r="AB77">
        <v>252</v>
      </c>
      <c r="AC77">
        <v>1500</v>
      </c>
      <c r="AD77">
        <v>100</v>
      </c>
      <c r="AE77">
        <v>0</v>
      </c>
      <c r="AF77">
        <v>0</v>
      </c>
      <c r="AG77">
        <v>2000</v>
      </c>
      <c r="AH77">
        <v>3000</v>
      </c>
      <c r="AI77">
        <v>650</v>
      </c>
      <c r="AJ77">
        <v>0</v>
      </c>
      <c r="AK77">
        <v>230</v>
      </c>
      <c r="AL77">
        <v>705</v>
      </c>
      <c r="AM77">
        <v>300</v>
      </c>
      <c r="AN77">
        <v>30</v>
      </c>
      <c r="AO77" t="s">
        <v>156</v>
      </c>
    </row>
    <row r="78" spans="1:41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v>0.16347826086956521</v>
      </c>
      <c r="N78" t="s">
        <v>165</v>
      </c>
      <c r="O78" t="s">
        <v>9</v>
      </c>
      <c r="P78">
        <v>3760</v>
      </c>
      <c r="Q78">
        <v>23000</v>
      </c>
      <c r="R78" t="s">
        <v>50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685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2500</v>
      </c>
      <c r="AH78">
        <v>0</v>
      </c>
      <c r="AI78">
        <v>0</v>
      </c>
      <c r="AJ78">
        <v>0</v>
      </c>
      <c r="AK78">
        <v>0</v>
      </c>
      <c r="AL78">
        <v>575</v>
      </c>
      <c r="AM78">
        <v>0</v>
      </c>
      <c r="AN78">
        <v>0</v>
      </c>
      <c r="AO78" t="s">
        <v>156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BO68"/>
  <sheetViews>
    <sheetView zoomScale="70" zoomScaleNormal="70" workbookViewId="0">
      <selection activeCell="I4" sqref="I4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67" x14ac:dyDescent="0.25">
      <c r="L1" s="59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6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6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6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6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6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560</v>
      </c>
      <c r="T8" s="14" t="s">
        <v>564</v>
      </c>
      <c r="U8" s="14" t="s">
        <v>539</v>
      </c>
      <c r="V8" s="14" t="s">
        <v>540</v>
      </c>
      <c r="W8" s="14" t="s">
        <v>541</v>
      </c>
      <c r="X8" s="14" t="s">
        <v>561</v>
      </c>
      <c r="Y8" s="14" t="s">
        <v>565</v>
      </c>
      <c r="Z8" s="14" t="s">
        <v>544</v>
      </c>
      <c r="AA8" s="14" t="s">
        <v>545</v>
      </c>
      <c r="AB8" s="14" t="s">
        <v>546</v>
      </c>
      <c r="AC8" s="14" t="s">
        <v>562</v>
      </c>
      <c r="AD8" s="14" t="s">
        <v>566</v>
      </c>
      <c r="AE8" s="14" t="s">
        <v>549</v>
      </c>
      <c r="AF8" s="14" t="s">
        <v>550</v>
      </c>
      <c r="AG8" s="14" t="s">
        <v>551</v>
      </c>
      <c r="AH8" s="14" t="s">
        <v>563</v>
      </c>
      <c r="AI8" s="14" t="s">
        <v>567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5" t="s">
        <v>537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560</v>
      </c>
      <c r="AU8" s="20" t="s">
        <v>564</v>
      </c>
      <c r="AV8" s="20" t="s">
        <v>539</v>
      </c>
      <c r="AW8" s="20" t="s">
        <v>540</v>
      </c>
      <c r="AX8" s="20" t="s">
        <v>541</v>
      </c>
      <c r="AY8" s="20" t="s">
        <v>561</v>
      </c>
      <c r="AZ8" s="20" t="s">
        <v>565</v>
      </c>
      <c r="BA8" s="20" t="s">
        <v>544</v>
      </c>
      <c r="BB8" s="20" t="s">
        <v>545</v>
      </c>
      <c r="BC8" s="20" t="s">
        <v>546</v>
      </c>
      <c r="BD8" s="20" t="s">
        <v>562</v>
      </c>
      <c r="BE8" s="20" t="s">
        <v>566</v>
      </c>
      <c r="BF8" s="20" t="s">
        <v>549</v>
      </c>
      <c r="BG8" s="20" t="s">
        <v>550</v>
      </c>
      <c r="BH8" s="20" t="s">
        <v>551</v>
      </c>
      <c r="BI8" s="20" t="s">
        <v>563</v>
      </c>
      <c r="BJ8" s="20" t="s">
        <v>567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19" t="s">
        <v>134</v>
      </c>
    </row>
    <row r="9" spans="1:6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v>1.669</v>
      </c>
      <c r="N9" s="5" t="s">
        <v>162</v>
      </c>
      <c r="O9" t="s">
        <v>5</v>
      </c>
      <c r="P9">
        <v>23366</v>
      </c>
      <c r="Q9">
        <v>14000</v>
      </c>
      <c r="R9" t="s">
        <v>29</v>
      </c>
      <c r="S9">
        <v>0</v>
      </c>
      <c r="T9">
        <v>0</v>
      </c>
      <c r="U9">
        <v>43</v>
      </c>
      <c r="V9">
        <v>7232</v>
      </c>
      <c r="W9">
        <v>0</v>
      </c>
      <c r="X9">
        <v>664</v>
      </c>
      <c r="Y9">
        <v>3690</v>
      </c>
      <c r="Z9">
        <v>2573</v>
      </c>
      <c r="AA9">
        <v>0</v>
      </c>
      <c r="AB9">
        <v>350</v>
      </c>
      <c r="AC9">
        <v>125</v>
      </c>
      <c r="AD9">
        <v>300</v>
      </c>
      <c r="AE9">
        <v>2734</v>
      </c>
      <c r="AF9">
        <v>0</v>
      </c>
      <c r="AG9">
        <v>0</v>
      </c>
      <c r="AH9">
        <v>0</v>
      </c>
      <c r="AI9">
        <v>2500</v>
      </c>
      <c r="AJ9">
        <v>100</v>
      </c>
      <c r="AK9">
        <v>205</v>
      </c>
      <c r="AL9">
        <v>2650</v>
      </c>
      <c r="AM9">
        <v>200</v>
      </c>
      <c r="AN9" t="s">
        <v>160</v>
      </c>
      <c r="AP9">
        <v>599640</v>
      </c>
      <c r="AQ9">
        <v>384954</v>
      </c>
      <c r="AR9" s="1">
        <v>0.64197518511106666</v>
      </c>
      <c r="AS9" t="s">
        <v>3</v>
      </c>
      <c r="AT9">
        <v>15675</v>
      </c>
      <c r="AU9">
        <v>29272.5</v>
      </c>
      <c r="AV9">
        <v>60387.5</v>
      </c>
      <c r="AW9">
        <v>66337.5</v>
      </c>
      <c r="AX9">
        <v>84830.5</v>
      </c>
      <c r="AY9">
        <v>86466.5</v>
      </c>
      <c r="AZ9">
        <v>99866.5</v>
      </c>
      <c r="BA9">
        <v>103016.5</v>
      </c>
      <c r="BB9">
        <v>107785.5</v>
      </c>
      <c r="BC9">
        <v>127518.5</v>
      </c>
      <c r="BD9">
        <v>149089.5</v>
      </c>
      <c r="BE9">
        <v>157064.5</v>
      </c>
      <c r="BF9">
        <v>172359.5</v>
      </c>
      <c r="BG9">
        <v>189109.5</v>
      </c>
      <c r="BH9">
        <v>211274.5</v>
      </c>
      <c r="BI9">
        <v>246329.5</v>
      </c>
      <c r="BJ9">
        <v>253969</v>
      </c>
      <c r="BK9">
        <v>281591</v>
      </c>
      <c r="BL9">
        <v>304817</v>
      </c>
      <c r="BM9">
        <v>360081</v>
      </c>
      <c r="BN9">
        <v>384954</v>
      </c>
      <c r="BO9" t="s">
        <v>159</v>
      </c>
    </row>
    <row r="10" spans="1:6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v>1.4307857142857143</v>
      </c>
      <c r="N10" s="5" t="s">
        <v>162</v>
      </c>
      <c r="O10" t="s">
        <v>5</v>
      </c>
      <c r="P10">
        <v>20031</v>
      </c>
      <c r="Q10">
        <v>14000</v>
      </c>
      <c r="R10" t="s">
        <v>96</v>
      </c>
      <c r="S10">
        <v>0</v>
      </c>
      <c r="T10">
        <v>0</v>
      </c>
      <c r="U10">
        <v>1150</v>
      </c>
      <c r="V10">
        <v>4000</v>
      </c>
      <c r="W10">
        <v>0</v>
      </c>
      <c r="X10">
        <v>4650</v>
      </c>
      <c r="Y10">
        <v>0</v>
      </c>
      <c r="Z10">
        <v>0</v>
      </c>
      <c r="AA10">
        <v>0</v>
      </c>
      <c r="AB10">
        <v>0</v>
      </c>
      <c r="AC10">
        <v>2000</v>
      </c>
      <c r="AD10">
        <v>0</v>
      </c>
      <c r="AE10">
        <v>645</v>
      </c>
      <c r="AF10">
        <v>0</v>
      </c>
      <c r="AG10">
        <v>0</v>
      </c>
      <c r="AH10">
        <v>0</v>
      </c>
      <c r="AI10">
        <v>720</v>
      </c>
      <c r="AJ10">
        <v>690</v>
      </c>
      <c r="AK10">
        <v>1800</v>
      </c>
      <c r="AL10">
        <v>3650</v>
      </c>
      <c r="AM10">
        <v>726</v>
      </c>
      <c r="AN10" t="s">
        <v>160</v>
      </c>
      <c r="AP10">
        <v>599640</v>
      </c>
      <c r="AQ10">
        <v>373172</v>
      </c>
      <c r="AR10" s="1">
        <v>0.6223267293709559</v>
      </c>
      <c r="AS10" t="s">
        <v>4</v>
      </c>
      <c r="AT10">
        <v>2910</v>
      </c>
      <c r="AU10">
        <v>4502</v>
      </c>
      <c r="AV10">
        <v>9852</v>
      </c>
      <c r="AW10">
        <v>20852</v>
      </c>
      <c r="AX10">
        <v>28852</v>
      </c>
      <c r="AY10">
        <v>40915</v>
      </c>
      <c r="AZ10">
        <v>55915</v>
      </c>
      <c r="BA10">
        <v>57615</v>
      </c>
      <c r="BB10">
        <v>64315</v>
      </c>
      <c r="BC10">
        <v>78319</v>
      </c>
      <c r="BD10">
        <v>104052</v>
      </c>
      <c r="BE10">
        <v>126342</v>
      </c>
      <c r="BF10">
        <v>139820</v>
      </c>
      <c r="BG10">
        <v>157320</v>
      </c>
      <c r="BH10">
        <v>173552</v>
      </c>
      <c r="BI10">
        <v>230215</v>
      </c>
      <c r="BJ10">
        <v>264547</v>
      </c>
      <c r="BK10">
        <v>266134</v>
      </c>
      <c r="BL10">
        <v>291980</v>
      </c>
      <c r="BM10">
        <v>341374</v>
      </c>
      <c r="BN10">
        <v>373172</v>
      </c>
      <c r="BO10" t="s">
        <v>159</v>
      </c>
    </row>
    <row r="11" spans="1:6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v>1.0025714285714287</v>
      </c>
      <c r="N11" s="5" t="s">
        <v>162</v>
      </c>
      <c r="O11" t="s">
        <v>5</v>
      </c>
      <c r="P11">
        <v>14036</v>
      </c>
      <c r="Q11">
        <v>14000</v>
      </c>
      <c r="R11" t="s">
        <v>79</v>
      </c>
      <c r="S11">
        <v>300</v>
      </c>
      <c r="T11">
        <v>0</v>
      </c>
      <c r="U11">
        <v>650</v>
      </c>
      <c r="V11">
        <v>150</v>
      </c>
      <c r="W11">
        <v>200</v>
      </c>
      <c r="X11">
        <v>0</v>
      </c>
      <c r="Y11">
        <v>0</v>
      </c>
      <c r="Z11">
        <v>800</v>
      </c>
      <c r="AA11">
        <v>820</v>
      </c>
      <c r="AB11">
        <v>5110</v>
      </c>
      <c r="AC11">
        <v>200</v>
      </c>
      <c r="AD11">
        <v>0</v>
      </c>
      <c r="AE11">
        <v>500</v>
      </c>
      <c r="AF11">
        <v>0</v>
      </c>
      <c r="AG11">
        <v>1400</v>
      </c>
      <c r="AH11">
        <v>440</v>
      </c>
      <c r="AI11">
        <v>416</v>
      </c>
      <c r="AJ11">
        <v>0</v>
      </c>
      <c r="AK11">
        <v>0</v>
      </c>
      <c r="AL11">
        <v>3050</v>
      </c>
      <c r="AM11">
        <v>0</v>
      </c>
      <c r="AN11" t="s">
        <v>160</v>
      </c>
      <c r="AP11">
        <v>100323</v>
      </c>
      <c r="AQ11">
        <v>131012</v>
      </c>
      <c r="AR11" s="1">
        <v>1.3059019367443159</v>
      </c>
      <c r="AS11" t="s">
        <v>5</v>
      </c>
      <c r="AT11">
        <v>300</v>
      </c>
      <c r="AU11">
        <v>2255</v>
      </c>
      <c r="AV11">
        <v>9898</v>
      </c>
      <c r="AW11">
        <v>23080</v>
      </c>
      <c r="AX11">
        <v>25318</v>
      </c>
      <c r="AY11">
        <v>30932</v>
      </c>
      <c r="AZ11">
        <v>35622</v>
      </c>
      <c r="BA11">
        <v>46945</v>
      </c>
      <c r="BB11">
        <v>47765</v>
      </c>
      <c r="BC11">
        <v>54688</v>
      </c>
      <c r="BD11">
        <v>58518</v>
      </c>
      <c r="BE11">
        <v>59399</v>
      </c>
      <c r="BF11">
        <v>64803</v>
      </c>
      <c r="BG11">
        <v>66103</v>
      </c>
      <c r="BH11">
        <v>86128</v>
      </c>
      <c r="BI11">
        <v>87063</v>
      </c>
      <c r="BJ11">
        <v>95924</v>
      </c>
      <c r="BK11">
        <v>102053</v>
      </c>
      <c r="BL11">
        <v>113303</v>
      </c>
      <c r="BM11">
        <v>128215</v>
      </c>
      <c r="BN11">
        <v>131012</v>
      </c>
      <c r="BO11" t="s">
        <v>160</v>
      </c>
    </row>
    <row r="12" spans="1:6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v>0.90349999999999997</v>
      </c>
      <c r="N12" s="5" t="s">
        <v>163</v>
      </c>
      <c r="O12" t="s">
        <v>5</v>
      </c>
      <c r="P12">
        <v>12649</v>
      </c>
      <c r="Q12">
        <v>14000</v>
      </c>
      <c r="R12" t="s">
        <v>77</v>
      </c>
      <c r="S12">
        <v>0</v>
      </c>
      <c r="T12">
        <v>500</v>
      </c>
      <c r="U12">
        <v>200</v>
      </c>
      <c r="V12">
        <v>550</v>
      </c>
      <c r="W12">
        <v>1378</v>
      </c>
      <c r="X12">
        <v>0</v>
      </c>
      <c r="Y12">
        <v>0</v>
      </c>
      <c r="Z12">
        <v>2500</v>
      </c>
      <c r="AA12">
        <v>0</v>
      </c>
      <c r="AB12">
        <v>200</v>
      </c>
      <c r="AC12">
        <v>0</v>
      </c>
      <c r="AD12">
        <v>0</v>
      </c>
      <c r="AE12">
        <v>1375</v>
      </c>
      <c r="AF12">
        <v>0</v>
      </c>
      <c r="AG12">
        <v>425</v>
      </c>
      <c r="AH12">
        <v>0</v>
      </c>
      <c r="AI12">
        <v>1200</v>
      </c>
      <c r="AJ12">
        <v>0</v>
      </c>
      <c r="AK12">
        <v>2500</v>
      </c>
      <c r="AL12">
        <v>1750</v>
      </c>
      <c r="AM12">
        <v>71</v>
      </c>
      <c r="AN12" t="s">
        <v>160</v>
      </c>
      <c r="AP12">
        <v>144490</v>
      </c>
      <c r="AQ12">
        <v>174686</v>
      </c>
      <c r="AR12" s="1">
        <v>1.2089833206450273</v>
      </c>
      <c r="AS12" t="s">
        <v>2</v>
      </c>
      <c r="AT12">
        <v>260</v>
      </c>
      <c r="AU12">
        <v>3485.5</v>
      </c>
      <c r="AV12">
        <v>15105.5</v>
      </c>
      <c r="AW12">
        <v>16605.5</v>
      </c>
      <c r="AX12">
        <v>63685.5</v>
      </c>
      <c r="AY12">
        <v>72870.5</v>
      </c>
      <c r="AZ12">
        <v>82677.5</v>
      </c>
      <c r="BA12">
        <v>90877.5</v>
      </c>
      <c r="BB12">
        <v>93527.5</v>
      </c>
      <c r="BC12">
        <v>93527.5</v>
      </c>
      <c r="BD12">
        <v>94849.5</v>
      </c>
      <c r="BE12">
        <v>100849.5</v>
      </c>
      <c r="BF12">
        <v>102449.5</v>
      </c>
      <c r="BG12">
        <v>106419.5</v>
      </c>
      <c r="BH12">
        <v>114899.5</v>
      </c>
      <c r="BI12">
        <v>124104.5</v>
      </c>
      <c r="BJ12">
        <v>135944.5</v>
      </c>
      <c r="BK12">
        <v>137470</v>
      </c>
      <c r="BL12">
        <v>140212</v>
      </c>
      <c r="BM12">
        <v>167073</v>
      </c>
      <c r="BN12">
        <v>174686</v>
      </c>
      <c r="BO12" t="s">
        <v>158</v>
      </c>
    </row>
    <row r="13" spans="1:6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v>0.57371428571428573</v>
      </c>
      <c r="E13" s="1" t="s">
        <v>5</v>
      </c>
      <c r="F13" t="s">
        <v>100</v>
      </c>
      <c r="G13">
        <v>8032</v>
      </c>
      <c r="H13" t="s">
        <v>516</v>
      </c>
      <c r="I13" s="59">
        <v>45895</v>
      </c>
      <c r="J13" t="s">
        <v>536</v>
      </c>
      <c r="L13" s="59"/>
      <c r="M13" s="1">
        <v>0.79571428571428571</v>
      </c>
      <c r="N13" s="5" t="s">
        <v>163</v>
      </c>
      <c r="O13" t="s">
        <v>5</v>
      </c>
      <c r="P13">
        <v>11140</v>
      </c>
      <c r="Q13">
        <v>14000</v>
      </c>
      <c r="R13" t="s">
        <v>55</v>
      </c>
      <c r="S13">
        <v>0</v>
      </c>
      <c r="T13">
        <v>400</v>
      </c>
      <c r="U13">
        <v>4500</v>
      </c>
      <c r="V13">
        <v>500</v>
      </c>
      <c r="W13">
        <v>0</v>
      </c>
      <c r="X13">
        <v>300</v>
      </c>
      <c r="Y13">
        <v>900</v>
      </c>
      <c r="Z13">
        <v>150</v>
      </c>
      <c r="AA13">
        <v>0</v>
      </c>
      <c r="AB13">
        <v>300</v>
      </c>
      <c r="AC13">
        <v>900</v>
      </c>
      <c r="AD13">
        <v>0</v>
      </c>
      <c r="AE13">
        <v>150</v>
      </c>
      <c r="AF13">
        <v>660</v>
      </c>
      <c r="AG13">
        <v>0</v>
      </c>
      <c r="AH13">
        <v>80</v>
      </c>
      <c r="AI13">
        <v>300</v>
      </c>
      <c r="AJ13">
        <v>380</v>
      </c>
      <c r="AK13">
        <v>220</v>
      </c>
      <c r="AL13">
        <v>1400</v>
      </c>
      <c r="AM13">
        <v>0</v>
      </c>
      <c r="AN13" t="s">
        <v>160</v>
      </c>
      <c r="AP13">
        <v>346906</v>
      </c>
      <c r="AQ13">
        <v>449561.98</v>
      </c>
      <c r="AR13" s="1">
        <v>1.2959187214980425</v>
      </c>
      <c r="AS13" t="s">
        <v>6</v>
      </c>
      <c r="AT13">
        <v>8000</v>
      </c>
      <c r="AU13">
        <v>18250</v>
      </c>
      <c r="AV13">
        <v>40330</v>
      </c>
      <c r="AW13">
        <v>59747.58</v>
      </c>
      <c r="AX13">
        <v>73290.58</v>
      </c>
      <c r="AY13">
        <v>99035.58</v>
      </c>
      <c r="AZ13">
        <v>118778.48</v>
      </c>
      <c r="BA13">
        <v>132603.48000000001</v>
      </c>
      <c r="BB13">
        <v>149456.48000000001</v>
      </c>
      <c r="BC13">
        <v>152257.48000000001</v>
      </c>
      <c r="BD13">
        <v>189077.48</v>
      </c>
      <c r="BE13">
        <v>208737.48</v>
      </c>
      <c r="BF13">
        <v>216787.48</v>
      </c>
      <c r="BG13">
        <v>223892.48000000001</v>
      </c>
      <c r="BH13">
        <v>249742.48</v>
      </c>
      <c r="BI13">
        <v>266004.98</v>
      </c>
      <c r="BJ13">
        <v>304954.98</v>
      </c>
      <c r="BK13">
        <v>322162.98</v>
      </c>
      <c r="BL13">
        <v>341821.98</v>
      </c>
      <c r="BM13">
        <v>420430.98</v>
      </c>
      <c r="BN13">
        <v>449561.98</v>
      </c>
      <c r="BO13" t="s">
        <v>161</v>
      </c>
    </row>
    <row r="14" spans="1:6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v>0.71664285714285714</v>
      </c>
      <c r="N14" s="5" t="s">
        <v>163</v>
      </c>
      <c r="O14" t="s">
        <v>5</v>
      </c>
      <c r="P14">
        <v>10033</v>
      </c>
      <c r="Q14">
        <v>14000</v>
      </c>
      <c r="R14" t="s">
        <v>54</v>
      </c>
      <c r="S14">
        <v>0</v>
      </c>
      <c r="T14">
        <v>0</v>
      </c>
      <c r="U14">
        <v>0</v>
      </c>
      <c r="V14">
        <v>0</v>
      </c>
      <c r="W14">
        <v>360</v>
      </c>
      <c r="X14">
        <v>100</v>
      </c>
      <c r="Y14">
        <v>0</v>
      </c>
      <c r="Z14">
        <v>0</v>
      </c>
      <c r="AA14">
        <v>0</v>
      </c>
      <c r="AB14">
        <v>438</v>
      </c>
      <c r="AC14">
        <v>0</v>
      </c>
      <c r="AD14">
        <v>0</v>
      </c>
      <c r="AE14">
        <v>0</v>
      </c>
      <c r="AF14">
        <v>640</v>
      </c>
      <c r="AG14">
        <v>0</v>
      </c>
      <c r="AH14">
        <v>415</v>
      </c>
      <c r="AI14">
        <v>0</v>
      </c>
      <c r="AJ14">
        <v>300</v>
      </c>
      <c r="AK14">
        <v>5200</v>
      </c>
      <c r="AL14">
        <v>2080</v>
      </c>
      <c r="AM14">
        <v>500</v>
      </c>
      <c r="AN14" t="s">
        <v>160</v>
      </c>
      <c r="AP14">
        <v>100323</v>
      </c>
      <c r="AQ14">
        <v>100745</v>
      </c>
      <c r="AR14" s="1">
        <v>1.0042064132850892</v>
      </c>
      <c r="AS14" t="s">
        <v>7</v>
      </c>
      <c r="AT14">
        <v>0</v>
      </c>
      <c r="AU14">
        <v>1800</v>
      </c>
      <c r="AV14">
        <v>2186</v>
      </c>
      <c r="AW14">
        <v>8766</v>
      </c>
      <c r="AX14">
        <v>10026</v>
      </c>
      <c r="AY14">
        <v>11026</v>
      </c>
      <c r="AZ14">
        <v>28076</v>
      </c>
      <c r="BA14">
        <v>41326</v>
      </c>
      <c r="BB14">
        <v>43096</v>
      </c>
      <c r="BC14">
        <v>48296</v>
      </c>
      <c r="BD14">
        <v>54414</v>
      </c>
      <c r="BE14">
        <v>60444</v>
      </c>
      <c r="BF14">
        <v>62154</v>
      </c>
      <c r="BG14">
        <v>64460</v>
      </c>
      <c r="BH14">
        <v>70402</v>
      </c>
      <c r="BI14">
        <v>76582</v>
      </c>
      <c r="BJ14">
        <v>79517</v>
      </c>
      <c r="BK14">
        <v>81296</v>
      </c>
      <c r="BL14">
        <v>83143</v>
      </c>
      <c r="BM14">
        <v>98695</v>
      </c>
      <c r="BN14">
        <v>100745</v>
      </c>
      <c r="BO14" t="s">
        <v>160</v>
      </c>
    </row>
    <row r="15" spans="1:6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v>0.57371428571428573</v>
      </c>
      <c r="N15" s="5" t="s">
        <v>164</v>
      </c>
      <c r="O15" t="s">
        <v>5</v>
      </c>
      <c r="P15">
        <v>8032</v>
      </c>
      <c r="Q15">
        <v>14000</v>
      </c>
      <c r="R15" t="s">
        <v>100</v>
      </c>
      <c r="S15">
        <v>0</v>
      </c>
      <c r="T15">
        <v>0</v>
      </c>
      <c r="U15">
        <v>150</v>
      </c>
      <c r="V15">
        <v>0</v>
      </c>
      <c r="W15">
        <v>0</v>
      </c>
      <c r="X15">
        <v>0</v>
      </c>
      <c r="Y15">
        <v>100</v>
      </c>
      <c r="Z15">
        <v>5300</v>
      </c>
      <c r="AA15">
        <v>0</v>
      </c>
      <c r="AB15">
        <v>400</v>
      </c>
      <c r="AC15">
        <v>500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225</v>
      </c>
      <c r="AJ15">
        <v>0</v>
      </c>
      <c r="AK15">
        <v>25</v>
      </c>
      <c r="AL15">
        <v>332</v>
      </c>
      <c r="AM15">
        <v>1000</v>
      </c>
      <c r="AN15" t="s">
        <v>160</v>
      </c>
    </row>
    <row r="16" spans="1:6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v>0.40885714285714286</v>
      </c>
      <c r="N16" s="5" t="s">
        <v>164</v>
      </c>
      <c r="O16" t="s">
        <v>5</v>
      </c>
      <c r="P16">
        <v>5724</v>
      </c>
      <c r="Q16">
        <v>14000</v>
      </c>
      <c r="R16" t="s">
        <v>36</v>
      </c>
      <c r="S16">
        <v>0</v>
      </c>
      <c r="T16">
        <v>0</v>
      </c>
      <c r="U16">
        <v>500</v>
      </c>
      <c r="V16">
        <v>500</v>
      </c>
      <c r="W16">
        <v>0</v>
      </c>
      <c r="X16">
        <v>0</v>
      </c>
      <c r="Y16">
        <v>0</v>
      </c>
      <c r="Z16">
        <v>0</v>
      </c>
      <c r="AA16">
        <v>0</v>
      </c>
      <c r="AB16">
        <v>125</v>
      </c>
      <c r="AC16">
        <v>105</v>
      </c>
      <c r="AD16">
        <v>430</v>
      </c>
      <c r="AE16">
        <v>0</v>
      </c>
      <c r="AF16">
        <v>0</v>
      </c>
      <c r="AG16">
        <v>3200</v>
      </c>
      <c r="AH16">
        <v>105</v>
      </c>
      <c r="AI16">
        <v>0</v>
      </c>
      <c r="AJ16">
        <v>559</v>
      </c>
      <c r="AK16">
        <v>200</v>
      </c>
      <c r="AL16">
        <v>0</v>
      </c>
      <c r="AM16">
        <v>0</v>
      </c>
      <c r="AN16" t="s">
        <v>160</v>
      </c>
    </row>
    <row r="17" spans="1:4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v>1.357</v>
      </c>
      <c r="E17" s="1" t="s">
        <v>2</v>
      </c>
      <c r="F17" t="s">
        <v>68</v>
      </c>
      <c r="G17">
        <v>20390</v>
      </c>
      <c r="H17" t="s">
        <v>467</v>
      </c>
      <c r="I17" s="59">
        <v>45364</v>
      </c>
      <c r="J17" t="s">
        <v>536</v>
      </c>
      <c r="L17" s="59"/>
      <c r="M17" s="1">
        <v>3.7</v>
      </c>
      <c r="N17" s="5" t="s">
        <v>162</v>
      </c>
      <c r="O17" t="s">
        <v>2</v>
      </c>
      <c r="P17">
        <v>55500</v>
      </c>
      <c r="Q17">
        <v>15000</v>
      </c>
      <c r="R17" t="s">
        <v>15</v>
      </c>
      <c r="S17">
        <v>0</v>
      </c>
      <c r="T17">
        <v>0</v>
      </c>
      <c r="U17">
        <v>0</v>
      </c>
      <c r="V17">
        <v>0</v>
      </c>
      <c r="W17">
        <v>46000</v>
      </c>
      <c r="X17">
        <v>0</v>
      </c>
      <c r="Y17">
        <v>0</v>
      </c>
      <c r="Z17">
        <v>4500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1500</v>
      </c>
      <c r="AI17">
        <v>0</v>
      </c>
      <c r="AJ17">
        <v>0</v>
      </c>
      <c r="AK17">
        <v>2000</v>
      </c>
      <c r="AL17">
        <v>0</v>
      </c>
      <c r="AM17">
        <v>1500</v>
      </c>
      <c r="AN17" t="s">
        <v>158</v>
      </c>
    </row>
    <row r="18" spans="1:4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v>1.37</v>
      </c>
      <c r="N18" s="5" t="s">
        <v>162</v>
      </c>
      <c r="O18" t="s">
        <v>2</v>
      </c>
      <c r="P18">
        <v>20550</v>
      </c>
      <c r="Q18">
        <v>15000</v>
      </c>
      <c r="R18" t="s">
        <v>49</v>
      </c>
      <c r="S18">
        <v>0</v>
      </c>
      <c r="T18">
        <v>0</v>
      </c>
      <c r="U18">
        <v>0</v>
      </c>
      <c r="V18">
        <v>1000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500</v>
      </c>
      <c r="AD18">
        <v>0</v>
      </c>
      <c r="AE18">
        <v>0</v>
      </c>
      <c r="AF18">
        <v>0</v>
      </c>
      <c r="AG18">
        <v>8000</v>
      </c>
      <c r="AH18">
        <v>4000</v>
      </c>
      <c r="AI18">
        <v>0</v>
      </c>
      <c r="AJ18">
        <v>0</v>
      </c>
      <c r="AK18">
        <v>450</v>
      </c>
      <c r="AL18">
        <v>6000</v>
      </c>
      <c r="AM18">
        <v>0</v>
      </c>
      <c r="AN18" t="s">
        <v>158</v>
      </c>
    </row>
    <row r="19" spans="1:4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v>1.3593333333333333</v>
      </c>
      <c r="N19" s="5" t="s">
        <v>162</v>
      </c>
      <c r="O19" t="s">
        <v>2</v>
      </c>
      <c r="P19">
        <v>20390</v>
      </c>
      <c r="Q19">
        <v>15000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1000</v>
      </c>
      <c r="X19">
        <v>0</v>
      </c>
      <c r="Y19">
        <v>0</v>
      </c>
      <c r="Z19">
        <v>1500</v>
      </c>
      <c r="AA19">
        <v>0</v>
      </c>
      <c r="AB19">
        <v>0</v>
      </c>
      <c r="AC19">
        <v>0</v>
      </c>
      <c r="AD19">
        <v>0</v>
      </c>
      <c r="AE19">
        <v>400</v>
      </c>
      <c r="AF19">
        <v>300</v>
      </c>
      <c r="AG19">
        <v>0</v>
      </c>
      <c r="AH19">
        <v>300</v>
      </c>
      <c r="AI19">
        <v>10000</v>
      </c>
      <c r="AJ19">
        <v>0</v>
      </c>
      <c r="AK19">
        <v>0</v>
      </c>
      <c r="AL19">
        <v>5150</v>
      </c>
      <c r="AM19">
        <v>0</v>
      </c>
      <c r="AN19" t="s">
        <v>158</v>
      </c>
    </row>
    <row r="20" spans="1:4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v>1.2083999999999999</v>
      </c>
      <c r="N20" s="5" t="s">
        <v>162</v>
      </c>
      <c r="O20" t="s">
        <v>2</v>
      </c>
      <c r="P20">
        <v>18126</v>
      </c>
      <c r="Q20">
        <v>15000</v>
      </c>
      <c r="R20" t="s">
        <v>38</v>
      </c>
      <c r="S20">
        <v>0</v>
      </c>
      <c r="T20">
        <v>225.5</v>
      </c>
      <c r="U20">
        <v>0</v>
      </c>
      <c r="V20">
        <v>200</v>
      </c>
      <c r="W20">
        <v>0</v>
      </c>
      <c r="X20">
        <v>800</v>
      </c>
      <c r="Y20">
        <v>6600</v>
      </c>
      <c r="Z20">
        <v>200</v>
      </c>
      <c r="AA20">
        <v>0</v>
      </c>
      <c r="AB20">
        <v>0</v>
      </c>
      <c r="AC20">
        <v>572</v>
      </c>
      <c r="AD20">
        <v>0</v>
      </c>
      <c r="AE20">
        <v>0</v>
      </c>
      <c r="AF20">
        <v>670</v>
      </c>
      <c r="AG20">
        <v>0</v>
      </c>
      <c r="AH20">
        <v>0</v>
      </c>
      <c r="AI20">
        <v>0</v>
      </c>
      <c r="AJ20">
        <v>525.5</v>
      </c>
      <c r="AK20">
        <v>292</v>
      </c>
      <c r="AL20">
        <v>8041</v>
      </c>
      <c r="AM20">
        <v>0</v>
      </c>
      <c r="AN20" t="s">
        <v>158</v>
      </c>
    </row>
    <row r="21" spans="1:4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v>1.1672</v>
      </c>
      <c r="N21" s="5" t="s">
        <v>162</v>
      </c>
      <c r="O21" t="s">
        <v>2</v>
      </c>
      <c r="P21">
        <v>17508</v>
      </c>
      <c r="Q21">
        <v>15000</v>
      </c>
      <c r="R21" t="s">
        <v>42</v>
      </c>
      <c r="S21">
        <v>0</v>
      </c>
      <c r="T21">
        <v>3000</v>
      </c>
      <c r="U21">
        <v>3000</v>
      </c>
      <c r="V21">
        <v>0</v>
      </c>
      <c r="W21">
        <v>0</v>
      </c>
      <c r="X21">
        <v>0</v>
      </c>
      <c r="Y21">
        <v>0</v>
      </c>
      <c r="Z21">
        <v>1700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3000</v>
      </c>
      <c r="AG21">
        <v>0</v>
      </c>
      <c r="AH21">
        <v>1800</v>
      </c>
      <c r="AI21">
        <v>250</v>
      </c>
      <c r="AJ21">
        <v>0</v>
      </c>
      <c r="AK21">
        <v>0</v>
      </c>
      <c r="AL21">
        <v>1500</v>
      </c>
      <c r="AM21">
        <v>1708</v>
      </c>
      <c r="AN21" t="s">
        <v>158</v>
      </c>
    </row>
    <row r="22" spans="1:4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v>1.0766666666666667</v>
      </c>
      <c r="N22" s="5" t="s">
        <v>162</v>
      </c>
      <c r="O22" t="s">
        <v>2</v>
      </c>
      <c r="P22">
        <v>16150</v>
      </c>
      <c r="Q22">
        <v>15000</v>
      </c>
      <c r="R22" t="s">
        <v>21</v>
      </c>
      <c r="S22">
        <v>0</v>
      </c>
      <c r="T22">
        <v>0</v>
      </c>
      <c r="U22">
        <v>3000</v>
      </c>
      <c r="V22">
        <v>0</v>
      </c>
      <c r="W22">
        <v>0</v>
      </c>
      <c r="X22">
        <v>2550</v>
      </c>
      <c r="Y22">
        <v>1500</v>
      </c>
      <c r="Z22">
        <v>0</v>
      </c>
      <c r="AA22">
        <v>600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200</v>
      </c>
      <c r="AI22">
        <v>0</v>
      </c>
      <c r="AJ22">
        <v>0</v>
      </c>
      <c r="AK22">
        <v>0</v>
      </c>
      <c r="AL22">
        <v>5000</v>
      </c>
      <c r="AM22">
        <v>2500</v>
      </c>
      <c r="AN22" t="s">
        <v>158</v>
      </c>
    </row>
    <row r="23" spans="1:4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v>0.72399999999999998</v>
      </c>
      <c r="N23" s="5" t="s">
        <v>163</v>
      </c>
      <c r="O23" t="s">
        <v>2</v>
      </c>
      <c r="P23">
        <v>10860</v>
      </c>
      <c r="Q23">
        <v>15000</v>
      </c>
      <c r="R23" t="s">
        <v>73</v>
      </c>
      <c r="S23">
        <v>260</v>
      </c>
      <c r="T23">
        <v>0</v>
      </c>
      <c r="U23">
        <v>820</v>
      </c>
      <c r="V23">
        <v>0</v>
      </c>
      <c r="W23">
        <v>80</v>
      </c>
      <c r="X23">
        <v>5000</v>
      </c>
      <c r="Y23">
        <v>0</v>
      </c>
      <c r="Z23">
        <v>300</v>
      </c>
      <c r="AA23">
        <v>0</v>
      </c>
      <c r="AB23">
        <v>0</v>
      </c>
      <c r="AC23">
        <v>250</v>
      </c>
      <c r="AD23">
        <v>0</v>
      </c>
      <c r="AE23">
        <v>400</v>
      </c>
      <c r="AF23">
        <v>0</v>
      </c>
      <c r="AG23">
        <v>480</v>
      </c>
      <c r="AH23">
        <v>600</v>
      </c>
      <c r="AI23">
        <v>900</v>
      </c>
      <c r="AJ23">
        <v>1000</v>
      </c>
      <c r="AK23">
        <v>0</v>
      </c>
      <c r="AL23">
        <v>770</v>
      </c>
      <c r="AM23">
        <v>0</v>
      </c>
      <c r="AN23" t="s">
        <v>158</v>
      </c>
    </row>
    <row r="24" spans="1:4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v>2.6283809523809523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v>0.53266666666666662</v>
      </c>
      <c r="N24" s="5" t="s">
        <v>164</v>
      </c>
      <c r="O24" t="s">
        <v>2</v>
      </c>
      <c r="P24">
        <v>7990</v>
      </c>
      <c r="Q24">
        <v>15000</v>
      </c>
      <c r="R24" t="s">
        <v>48</v>
      </c>
      <c r="S24">
        <v>0</v>
      </c>
      <c r="T24">
        <v>0</v>
      </c>
      <c r="U24">
        <v>4800</v>
      </c>
      <c r="V24">
        <v>0</v>
      </c>
      <c r="W24">
        <v>0</v>
      </c>
      <c r="X24">
        <v>0</v>
      </c>
      <c r="Y24">
        <v>900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400</v>
      </c>
      <c r="AM24">
        <v>1155</v>
      </c>
      <c r="AN24" t="s">
        <v>158</v>
      </c>
    </row>
    <row r="25" spans="1:4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v>0.4</v>
      </c>
      <c r="N25" s="5" t="s">
        <v>164</v>
      </c>
      <c r="O25" t="s">
        <v>2</v>
      </c>
      <c r="P25">
        <v>6000</v>
      </c>
      <c r="Q25">
        <v>15000</v>
      </c>
      <c r="R25" t="s">
        <v>27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6000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t="s">
        <v>158</v>
      </c>
    </row>
    <row r="26" spans="1:4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v>0.58835714285714291</v>
      </c>
      <c r="E26" s="1" t="s">
        <v>7</v>
      </c>
      <c r="F26" t="s">
        <v>74</v>
      </c>
      <c r="G26">
        <v>8237</v>
      </c>
      <c r="H26" t="s">
        <v>422</v>
      </c>
      <c r="I26" s="59">
        <v>44470</v>
      </c>
      <c r="J26" t="s">
        <v>536</v>
      </c>
      <c r="L26" s="59"/>
      <c r="M26" s="1">
        <v>1.9712857142857143</v>
      </c>
      <c r="N26" s="5" t="s">
        <v>162</v>
      </c>
      <c r="O26" t="s">
        <v>7</v>
      </c>
      <c r="P26">
        <v>27598</v>
      </c>
      <c r="Q26">
        <v>14000</v>
      </c>
      <c r="R26" t="s">
        <v>122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16750</v>
      </c>
      <c r="Z26">
        <v>2400</v>
      </c>
      <c r="AA26">
        <v>0</v>
      </c>
      <c r="AB26">
        <v>200</v>
      </c>
      <c r="AC26">
        <v>5728</v>
      </c>
      <c r="AD26">
        <v>0</v>
      </c>
      <c r="AE26">
        <v>0</v>
      </c>
      <c r="AF26">
        <v>0</v>
      </c>
      <c r="AG26">
        <v>0</v>
      </c>
      <c r="AH26">
        <v>750</v>
      </c>
      <c r="AI26">
        <v>220</v>
      </c>
      <c r="AJ26">
        <v>250</v>
      </c>
      <c r="AK26">
        <v>0</v>
      </c>
      <c r="AL26">
        <v>1300</v>
      </c>
      <c r="AM26">
        <v>0</v>
      </c>
      <c r="AN26" t="s">
        <v>160</v>
      </c>
    </row>
    <row r="27" spans="1:4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v>1.3121428571428571</v>
      </c>
      <c r="N27" s="5" t="s">
        <v>162</v>
      </c>
      <c r="O27" t="s">
        <v>7</v>
      </c>
      <c r="P27">
        <v>18370</v>
      </c>
      <c r="Q27">
        <v>14000</v>
      </c>
      <c r="R27" t="s">
        <v>72</v>
      </c>
      <c r="S27">
        <v>0</v>
      </c>
      <c r="T27">
        <v>0</v>
      </c>
      <c r="U27">
        <v>186</v>
      </c>
      <c r="V27">
        <v>480</v>
      </c>
      <c r="W27">
        <v>0</v>
      </c>
      <c r="X27">
        <v>500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1800</v>
      </c>
      <c r="AG27">
        <v>950</v>
      </c>
      <c r="AH27">
        <v>3084</v>
      </c>
      <c r="AI27">
        <v>480</v>
      </c>
      <c r="AJ27">
        <v>0</v>
      </c>
      <c r="AK27">
        <v>290</v>
      </c>
      <c r="AL27">
        <v>10300</v>
      </c>
      <c r="AM27">
        <v>0</v>
      </c>
      <c r="AN27" t="s">
        <v>160</v>
      </c>
    </row>
    <row r="28" spans="1:4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v>0.58835714285714291</v>
      </c>
      <c r="N28" s="5" t="s">
        <v>164</v>
      </c>
      <c r="O28" t="s">
        <v>7</v>
      </c>
      <c r="P28">
        <v>8237</v>
      </c>
      <c r="Q28">
        <v>14000</v>
      </c>
      <c r="R28" t="s">
        <v>74</v>
      </c>
      <c r="S28">
        <v>0</v>
      </c>
      <c r="T28">
        <v>0</v>
      </c>
      <c r="U28">
        <v>0</v>
      </c>
      <c r="V28">
        <v>2500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500</v>
      </c>
      <c r="AF28">
        <v>506</v>
      </c>
      <c r="AG28">
        <v>1300</v>
      </c>
      <c r="AH28">
        <v>446</v>
      </c>
      <c r="AI28">
        <v>230</v>
      </c>
      <c r="AJ28">
        <v>529</v>
      </c>
      <c r="AK28">
        <v>191</v>
      </c>
      <c r="AL28">
        <v>1730</v>
      </c>
      <c r="AM28">
        <v>0</v>
      </c>
      <c r="AN28" t="s">
        <v>160</v>
      </c>
    </row>
    <row r="29" spans="1:4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v>0.58257142857142852</v>
      </c>
      <c r="N29" s="5" t="s">
        <v>164</v>
      </c>
      <c r="O29" t="s">
        <v>7</v>
      </c>
      <c r="P29">
        <v>8156</v>
      </c>
      <c r="Q29">
        <v>14000</v>
      </c>
      <c r="R29" t="s">
        <v>20</v>
      </c>
      <c r="S29">
        <v>0</v>
      </c>
      <c r="T29">
        <v>1000</v>
      </c>
      <c r="U29">
        <v>0</v>
      </c>
      <c r="V29">
        <v>0</v>
      </c>
      <c r="W29">
        <v>200</v>
      </c>
      <c r="X29">
        <v>0</v>
      </c>
      <c r="Y29">
        <v>0</v>
      </c>
      <c r="Z29">
        <v>0</v>
      </c>
      <c r="AA29">
        <v>0</v>
      </c>
      <c r="AB29">
        <v>3700</v>
      </c>
      <c r="AC29">
        <v>0</v>
      </c>
      <c r="AD29">
        <v>1000</v>
      </c>
      <c r="AE29">
        <v>110</v>
      </c>
      <c r="AF29">
        <v>0</v>
      </c>
      <c r="AG29">
        <v>0</v>
      </c>
      <c r="AH29">
        <v>400</v>
      </c>
      <c r="AI29">
        <v>0</v>
      </c>
      <c r="AJ29">
        <v>1000</v>
      </c>
      <c r="AK29">
        <v>166</v>
      </c>
      <c r="AL29">
        <v>580</v>
      </c>
      <c r="AM29">
        <v>0</v>
      </c>
      <c r="AN29" t="s">
        <v>160</v>
      </c>
    </row>
    <row r="30" spans="1:4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v>0.51142857142857145</v>
      </c>
      <c r="N30" s="5" t="s">
        <v>164</v>
      </c>
      <c r="O30" t="s">
        <v>7</v>
      </c>
      <c r="P30">
        <v>7160</v>
      </c>
      <c r="Q30">
        <v>14000</v>
      </c>
      <c r="R30" t="s">
        <v>51</v>
      </c>
      <c r="S30">
        <v>0</v>
      </c>
      <c r="T30">
        <v>0</v>
      </c>
      <c r="U30">
        <v>0</v>
      </c>
      <c r="V30">
        <v>0</v>
      </c>
      <c r="W30">
        <v>600</v>
      </c>
      <c r="X30">
        <v>200</v>
      </c>
      <c r="Y30">
        <v>0</v>
      </c>
      <c r="Z30">
        <v>750</v>
      </c>
      <c r="AA30">
        <v>1500</v>
      </c>
      <c r="AB30">
        <v>0</v>
      </c>
      <c r="AC30">
        <v>0</v>
      </c>
      <c r="AD30">
        <v>450</v>
      </c>
      <c r="AE30">
        <v>0</v>
      </c>
      <c r="AF30">
        <v>0</v>
      </c>
      <c r="AG30">
        <v>3200</v>
      </c>
      <c r="AH30">
        <v>0</v>
      </c>
      <c r="AI30">
        <v>0</v>
      </c>
      <c r="AJ30">
        <v>0</v>
      </c>
      <c r="AK30">
        <v>200</v>
      </c>
      <c r="AL30">
        <v>0</v>
      </c>
      <c r="AM30">
        <v>0</v>
      </c>
      <c r="AN30" t="s">
        <v>160</v>
      </c>
    </row>
    <row r="31" spans="1:4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v>0.38800000000000001</v>
      </c>
      <c r="N31" s="5" t="s">
        <v>165</v>
      </c>
      <c r="O31" t="s">
        <v>7</v>
      </c>
      <c r="P31">
        <v>5432</v>
      </c>
      <c r="Q31">
        <v>14000</v>
      </c>
      <c r="R31" t="s">
        <v>92</v>
      </c>
      <c r="S31">
        <v>0</v>
      </c>
      <c r="T31">
        <v>500</v>
      </c>
      <c r="U31">
        <v>200</v>
      </c>
      <c r="V31">
        <v>3000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832</v>
      </c>
      <c r="AM31">
        <v>1200</v>
      </c>
      <c r="AN31" t="s">
        <v>160</v>
      </c>
    </row>
    <row r="32" spans="1:4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v>0.3537142857142857</v>
      </c>
      <c r="N32" s="5" t="s">
        <v>165</v>
      </c>
      <c r="O32" t="s">
        <v>7</v>
      </c>
      <c r="P32">
        <v>4952</v>
      </c>
      <c r="Q32">
        <v>14000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160</v>
      </c>
      <c r="X32">
        <v>0</v>
      </c>
      <c r="Y32">
        <v>0</v>
      </c>
      <c r="Z32">
        <v>0</v>
      </c>
      <c r="AA32">
        <v>270</v>
      </c>
      <c r="AB32">
        <v>1300</v>
      </c>
      <c r="AC32">
        <v>0</v>
      </c>
      <c r="AD32">
        <v>580</v>
      </c>
      <c r="AE32">
        <v>0</v>
      </c>
      <c r="AF32">
        <v>0</v>
      </c>
      <c r="AG32">
        <v>292</v>
      </c>
      <c r="AH32">
        <v>1300</v>
      </c>
      <c r="AI32">
        <v>0</v>
      </c>
      <c r="AJ32">
        <v>0</v>
      </c>
      <c r="AK32">
        <v>500</v>
      </c>
      <c r="AL32">
        <v>360</v>
      </c>
      <c r="AM32">
        <v>0</v>
      </c>
      <c r="AN32" t="s">
        <v>160</v>
      </c>
    </row>
    <row r="33" spans="1:4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v>1.3463488372093024</v>
      </c>
      <c r="E33" s="1" t="s">
        <v>6</v>
      </c>
      <c r="F33" t="s">
        <v>24</v>
      </c>
      <c r="G33">
        <v>57393</v>
      </c>
      <c r="H33" t="s">
        <v>461</v>
      </c>
      <c r="I33" s="59">
        <v>45334</v>
      </c>
      <c r="J33" t="s">
        <v>536</v>
      </c>
      <c r="L33" s="59"/>
      <c r="M33" s="1">
        <v>9.2142857142857137E-2</v>
      </c>
      <c r="N33" s="5" t="s">
        <v>165</v>
      </c>
      <c r="O33" t="s">
        <v>7</v>
      </c>
      <c r="P33">
        <v>1290</v>
      </c>
      <c r="Q33">
        <v>14000</v>
      </c>
      <c r="R33" t="s">
        <v>53</v>
      </c>
      <c r="S33">
        <v>0</v>
      </c>
      <c r="T33">
        <v>0</v>
      </c>
      <c r="U33">
        <v>0</v>
      </c>
      <c r="V33">
        <v>0</v>
      </c>
      <c r="W33">
        <v>0</v>
      </c>
      <c r="X33">
        <v>300</v>
      </c>
      <c r="Y33">
        <v>0</v>
      </c>
      <c r="Z33">
        <v>100</v>
      </c>
      <c r="AA33">
        <v>0</v>
      </c>
      <c r="AB33">
        <v>0</v>
      </c>
      <c r="AC33">
        <v>390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500</v>
      </c>
      <c r="AL33">
        <v>0</v>
      </c>
      <c r="AM33">
        <v>0</v>
      </c>
      <c r="AN33" t="s">
        <v>160</v>
      </c>
    </row>
    <row r="34" spans="1:4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v>0.93720930232558142</v>
      </c>
      <c r="E34" s="1" t="s">
        <v>6</v>
      </c>
      <c r="F34" t="s">
        <v>61</v>
      </c>
      <c r="G34">
        <v>39700</v>
      </c>
      <c r="H34" t="s">
        <v>438</v>
      </c>
      <c r="I34" s="59">
        <v>44909</v>
      </c>
      <c r="J34" t="s">
        <v>536</v>
      </c>
      <c r="L34" s="59"/>
      <c r="M34" s="1">
        <v>1.8016181395348838</v>
      </c>
      <c r="N34" s="5" t="s">
        <v>162</v>
      </c>
      <c r="O34" t="s">
        <v>6</v>
      </c>
      <c r="P34">
        <v>77469.58</v>
      </c>
      <c r="Q34">
        <v>43000</v>
      </c>
      <c r="R34" t="s">
        <v>18</v>
      </c>
      <c r="S34">
        <v>8000</v>
      </c>
      <c r="T34">
        <v>4050</v>
      </c>
      <c r="U34">
        <v>0</v>
      </c>
      <c r="V34">
        <v>16267.58</v>
      </c>
      <c r="W34">
        <v>0</v>
      </c>
      <c r="X34">
        <v>0</v>
      </c>
      <c r="Y34">
        <v>3000</v>
      </c>
      <c r="Z34">
        <v>7000</v>
      </c>
      <c r="AA34">
        <v>0</v>
      </c>
      <c r="AB34">
        <v>0</v>
      </c>
      <c r="AC34">
        <v>12000</v>
      </c>
      <c r="AD34">
        <v>4600</v>
      </c>
      <c r="AE34">
        <v>0</v>
      </c>
      <c r="AF34">
        <v>0</v>
      </c>
      <c r="AG34">
        <v>0</v>
      </c>
      <c r="AH34">
        <v>575</v>
      </c>
      <c r="AI34">
        <v>0</v>
      </c>
      <c r="AJ34">
        <v>5000</v>
      </c>
      <c r="AK34">
        <v>9000</v>
      </c>
      <c r="AL34">
        <v>4700</v>
      </c>
      <c r="AM34">
        <v>2117</v>
      </c>
      <c r="AN34" t="s">
        <v>161</v>
      </c>
    </row>
    <row r="35" spans="1:4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v>1.3347209302325582</v>
      </c>
      <c r="N35" s="5" t="s">
        <v>162</v>
      </c>
      <c r="O35" t="s">
        <v>6</v>
      </c>
      <c r="P35">
        <v>57393</v>
      </c>
      <c r="Q35">
        <v>43000</v>
      </c>
      <c r="R35" t="s">
        <v>24</v>
      </c>
      <c r="S35">
        <v>0</v>
      </c>
      <c r="T35">
        <v>0</v>
      </c>
      <c r="U35">
        <v>0</v>
      </c>
      <c r="V35">
        <v>0</v>
      </c>
      <c r="W35">
        <v>4775</v>
      </c>
      <c r="X35">
        <v>1000</v>
      </c>
      <c r="Y35">
        <v>12500</v>
      </c>
      <c r="Z35">
        <v>1200</v>
      </c>
      <c r="AA35">
        <v>4000</v>
      </c>
      <c r="AB35">
        <v>0</v>
      </c>
      <c r="AC35">
        <v>12500</v>
      </c>
      <c r="AD35">
        <v>0</v>
      </c>
      <c r="AE35">
        <v>0</v>
      </c>
      <c r="AF35">
        <v>600</v>
      </c>
      <c r="AG35">
        <v>0</v>
      </c>
      <c r="AH35">
        <v>600</v>
      </c>
      <c r="AI35">
        <v>5750</v>
      </c>
      <c r="AJ35">
        <v>8550</v>
      </c>
      <c r="AK35">
        <v>500</v>
      </c>
      <c r="AL35">
        <v>3350</v>
      </c>
      <c r="AM35">
        <v>0</v>
      </c>
      <c r="AN35" t="s">
        <v>161</v>
      </c>
    </row>
    <row r="36" spans="1:4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v>2.7742499999999999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v>0.92325581395348832</v>
      </c>
      <c r="N36" s="5" t="s">
        <v>163</v>
      </c>
      <c r="O36" t="s">
        <v>6</v>
      </c>
      <c r="P36">
        <v>39700</v>
      </c>
      <c r="Q36">
        <v>43000</v>
      </c>
      <c r="R36" t="s">
        <v>61</v>
      </c>
      <c r="S36">
        <v>0</v>
      </c>
      <c r="T36">
        <v>0</v>
      </c>
      <c r="U36">
        <v>0</v>
      </c>
      <c r="V36">
        <v>0</v>
      </c>
      <c r="W36">
        <v>0</v>
      </c>
      <c r="X36">
        <v>4500</v>
      </c>
      <c r="Y36">
        <v>0</v>
      </c>
      <c r="Z36">
        <v>0</v>
      </c>
      <c r="AA36">
        <v>0</v>
      </c>
      <c r="AB36">
        <v>0</v>
      </c>
      <c r="AC36">
        <v>1600</v>
      </c>
      <c r="AD36">
        <v>0</v>
      </c>
      <c r="AE36">
        <v>1100</v>
      </c>
      <c r="AF36">
        <v>0</v>
      </c>
      <c r="AG36">
        <v>1500</v>
      </c>
      <c r="AH36">
        <v>0</v>
      </c>
      <c r="AI36">
        <v>13700</v>
      </c>
      <c r="AJ36">
        <v>0</v>
      </c>
      <c r="AK36">
        <v>0</v>
      </c>
      <c r="AL36">
        <v>2600</v>
      </c>
      <c r="AM36">
        <v>14700</v>
      </c>
      <c r="AN36" t="s">
        <v>161</v>
      </c>
    </row>
    <row r="37" spans="1:4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v>1.5856250000000001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v>0.24816279069767441</v>
      </c>
      <c r="N37" s="5" t="s">
        <v>165</v>
      </c>
      <c r="O37" t="s">
        <v>6</v>
      </c>
      <c r="P37">
        <v>10671</v>
      </c>
      <c r="Q37">
        <v>43000</v>
      </c>
      <c r="R37" t="s">
        <v>78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0</v>
      </c>
      <c r="Z37">
        <v>700</v>
      </c>
      <c r="AA37">
        <v>1200</v>
      </c>
      <c r="AB37">
        <v>0</v>
      </c>
      <c r="AC37">
        <v>0</v>
      </c>
      <c r="AD37">
        <v>0</v>
      </c>
      <c r="AE37">
        <v>600</v>
      </c>
      <c r="AF37">
        <v>2290</v>
      </c>
      <c r="AG37">
        <v>0</v>
      </c>
      <c r="AH37">
        <v>0</v>
      </c>
      <c r="AI37">
        <v>1500</v>
      </c>
      <c r="AJ37">
        <v>533</v>
      </c>
      <c r="AK37">
        <v>734</v>
      </c>
      <c r="AL37">
        <v>1600</v>
      </c>
      <c r="AM37">
        <v>514</v>
      </c>
      <c r="AN37" t="s">
        <v>161</v>
      </c>
    </row>
    <row r="38" spans="1:4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v>1.1633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v>2.7742499999999999</v>
      </c>
      <c r="N38" s="5" t="s">
        <v>162</v>
      </c>
      <c r="O38" t="s">
        <v>6</v>
      </c>
      <c r="P38">
        <v>55485</v>
      </c>
      <c r="Q38">
        <v>20000</v>
      </c>
      <c r="R38" t="s">
        <v>50</v>
      </c>
      <c r="S38">
        <v>0</v>
      </c>
      <c r="T38">
        <v>0</v>
      </c>
      <c r="U38">
        <v>10000</v>
      </c>
      <c r="V38">
        <v>0</v>
      </c>
      <c r="W38">
        <v>350</v>
      </c>
      <c r="X38">
        <v>14435</v>
      </c>
      <c r="Y38">
        <v>1350</v>
      </c>
      <c r="Z38">
        <v>0</v>
      </c>
      <c r="AA38">
        <v>0</v>
      </c>
      <c r="AB38">
        <v>1000</v>
      </c>
      <c r="AC38">
        <v>0</v>
      </c>
      <c r="AD38">
        <v>1500</v>
      </c>
      <c r="AE38">
        <v>150</v>
      </c>
      <c r="AF38">
        <v>0</v>
      </c>
      <c r="AG38">
        <v>17500</v>
      </c>
      <c r="AH38">
        <v>0</v>
      </c>
      <c r="AI38">
        <v>0</v>
      </c>
      <c r="AJ38">
        <v>0</v>
      </c>
      <c r="AK38">
        <v>0</v>
      </c>
      <c r="AL38">
        <v>200</v>
      </c>
      <c r="AM38">
        <v>9000</v>
      </c>
      <c r="AN38" t="s">
        <v>161</v>
      </c>
    </row>
    <row r="39" spans="1:4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v>1.1536649999999999</v>
      </c>
      <c r="E39" s="1" t="s">
        <v>6</v>
      </c>
      <c r="F39" t="s">
        <v>26</v>
      </c>
      <c r="G39">
        <v>23073</v>
      </c>
      <c r="H39" t="s">
        <v>418</v>
      </c>
      <c r="I39" s="59">
        <v>44259</v>
      </c>
      <c r="J39" t="s">
        <v>536</v>
      </c>
      <c r="L39" s="59"/>
      <c r="M39" s="1">
        <v>1.5856250000000001</v>
      </c>
      <c r="N39" s="5" t="s">
        <v>162</v>
      </c>
      <c r="O39" t="s">
        <v>6</v>
      </c>
      <c r="P39">
        <v>31712.5</v>
      </c>
      <c r="Q39">
        <v>20000</v>
      </c>
      <c r="R39" t="s">
        <v>35</v>
      </c>
      <c r="S39">
        <v>0</v>
      </c>
      <c r="T39">
        <v>2200</v>
      </c>
      <c r="U39">
        <v>0</v>
      </c>
      <c r="V39">
        <v>0</v>
      </c>
      <c r="W39">
        <v>7950</v>
      </c>
      <c r="X39">
        <v>0</v>
      </c>
      <c r="Y39">
        <v>270</v>
      </c>
      <c r="Z39">
        <v>2225</v>
      </c>
      <c r="AA39">
        <v>1915</v>
      </c>
      <c r="AB39">
        <v>1000</v>
      </c>
      <c r="AC39">
        <v>3400</v>
      </c>
      <c r="AD39">
        <v>10000</v>
      </c>
      <c r="AE39">
        <v>0</v>
      </c>
      <c r="AF39">
        <v>340</v>
      </c>
      <c r="AG39">
        <v>700</v>
      </c>
      <c r="AH39">
        <v>187.5</v>
      </c>
      <c r="AI39">
        <v>200</v>
      </c>
      <c r="AJ39">
        <v>0</v>
      </c>
      <c r="AK39">
        <v>1100</v>
      </c>
      <c r="AL39">
        <v>225</v>
      </c>
      <c r="AM39">
        <v>0</v>
      </c>
      <c r="AN39" t="s">
        <v>161</v>
      </c>
    </row>
    <row r="40" spans="1:4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v>1.0549999999999999</v>
      </c>
      <c r="E40" s="1" t="s">
        <v>6</v>
      </c>
      <c r="F40" t="s">
        <v>81</v>
      </c>
      <c r="G40">
        <v>20840</v>
      </c>
      <c r="H40" t="s">
        <v>452</v>
      </c>
      <c r="I40" s="59">
        <v>45506</v>
      </c>
      <c r="J40" t="s">
        <v>536</v>
      </c>
      <c r="L40" s="59"/>
      <c r="M40" s="1">
        <v>1.1633</v>
      </c>
      <c r="N40" s="5" t="s">
        <v>162</v>
      </c>
      <c r="O40" t="s">
        <v>6</v>
      </c>
      <c r="P40">
        <v>23266</v>
      </c>
      <c r="Q40">
        <v>20000</v>
      </c>
      <c r="R40" t="s">
        <v>11</v>
      </c>
      <c r="S40">
        <v>0</v>
      </c>
      <c r="T40">
        <v>3000</v>
      </c>
      <c r="U40">
        <v>0</v>
      </c>
      <c r="V40">
        <v>3150</v>
      </c>
      <c r="W40">
        <v>0</v>
      </c>
      <c r="X40">
        <v>0</v>
      </c>
      <c r="Y40">
        <v>0</v>
      </c>
      <c r="Z40">
        <v>0</v>
      </c>
      <c r="AA40">
        <v>800</v>
      </c>
      <c r="AB40">
        <v>83</v>
      </c>
      <c r="AC40">
        <v>3850</v>
      </c>
      <c r="AD40">
        <v>400</v>
      </c>
      <c r="AE40">
        <v>0</v>
      </c>
      <c r="AF40">
        <v>0</v>
      </c>
      <c r="AG40">
        <v>570</v>
      </c>
      <c r="AH40">
        <v>2100</v>
      </c>
      <c r="AI40">
        <v>6200</v>
      </c>
      <c r="AJ40">
        <v>500</v>
      </c>
      <c r="AK40">
        <v>400</v>
      </c>
      <c r="AL40">
        <v>2000</v>
      </c>
      <c r="AM40">
        <v>0</v>
      </c>
      <c r="AN40" t="s">
        <v>161</v>
      </c>
    </row>
    <row r="41" spans="1:4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v>0.94614500000000012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v>1.1536500000000001</v>
      </c>
      <c r="N41" s="5" t="s">
        <v>162</v>
      </c>
      <c r="O41" t="s">
        <v>6</v>
      </c>
      <c r="P41">
        <v>23073</v>
      </c>
      <c r="Q41">
        <v>20000</v>
      </c>
      <c r="R41" t="s">
        <v>26</v>
      </c>
      <c r="S41">
        <v>0</v>
      </c>
      <c r="T41">
        <v>0</v>
      </c>
      <c r="U41">
        <v>180</v>
      </c>
      <c r="V41">
        <v>0</v>
      </c>
      <c r="W41">
        <v>0</v>
      </c>
      <c r="X41">
        <v>3250</v>
      </c>
      <c r="Y41">
        <v>0</v>
      </c>
      <c r="Z41">
        <v>0</v>
      </c>
      <c r="AA41">
        <v>150</v>
      </c>
      <c r="AB41">
        <v>113</v>
      </c>
      <c r="AC41">
        <v>220</v>
      </c>
      <c r="AD41">
        <v>0</v>
      </c>
      <c r="AE41">
        <v>0</v>
      </c>
      <c r="AF41">
        <v>1000</v>
      </c>
      <c r="AG41">
        <v>0</v>
      </c>
      <c r="AH41">
        <v>5660</v>
      </c>
      <c r="AI41">
        <v>0</v>
      </c>
      <c r="AJ41">
        <v>0</v>
      </c>
      <c r="AK41">
        <v>1500</v>
      </c>
      <c r="AL41">
        <v>6000</v>
      </c>
      <c r="AM41">
        <v>2900</v>
      </c>
      <c r="AN41" t="s">
        <v>161</v>
      </c>
    </row>
    <row r="42" spans="1:4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v>0.72604999999999997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v>1.042</v>
      </c>
      <c r="N42" s="5" t="s">
        <v>162</v>
      </c>
      <c r="O42" t="s">
        <v>6</v>
      </c>
      <c r="P42">
        <v>20840</v>
      </c>
      <c r="Q42">
        <v>20000</v>
      </c>
      <c r="R42" t="s">
        <v>81</v>
      </c>
      <c r="S42">
        <v>0</v>
      </c>
      <c r="T42">
        <v>0</v>
      </c>
      <c r="U42">
        <v>100</v>
      </c>
      <c r="V42">
        <v>0</v>
      </c>
      <c r="W42">
        <v>0</v>
      </c>
      <c r="X42">
        <v>1200</v>
      </c>
      <c r="Y42">
        <v>2000</v>
      </c>
      <c r="Z42">
        <v>0</v>
      </c>
      <c r="AA42">
        <v>0</v>
      </c>
      <c r="AB42">
        <v>110</v>
      </c>
      <c r="AC42">
        <v>0</v>
      </c>
      <c r="AD42">
        <v>0</v>
      </c>
      <c r="AE42">
        <v>1600</v>
      </c>
      <c r="AF42">
        <v>0</v>
      </c>
      <c r="AG42">
        <v>0</v>
      </c>
      <c r="AH42">
        <v>5930</v>
      </c>
      <c r="AI42">
        <v>2200</v>
      </c>
      <c r="AJ42">
        <v>0</v>
      </c>
      <c r="AK42">
        <v>0</v>
      </c>
      <c r="AL42">
        <v>6500</v>
      </c>
      <c r="AM42">
        <v>0</v>
      </c>
      <c r="AN42" t="s">
        <v>161</v>
      </c>
    </row>
    <row r="43" spans="1:4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v>0.70425000000000004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v>0.94614500000000012</v>
      </c>
      <c r="N43" s="5" t="s">
        <v>163</v>
      </c>
      <c r="O43" t="s">
        <v>6</v>
      </c>
      <c r="P43">
        <v>18922.900000000001</v>
      </c>
      <c r="Q43">
        <v>20000</v>
      </c>
      <c r="R43" t="s">
        <v>67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122.9</v>
      </c>
      <c r="Z43">
        <v>0</v>
      </c>
      <c r="AA43">
        <v>1000</v>
      </c>
      <c r="AB43">
        <v>0</v>
      </c>
      <c r="AC43">
        <v>400</v>
      </c>
      <c r="AD43">
        <v>2000</v>
      </c>
      <c r="AE43">
        <v>3000</v>
      </c>
      <c r="AF43">
        <v>0</v>
      </c>
      <c r="AG43">
        <v>200</v>
      </c>
      <c r="AH43">
        <v>0</v>
      </c>
      <c r="AI43">
        <v>8600</v>
      </c>
      <c r="AJ43">
        <v>0</v>
      </c>
      <c r="AK43">
        <v>2000</v>
      </c>
      <c r="AL43">
        <v>1100</v>
      </c>
      <c r="AM43">
        <v>0</v>
      </c>
      <c r="AN43" t="s">
        <v>161</v>
      </c>
    </row>
    <row r="44" spans="1:4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v>0.30764999999999998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v>0.72604999999999997</v>
      </c>
      <c r="N44" s="5" t="s">
        <v>163</v>
      </c>
      <c r="O44" t="s">
        <v>6</v>
      </c>
      <c r="P44">
        <v>14521</v>
      </c>
      <c r="Q44">
        <v>20000</v>
      </c>
      <c r="R44" t="s">
        <v>19</v>
      </c>
      <c r="S44">
        <v>0</v>
      </c>
      <c r="T44">
        <v>0</v>
      </c>
      <c r="U44">
        <v>0</v>
      </c>
      <c r="V44">
        <v>0</v>
      </c>
      <c r="W44">
        <v>400</v>
      </c>
      <c r="X44">
        <v>360</v>
      </c>
      <c r="Y44">
        <v>0</v>
      </c>
      <c r="Z44">
        <v>0</v>
      </c>
      <c r="AA44">
        <v>0</v>
      </c>
      <c r="AB44">
        <v>0</v>
      </c>
      <c r="AC44">
        <v>2150</v>
      </c>
      <c r="AD44">
        <v>0</v>
      </c>
      <c r="AE44">
        <v>0</v>
      </c>
      <c r="AF44">
        <v>2875</v>
      </c>
      <c r="AG44">
        <v>480</v>
      </c>
      <c r="AH44">
        <v>0</v>
      </c>
      <c r="AI44">
        <v>500</v>
      </c>
      <c r="AJ44">
        <v>0</v>
      </c>
      <c r="AK44">
        <v>2020</v>
      </c>
      <c r="AL44">
        <v>3736</v>
      </c>
      <c r="AM44">
        <v>2000</v>
      </c>
      <c r="AN44" t="s">
        <v>161</v>
      </c>
    </row>
    <row r="45" spans="1:4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v>0.70425000000000004</v>
      </c>
      <c r="N45" s="5" t="s">
        <v>163</v>
      </c>
      <c r="O45" t="s">
        <v>6</v>
      </c>
      <c r="P45">
        <v>14085</v>
      </c>
      <c r="Q45">
        <v>20000</v>
      </c>
      <c r="R45" t="s">
        <v>65</v>
      </c>
      <c r="S45">
        <v>0</v>
      </c>
      <c r="T45">
        <v>0</v>
      </c>
      <c r="U45">
        <v>1500</v>
      </c>
      <c r="V45">
        <v>0</v>
      </c>
      <c r="W45">
        <v>0</v>
      </c>
      <c r="X45">
        <v>0</v>
      </c>
      <c r="Y45">
        <v>0</v>
      </c>
      <c r="Z45">
        <v>0</v>
      </c>
      <c r="AA45">
        <v>7575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610</v>
      </c>
      <c r="AI45">
        <v>0</v>
      </c>
      <c r="AJ45">
        <v>0</v>
      </c>
      <c r="AK45">
        <v>400</v>
      </c>
      <c r="AL45">
        <v>4000</v>
      </c>
      <c r="AM45">
        <v>0</v>
      </c>
      <c r="AN45" t="s">
        <v>161</v>
      </c>
    </row>
    <row r="46" spans="1:4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v>1.202883939038687</v>
      </c>
      <c r="E46" s="1" t="s">
        <v>4</v>
      </c>
      <c r="F46" t="s">
        <v>10</v>
      </c>
      <c r="G46">
        <v>49500</v>
      </c>
      <c r="H46" t="s">
        <v>476</v>
      </c>
      <c r="I46" s="59">
        <v>44706</v>
      </c>
      <c r="J46" t="s">
        <v>536</v>
      </c>
      <c r="L46" s="59"/>
      <c r="M46" s="1">
        <v>0.30764999999999998</v>
      </c>
      <c r="N46" s="5" t="s">
        <v>165</v>
      </c>
      <c r="O46" t="s">
        <v>6</v>
      </c>
      <c r="P46">
        <v>6153</v>
      </c>
      <c r="Q46">
        <v>20000</v>
      </c>
      <c r="R46" t="s">
        <v>41</v>
      </c>
      <c r="S46">
        <v>0</v>
      </c>
      <c r="T46">
        <v>0</v>
      </c>
      <c r="U46">
        <v>800</v>
      </c>
      <c r="V46">
        <v>0</v>
      </c>
      <c r="W46">
        <v>0</v>
      </c>
      <c r="X46">
        <v>0</v>
      </c>
      <c r="Y46">
        <v>0</v>
      </c>
      <c r="Z46">
        <v>1500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2400</v>
      </c>
      <c r="AH46">
        <v>600</v>
      </c>
      <c r="AI46">
        <v>300</v>
      </c>
      <c r="AJ46">
        <v>0</v>
      </c>
      <c r="AK46">
        <v>0</v>
      </c>
      <c r="AL46">
        <v>553</v>
      </c>
      <c r="AM46">
        <v>0</v>
      </c>
      <c r="AN46" t="s">
        <v>161</v>
      </c>
    </row>
    <row r="47" spans="1:4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v>1.0210550996483001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v>0.94565454545454541</v>
      </c>
      <c r="N47" s="5" t="s">
        <v>163</v>
      </c>
      <c r="O47" t="s">
        <v>4</v>
      </c>
      <c r="P47">
        <v>52011</v>
      </c>
      <c r="Q47">
        <v>55000</v>
      </c>
      <c r="R47" t="s">
        <v>57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1300</v>
      </c>
      <c r="Z47">
        <v>4000</v>
      </c>
      <c r="AA47">
        <v>0</v>
      </c>
      <c r="AB47">
        <v>10000</v>
      </c>
      <c r="AC47">
        <v>0</v>
      </c>
      <c r="AD47">
        <v>9000</v>
      </c>
      <c r="AE47">
        <v>4728</v>
      </c>
      <c r="AF47">
        <v>832</v>
      </c>
      <c r="AG47">
        <v>0</v>
      </c>
      <c r="AH47">
        <v>15700</v>
      </c>
      <c r="AI47">
        <v>0</v>
      </c>
      <c r="AJ47">
        <v>0</v>
      </c>
      <c r="AK47">
        <v>0</v>
      </c>
      <c r="AL47">
        <v>5000</v>
      </c>
      <c r="AM47">
        <v>1451</v>
      </c>
      <c r="AN47" t="s">
        <v>159</v>
      </c>
    </row>
    <row r="48" spans="1:4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v>0.882883939038687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v>0.9</v>
      </c>
      <c r="N48" s="5" t="s">
        <v>163</v>
      </c>
      <c r="O48" t="s">
        <v>4</v>
      </c>
      <c r="P48">
        <v>49500</v>
      </c>
      <c r="Q48">
        <v>55000</v>
      </c>
      <c r="R48" t="s">
        <v>10</v>
      </c>
      <c r="S48">
        <v>0</v>
      </c>
      <c r="T48">
        <v>0</v>
      </c>
      <c r="U48">
        <v>600</v>
      </c>
      <c r="V48">
        <v>0</v>
      </c>
      <c r="W48">
        <v>0</v>
      </c>
      <c r="X48">
        <v>1400</v>
      </c>
      <c r="Y48">
        <v>2500</v>
      </c>
      <c r="Z48">
        <v>0</v>
      </c>
      <c r="AA48">
        <v>200</v>
      </c>
      <c r="AB48">
        <v>0</v>
      </c>
      <c r="AC48">
        <v>0</v>
      </c>
      <c r="AD48">
        <v>6050</v>
      </c>
      <c r="AE48">
        <v>0</v>
      </c>
      <c r="AF48">
        <v>9500</v>
      </c>
      <c r="AG48">
        <v>5800</v>
      </c>
      <c r="AH48">
        <v>4250</v>
      </c>
      <c r="AI48">
        <v>0</v>
      </c>
      <c r="AJ48">
        <v>0</v>
      </c>
      <c r="AK48">
        <v>0</v>
      </c>
      <c r="AL48">
        <v>8400</v>
      </c>
      <c r="AM48">
        <v>10800</v>
      </c>
      <c r="AN48" t="s">
        <v>159</v>
      </c>
    </row>
    <row r="49" spans="1:4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v>0.89381008206330603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v>0.79178181818181814</v>
      </c>
      <c r="N49" s="5" t="s">
        <v>163</v>
      </c>
      <c r="O49" t="s">
        <v>4</v>
      </c>
      <c r="P49">
        <v>43548</v>
      </c>
      <c r="Q49">
        <v>55000</v>
      </c>
      <c r="R49" t="s">
        <v>60</v>
      </c>
      <c r="S49">
        <v>2740</v>
      </c>
      <c r="T49">
        <v>992</v>
      </c>
      <c r="U49">
        <v>0</v>
      </c>
      <c r="V49">
        <v>0</v>
      </c>
      <c r="W49">
        <v>0</v>
      </c>
      <c r="X49">
        <v>1500</v>
      </c>
      <c r="Y49">
        <v>0</v>
      </c>
      <c r="Z49">
        <v>600</v>
      </c>
      <c r="AA49">
        <v>0</v>
      </c>
      <c r="AB49">
        <v>1134</v>
      </c>
      <c r="AC49">
        <v>3000</v>
      </c>
      <c r="AD49">
        <v>5100</v>
      </c>
      <c r="AE49">
        <v>1100</v>
      </c>
      <c r="AF49">
        <v>5500</v>
      </c>
      <c r="AG49">
        <v>2000</v>
      </c>
      <c r="AH49">
        <v>6100</v>
      </c>
      <c r="AI49">
        <v>5000</v>
      </c>
      <c r="AJ49">
        <v>2500</v>
      </c>
      <c r="AK49">
        <v>0</v>
      </c>
      <c r="AL49">
        <v>6282</v>
      </c>
      <c r="AM49">
        <v>0</v>
      </c>
      <c r="AN49" t="s">
        <v>159</v>
      </c>
    </row>
    <row r="50" spans="1:4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v>0.65992966002344666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v>0.70281818181818179</v>
      </c>
      <c r="N50" s="5" t="s">
        <v>163</v>
      </c>
      <c r="O50" t="s">
        <v>4</v>
      </c>
      <c r="P50">
        <v>38655</v>
      </c>
      <c r="Q50">
        <v>55000</v>
      </c>
      <c r="R50" t="s">
        <v>59</v>
      </c>
      <c r="S50">
        <v>0</v>
      </c>
      <c r="T50">
        <v>0</v>
      </c>
      <c r="U50">
        <v>2000</v>
      </c>
      <c r="V50">
        <v>0</v>
      </c>
      <c r="W50">
        <v>1000</v>
      </c>
      <c r="X50">
        <v>0</v>
      </c>
      <c r="Y50">
        <v>1200</v>
      </c>
      <c r="Z50">
        <v>1100</v>
      </c>
      <c r="AA50">
        <v>0</v>
      </c>
      <c r="AB50">
        <v>0</v>
      </c>
      <c r="AC50">
        <v>2000</v>
      </c>
      <c r="AD50">
        <v>1800</v>
      </c>
      <c r="AE50">
        <v>0</v>
      </c>
      <c r="AF50">
        <v>2000</v>
      </c>
      <c r="AG50">
        <v>1000</v>
      </c>
      <c r="AH50">
        <v>475</v>
      </c>
      <c r="AI50">
        <v>5750</v>
      </c>
      <c r="AJ50">
        <v>0</v>
      </c>
      <c r="AK50">
        <v>15900</v>
      </c>
      <c r="AL50">
        <v>3930</v>
      </c>
      <c r="AM50">
        <v>500</v>
      </c>
      <c r="AN50" t="s">
        <v>159</v>
      </c>
    </row>
    <row r="51" spans="1:4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v>0.6931090909090909</v>
      </c>
      <c r="N51" s="5" t="s">
        <v>164</v>
      </c>
      <c r="O51" t="s">
        <v>4</v>
      </c>
      <c r="P51">
        <v>38121</v>
      </c>
      <c r="Q51">
        <v>55000</v>
      </c>
      <c r="R51" t="s">
        <v>75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10000</v>
      </c>
      <c r="Z51">
        <v>2100</v>
      </c>
      <c r="AA51">
        <v>0</v>
      </c>
      <c r="AB51">
        <v>0</v>
      </c>
      <c r="AC51">
        <v>0</v>
      </c>
      <c r="AD51">
        <v>340</v>
      </c>
      <c r="AE51">
        <v>6000</v>
      </c>
      <c r="AF51">
        <v>0</v>
      </c>
      <c r="AG51">
        <v>1500</v>
      </c>
      <c r="AH51">
        <v>2500</v>
      </c>
      <c r="AI51">
        <v>2000</v>
      </c>
      <c r="AJ51">
        <v>3500</v>
      </c>
      <c r="AK51">
        <v>2500</v>
      </c>
      <c r="AL51">
        <v>3181</v>
      </c>
      <c r="AM51">
        <v>4500</v>
      </c>
      <c r="AN51" t="s">
        <v>159</v>
      </c>
    </row>
    <row r="52" spans="1:4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v>0.61287221570926143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v>0.5117454545454545</v>
      </c>
      <c r="N52" s="5" t="s">
        <v>164</v>
      </c>
      <c r="O52" t="s">
        <v>4</v>
      </c>
      <c r="P52">
        <v>28146</v>
      </c>
      <c r="Q52">
        <v>55000</v>
      </c>
      <c r="R52" t="s">
        <v>80</v>
      </c>
      <c r="S52">
        <v>0</v>
      </c>
      <c r="T52">
        <v>0</v>
      </c>
      <c r="U52">
        <v>0</v>
      </c>
      <c r="V52">
        <v>0</v>
      </c>
      <c r="W52">
        <v>5000</v>
      </c>
      <c r="X52">
        <v>0</v>
      </c>
      <c r="Y52">
        <v>0</v>
      </c>
      <c r="Z52">
        <v>600</v>
      </c>
      <c r="AA52">
        <v>0</v>
      </c>
      <c r="AB52">
        <v>0</v>
      </c>
      <c r="AC52">
        <v>8500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500</v>
      </c>
      <c r="AK52">
        <v>746</v>
      </c>
      <c r="AL52">
        <v>11300</v>
      </c>
      <c r="AM52">
        <v>1500</v>
      </c>
      <c r="AN52" t="s">
        <v>159</v>
      </c>
    </row>
    <row r="53" spans="1:4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v>0.44963636363636361</v>
      </c>
      <c r="E53" s="1" t="s">
        <v>4</v>
      </c>
      <c r="F53" t="s">
        <v>93</v>
      </c>
      <c r="G53">
        <v>24730</v>
      </c>
      <c r="H53" t="s">
        <v>509</v>
      </c>
      <c r="I53" s="59">
        <v>44644</v>
      </c>
      <c r="J53" t="s">
        <v>536</v>
      </c>
      <c r="L53" s="59"/>
      <c r="M53" s="1">
        <v>0.50981818181818184</v>
      </c>
      <c r="N53" s="5" t="s">
        <v>164</v>
      </c>
      <c r="O53" t="s">
        <v>4</v>
      </c>
      <c r="P53">
        <v>28040</v>
      </c>
      <c r="Q53">
        <v>55000</v>
      </c>
      <c r="R53" t="s">
        <v>105</v>
      </c>
      <c r="S53">
        <v>0</v>
      </c>
      <c r="T53">
        <v>0</v>
      </c>
      <c r="U53">
        <v>0</v>
      </c>
      <c r="V53">
        <v>8000</v>
      </c>
      <c r="W53">
        <v>0</v>
      </c>
      <c r="X53">
        <v>400</v>
      </c>
      <c r="Y53">
        <v>0</v>
      </c>
      <c r="Z53">
        <v>0</v>
      </c>
      <c r="AA53">
        <v>0</v>
      </c>
      <c r="AB53">
        <v>0</v>
      </c>
      <c r="AC53">
        <v>6000</v>
      </c>
      <c r="AD53">
        <v>0</v>
      </c>
      <c r="AE53">
        <v>400</v>
      </c>
      <c r="AF53">
        <v>3000</v>
      </c>
      <c r="AG53">
        <v>1500</v>
      </c>
      <c r="AH53">
        <v>5750</v>
      </c>
      <c r="AI53">
        <v>0</v>
      </c>
      <c r="AJ53">
        <v>650</v>
      </c>
      <c r="AK53">
        <v>0</v>
      </c>
      <c r="AL53">
        <v>2000</v>
      </c>
      <c r="AM53">
        <v>340</v>
      </c>
      <c r="AN53" t="s">
        <v>159</v>
      </c>
    </row>
    <row r="54" spans="1:4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v>0.33627198124267293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v>0.47525454545454543</v>
      </c>
      <c r="N54" s="5" t="s">
        <v>164</v>
      </c>
      <c r="O54" t="s">
        <v>4</v>
      </c>
      <c r="P54">
        <v>26139</v>
      </c>
      <c r="Q54">
        <v>55000</v>
      </c>
      <c r="R54" t="s">
        <v>58</v>
      </c>
      <c r="S54">
        <v>0</v>
      </c>
      <c r="T54">
        <v>600</v>
      </c>
      <c r="U54">
        <v>0</v>
      </c>
      <c r="V54">
        <v>3000</v>
      </c>
      <c r="W54">
        <v>0</v>
      </c>
      <c r="X54">
        <v>843</v>
      </c>
      <c r="Y54">
        <v>0</v>
      </c>
      <c r="Z54">
        <v>0</v>
      </c>
      <c r="AA54">
        <v>0</v>
      </c>
      <c r="AB54">
        <v>0</v>
      </c>
      <c r="AC54">
        <v>800</v>
      </c>
      <c r="AD54">
        <v>0</v>
      </c>
      <c r="AE54">
        <v>250</v>
      </c>
      <c r="AF54">
        <v>0</v>
      </c>
      <c r="AG54">
        <v>0</v>
      </c>
      <c r="AH54">
        <v>688</v>
      </c>
      <c r="AI54">
        <v>10392</v>
      </c>
      <c r="AJ54">
        <v>0</v>
      </c>
      <c r="AK54">
        <v>900</v>
      </c>
      <c r="AL54">
        <v>630</v>
      </c>
      <c r="AM54">
        <v>8036</v>
      </c>
      <c r="AN54" t="s">
        <v>159</v>
      </c>
    </row>
    <row r="55" spans="1:4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v>0.19856975381008207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v>0.44963636363636361</v>
      </c>
      <c r="N55" s="5" t="s">
        <v>164</v>
      </c>
      <c r="O55" t="s">
        <v>4</v>
      </c>
      <c r="P55">
        <v>24730</v>
      </c>
      <c r="Q55">
        <v>55000</v>
      </c>
      <c r="R55" t="s">
        <v>93</v>
      </c>
      <c r="S55">
        <v>170</v>
      </c>
      <c r="T55">
        <v>0</v>
      </c>
      <c r="U55">
        <v>0</v>
      </c>
      <c r="V55">
        <v>0</v>
      </c>
      <c r="W55">
        <v>0</v>
      </c>
      <c r="X55">
        <v>7320</v>
      </c>
      <c r="Y55">
        <v>600</v>
      </c>
      <c r="Z55">
        <v>0</v>
      </c>
      <c r="AA55">
        <v>0</v>
      </c>
      <c r="AB55">
        <v>170</v>
      </c>
      <c r="AC55">
        <v>433</v>
      </c>
      <c r="AD55">
        <v>0</v>
      </c>
      <c r="AE55">
        <v>0</v>
      </c>
      <c r="AF55">
        <v>0</v>
      </c>
      <c r="AG55">
        <v>600</v>
      </c>
      <c r="AH55">
        <v>6000</v>
      </c>
      <c r="AI55">
        <v>1627</v>
      </c>
      <c r="AJ55">
        <v>0</v>
      </c>
      <c r="AK55">
        <v>3000</v>
      </c>
      <c r="AL55">
        <v>4810</v>
      </c>
      <c r="AM55">
        <v>0</v>
      </c>
      <c r="AN55" t="s">
        <v>159</v>
      </c>
    </row>
    <row r="56" spans="1:4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v>1.4563657678780775</v>
      </c>
      <c r="E56" s="1" t="s">
        <v>3</v>
      </c>
      <c r="F56" t="s">
        <v>31</v>
      </c>
      <c r="G56">
        <v>62084</v>
      </c>
      <c r="H56" t="s">
        <v>430</v>
      </c>
      <c r="I56" s="59">
        <v>45334</v>
      </c>
      <c r="J56" t="s">
        <v>536</v>
      </c>
      <c r="L56" s="59"/>
      <c r="M56" s="1">
        <v>0.26076363636363636</v>
      </c>
      <c r="N56" s="5" t="s">
        <v>165</v>
      </c>
      <c r="O56" t="s">
        <v>4</v>
      </c>
      <c r="P56">
        <v>14342</v>
      </c>
      <c r="Q56">
        <v>55000</v>
      </c>
      <c r="R56" t="s">
        <v>40</v>
      </c>
      <c r="S56">
        <v>0</v>
      </c>
      <c r="T56">
        <v>0</v>
      </c>
      <c r="U56">
        <v>2750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1000</v>
      </c>
      <c r="AF56">
        <v>500</v>
      </c>
      <c r="AG56">
        <v>0</v>
      </c>
      <c r="AH56">
        <v>0</v>
      </c>
      <c r="AI56">
        <v>4000</v>
      </c>
      <c r="AJ56">
        <v>0</v>
      </c>
      <c r="AK56">
        <v>2800</v>
      </c>
      <c r="AL56">
        <v>3292</v>
      </c>
      <c r="AM56">
        <v>0</v>
      </c>
      <c r="AN56" t="s">
        <v>159</v>
      </c>
    </row>
    <row r="57" spans="1:4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v>1.4216178194607267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v>0.15398181818181819</v>
      </c>
      <c r="N57" s="5" t="s">
        <v>165</v>
      </c>
      <c r="O57" t="s">
        <v>4</v>
      </c>
      <c r="P57">
        <v>8469</v>
      </c>
      <c r="Q57">
        <v>55000</v>
      </c>
      <c r="R57" t="s">
        <v>37</v>
      </c>
      <c r="S57">
        <v>0</v>
      </c>
      <c r="T57">
        <v>0</v>
      </c>
      <c r="U57">
        <v>0</v>
      </c>
      <c r="V57">
        <v>0</v>
      </c>
      <c r="W57">
        <v>2000</v>
      </c>
      <c r="X57">
        <v>0</v>
      </c>
      <c r="Y57">
        <v>0</v>
      </c>
      <c r="Z57">
        <v>0</v>
      </c>
      <c r="AA57">
        <v>0</v>
      </c>
      <c r="AB57">
        <v>700</v>
      </c>
      <c r="AC57">
        <v>5000</v>
      </c>
      <c r="AD57">
        <v>0</v>
      </c>
      <c r="AE57">
        <v>0</v>
      </c>
      <c r="AF57">
        <v>0</v>
      </c>
      <c r="AG57">
        <v>0</v>
      </c>
      <c r="AH57">
        <v>200</v>
      </c>
      <c r="AI57">
        <v>0</v>
      </c>
      <c r="AJ57">
        <v>0</v>
      </c>
      <c r="AK57">
        <v>0</v>
      </c>
      <c r="AL57">
        <v>569</v>
      </c>
      <c r="AM57">
        <v>0</v>
      </c>
      <c r="AN57" t="s">
        <v>159</v>
      </c>
    </row>
    <row r="58" spans="1:4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v>1.1288</v>
      </c>
      <c r="N58" s="5" t="s">
        <v>162</v>
      </c>
      <c r="O58" t="s">
        <v>3</v>
      </c>
      <c r="P58">
        <v>62084</v>
      </c>
      <c r="Q58">
        <v>55000</v>
      </c>
      <c r="R58" t="s">
        <v>31</v>
      </c>
      <c r="S58">
        <v>0</v>
      </c>
      <c r="T58">
        <v>5800</v>
      </c>
      <c r="U58">
        <v>3000</v>
      </c>
      <c r="V58">
        <v>1200</v>
      </c>
      <c r="W58">
        <v>1500</v>
      </c>
      <c r="X58">
        <v>0</v>
      </c>
      <c r="Y58">
        <v>0</v>
      </c>
      <c r="Z58">
        <v>0</v>
      </c>
      <c r="AA58">
        <v>0</v>
      </c>
      <c r="AB58">
        <v>13000</v>
      </c>
      <c r="AC58">
        <v>0</v>
      </c>
      <c r="AD58">
        <v>2500</v>
      </c>
      <c r="AE58">
        <v>2000</v>
      </c>
      <c r="AF58">
        <v>0</v>
      </c>
      <c r="AG58">
        <v>4500</v>
      </c>
      <c r="AH58">
        <v>0</v>
      </c>
      <c r="AI58">
        <v>0</v>
      </c>
      <c r="AJ58">
        <v>10500</v>
      </c>
      <c r="AK58">
        <v>0</v>
      </c>
      <c r="AL58">
        <v>7279</v>
      </c>
      <c r="AM58">
        <v>10805</v>
      </c>
      <c r="AN58" t="s">
        <v>159</v>
      </c>
    </row>
    <row r="59" spans="1:4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v>0.70996483001172328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v>1.1024</v>
      </c>
      <c r="N59" s="5" t="s">
        <v>162</v>
      </c>
      <c r="O59" t="s">
        <v>3</v>
      </c>
      <c r="P59">
        <v>60632</v>
      </c>
      <c r="Q59">
        <v>55000</v>
      </c>
      <c r="R59" t="s">
        <v>23</v>
      </c>
      <c r="S59">
        <v>0</v>
      </c>
      <c r="T59">
        <v>2005</v>
      </c>
      <c r="U59">
        <v>0</v>
      </c>
      <c r="V59">
        <v>4000</v>
      </c>
      <c r="W59">
        <v>10948</v>
      </c>
      <c r="X59">
        <v>500</v>
      </c>
      <c r="Y59">
        <v>0</v>
      </c>
      <c r="Z59">
        <v>2900</v>
      </c>
      <c r="AA59">
        <v>0</v>
      </c>
      <c r="AB59">
        <v>2033</v>
      </c>
      <c r="AC59">
        <v>3341</v>
      </c>
      <c r="AD59">
        <v>0</v>
      </c>
      <c r="AE59">
        <v>1250</v>
      </c>
      <c r="AF59">
        <v>0</v>
      </c>
      <c r="AG59">
        <v>0</v>
      </c>
      <c r="AH59">
        <v>16655</v>
      </c>
      <c r="AI59">
        <v>900</v>
      </c>
      <c r="AJ59">
        <v>7500</v>
      </c>
      <c r="AK59">
        <v>0</v>
      </c>
      <c r="AL59">
        <v>750</v>
      </c>
      <c r="AM59">
        <v>7850</v>
      </c>
      <c r="AN59" t="s">
        <v>159</v>
      </c>
    </row>
    <row r="60" spans="1:4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v>0.65885111371629546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v>0.83343636363636364</v>
      </c>
      <c r="N60" s="5" t="s">
        <v>163</v>
      </c>
      <c r="O60" t="s">
        <v>3</v>
      </c>
      <c r="P60">
        <v>45839</v>
      </c>
      <c r="Q60">
        <v>55000</v>
      </c>
      <c r="R60" t="s">
        <v>69</v>
      </c>
      <c r="S60">
        <v>0</v>
      </c>
      <c r="T60">
        <v>0</v>
      </c>
      <c r="U60">
        <v>2500</v>
      </c>
      <c r="V60">
        <v>100</v>
      </c>
      <c r="W60">
        <v>0</v>
      </c>
      <c r="X60">
        <v>0</v>
      </c>
      <c r="Y60">
        <v>0</v>
      </c>
      <c r="Z60">
        <v>0</v>
      </c>
      <c r="AA60">
        <v>512</v>
      </c>
      <c r="AB60">
        <v>1200</v>
      </c>
      <c r="AC60">
        <v>5000</v>
      </c>
      <c r="AD60">
        <v>500</v>
      </c>
      <c r="AE60">
        <v>980</v>
      </c>
      <c r="AF60">
        <v>7500</v>
      </c>
      <c r="AG60">
        <v>10599</v>
      </c>
      <c r="AH60">
        <v>0</v>
      </c>
      <c r="AI60">
        <v>300</v>
      </c>
      <c r="AJ60">
        <v>800</v>
      </c>
      <c r="AK60">
        <v>3650</v>
      </c>
      <c r="AL60">
        <v>11697</v>
      </c>
      <c r="AM60">
        <v>500</v>
      </c>
      <c r="AN60" t="s">
        <v>159</v>
      </c>
    </row>
    <row r="61" spans="1:4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v>0.64370457209847598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v>0.55054545454545456</v>
      </c>
      <c r="N61" s="5" t="s">
        <v>164</v>
      </c>
      <c r="O61" t="s">
        <v>3</v>
      </c>
      <c r="P61">
        <v>30280</v>
      </c>
      <c r="Q61">
        <v>55000</v>
      </c>
      <c r="R61" t="s">
        <v>32</v>
      </c>
      <c r="S61">
        <v>15000</v>
      </c>
      <c r="T61">
        <v>0</v>
      </c>
      <c r="U61">
        <v>250</v>
      </c>
      <c r="V61">
        <v>250</v>
      </c>
      <c r="W61">
        <v>0</v>
      </c>
      <c r="X61">
        <v>500</v>
      </c>
      <c r="Y61">
        <v>5000</v>
      </c>
      <c r="Z61">
        <v>0</v>
      </c>
      <c r="AA61">
        <v>0</v>
      </c>
      <c r="AB61">
        <v>0</v>
      </c>
      <c r="AC61">
        <v>230</v>
      </c>
      <c r="AD61">
        <v>0</v>
      </c>
      <c r="AE61">
        <v>0</v>
      </c>
      <c r="AF61">
        <v>150</v>
      </c>
      <c r="AG61">
        <v>1100</v>
      </c>
      <c r="AH61">
        <v>200</v>
      </c>
      <c r="AI61">
        <v>0</v>
      </c>
      <c r="AJ61">
        <v>0</v>
      </c>
      <c r="AK61">
        <v>2700</v>
      </c>
      <c r="AL61">
        <v>1900</v>
      </c>
      <c r="AM61">
        <v>3000</v>
      </c>
      <c r="AN61" t="s">
        <v>159</v>
      </c>
    </row>
    <row r="62" spans="1:4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v>0.51090909090909087</v>
      </c>
      <c r="N62" s="5" t="s">
        <v>164</v>
      </c>
      <c r="O62" t="s">
        <v>3</v>
      </c>
      <c r="P62">
        <v>28100</v>
      </c>
      <c r="Q62">
        <v>55000</v>
      </c>
      <c r="R62" t="s">
        <v>13</v>
      </c>
      <c r="S62">
        <v>400</v>
      </c>
      <c r="T62">
        <v>0</v>
      </c>
      <c r="U62">
        <v>0</v>
      </c>
      <c r="V62">
        <v>0</v>
      </c>
      <c r="W62">
        <v>0</v>
      </c>
      <c r="X62">
        <v>0</v>
      </c>
      <c r="Y62">
        <v>3000</v>
      </c>
      <c r="Z62">
        <v>0</v>
      </c>
      <c r="AA62">
        <v>1000</v>
      </c>
      <c r="AB62">
        <v>0</v>
      </c>
      <c r="AC62">
        <v>4500</v>
      </c>
      <c r="AD62">
        <v>800</v>
      </c>
      <c r="AE62">
        <v>5500</v>
      </c>
      <c r="AF62">
        <v>0</v>
      </c>
      <c r="AG62">
        <v>1000</v>
      </c>
      <c r="AH62">
        <v>0</v>
      </c>
      <c r="AI62">
        <v>0</v>
      </c>
      <c r="AJ62">
        <v>1900</v>
      </c>
      <c r="AK62">
        <v>0</v>
      </c>
      <c r="AL62">
        <v>10000</v>
      </c>
      <c r="AM62">
        <v>0</v>
      </c>
      <c r="AN62" t="s">
        <v>159</v>
      </c>
    </row>
    <row r="63" spans="1:4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v>0.46424384525205159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v>0.49916363636363636</v>
      </c>
      <c r="N63" s="5" t="s">
        <v>164</v>
      </c>
      <c r="O63" t="s">
        <v>3</v>
      </c>
      <c r="P63">
        <v>27454</v>
      </c>
      <c r="Q63">
        <v>55000</v>
      </c>
      <c r="R63" t="s">
        <v>22</v>
      </c>
      <c r="S63">
        <v>0</v>
      </c>
      <c r="T63">
        <v>1600</v>
      </c>
      <c r="U63">
        <v>0</v>
      </c>
      <c r="V63">
        <v>0</v>
      </c>
      <c r="W63">
        <v>145</v>
      </c>
      <c r="X63">
        <v>636</v>
      </c>
      <c r="Y63">
        <v>0</v>
      </c>
      <c r="Z63">
        <v>0</v>
      </c>
      <c r="AA63">
        <v>0</v>
      </c>
      <c r="AB63">
        <v>700</v>
      </c>
      <c r="AC63">
        <v>600</v>
      </c>
      <c r="AD63">
        <v>500</v>
      </c>
      <c r="AE63">
        <v>600</v>
      </c>
      <c r="AF63">
        <v>0</v>
      </c>
      <c r="AG63">
        <v>3385</v>
      </c>
      <c r="AH63">
        <v>200</v>
      </c>
      <c r="AI63">
        <v>0</v>
      </c>
      <c r="AJ63">
        <v>0</v>
      </c>
      <c r="AK63">
        <v>14676</v>
      </c>
      <c r="AL63">
        <v>1700</v>
      </c>
      <c r="AM63">
        <v>2712</v>
      </c>
      <c r="AN63" t="s">
        <v>159</v>
      </c>
    </row>
    <row r="64" spans="1:4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v>0.40736363636363637</v>
      </c>
      <c r="N64" s="5" t="s">
        <v>164</v>
      </c>
      <c r="O64" t="s">
        <v>3</v>
      </c>
      <c r="P64">
        <v>22405</v>
      </c>
      <c r="Q64">
        <v>55000</v>
      </c>
      <c r="R64" t="s">
        <v>16</v>
      </c>
      <c r="S64">
        <v>275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700</v>
      </c>
      <c r="AC64">
        <v>0</v>
      </c>
      <c r="AD64">
        <v>0</v>
      </c>
      <c r="AE64">
        <v>3765</v>
      </c>
      <c r="AF64">
        <v>2500</v>
      </c>
      <c r="AG64">
        <v>0</v>
      </c>
      <c r="AH64">
        <v>5300</v>
      </c>
      <c r="AI64">
        <v>0</v>
      </c>
      <c r="AJ64">
        <v>0</v>
      </c>
      <c r="AK64">
        <v>1900</v>
      </c>
      <c r="AL64">
        <v>7365</v>
      </c>
      <c r="AM64">
        <v>600</v>
      </c>
      <c r="AN64" t="s">
        <v>159</v>
      </c>
    </row>
    <row r="65" spans="1:4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v>0.37615474794841736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v>0.36</v>
      </c>
      <c r="N65" s="5" t="s">
        <v>165</v>
      </c>
      <c r="O65" t="s">
        <v>3</v>
      </c>
      <c r="P65">
        <v>19800</v>
      </c>
      <c r="Q65">
        <v>55000</v>
      </c>
      <c r="R65" t="s">
        <v>17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2000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6000</v>
      </c>
      <c r="AG65">
        <v>320</v>
      </c>
      <c r="AH65">
        <v>0</v>
      </c>
      <c r="AI65">
        <v>1320</v>
      </c>
      <c r="AJ65">
        <v>480</v>
      </c>
      <c r="AK65">
        <v>0</v>
      </c>
      <c r="AL65">
        <v>9680</v>
      </c>
      <c r="AM65">
        <v>0</v>
      </c>
      <c r="AN65" t="s">
        <v>159</v>
      </c>
    </row>
    <row r="66" spans="1:4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v>0.36271981242672918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v>0.36241818181818181</v>
      </c>
      <c r="N66" s="5" t="s">
        <v>165</v>
      </c>
      <c r="O66" t="s">
        <v>3</v>
      </c>
      <c r="P66">
        <v>19933</v>
      </c>
      <c r="Q66">
        <v>55000</v>
      </c>
      <c r="R66" t="s">
        <v>44</v>
      </c>
      <c r="S66">
        <v>0</v>
      </c>
      <c r="T66">
        <v>0</v>
      </c>
      <c r="U66">
        <v>0</v>
      </c>
      <c r="V66">
        <v>0</v>
      </c>
      <c r="W66">
        <v>5800</v>
      </c>
      <c r="X66">
        <v>0</v>
      </c>
      <c r="Y66">
        <v>3000</v>
      </c>
      <c r="Z66">
        <v>0</v>
      </c>
      <c r="AA66">
        <v>257</v>
      </c>
      <c r="AB66">
        <v>2100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4635</v>
      </c>
      <c r="AJ66">
        <v>1861</v>
      </c>
      <c r="AK66">
        <v>0</v>
      </c>
      <c r="AL66">
        <v>0</v>
      </c>
      <c r="AM66">
        <v>2280</v>
      </c>
      <c r="AN66" t="s">
        <v>159</v>
      </c>
    </row>
    <row r="67" spans="1:40" x14ac:dyDescent="0.25">
      <c r="M67" s="1">
        <v>0.29169090909090911</v>
      </c>
      <c r="N67" s="5" t="s">
        <v>165</v>
      </c>
      <c r="O67" t="s">
        <v>3</v>
      </c>
      <c r="P67">
        <v>16043</v>
      </c>
      <c r="Q67">
        <v>55000</v>
      </c>
      <c r="R67" t="s">
        <v>76</v>
      </c>
      <c r="S67">
        <v>0</v>
      </c>
      <c r="T67">
        <v>0</v>
      </c>
      <c r="U67">
        <v>5100</v>
      </c>
      <c r="V67">
        <v>0</v>
      </c>
      <c r="W67">
        <v>0</v>
      </c>
      <c r="X67">
        <v>0</v>
      </c>
      <c r="Y67">
        <v>0</v>
      </c>
      <c r="Z67">
        <v>250</v>
      </c>
      <c r="AA67">
        <v>3000</v>
      </c>
      <c r="AB67">
        <v>0</v>
      </c>
      <c r="AC67">
        <v>0</v>
      </c>
      <c r="AD67">
        <v>500</v>
      </c>
      <c r="AE67">
        <v>0</v>
      </c>
      <c r="AF67">
        <v>0</v>
      </c>
      <c r="AG67">
        <v>780</v>
      </c>
      <c r="AH67">
        <v>1000</v>
      </c>
      <c r="AI67">
        <v>0</v>
      </c>
      <c r="AJ67">
        <v>2100</v>
      </c>
      <c r="AK67">
        <v>0</v>
      </c>
      <c r="AL67">
        <v>663</v>
      </c>
      <c r="AM67">
        <v>2650</v>
      </c>
      <c r="AN67" t="s">
        <v>159</v>
      </c>
    </row>
    <row r="68" spans="1:40" x14ac:dyDescent="0.25">
      <c r="M68" s="1">
        <v>0.28127272727272729</v>
      </c>
      <c r="N68" s="5" t="s">
        <v>165</v>
      </c>
      <c r="O68" t="s">
        <v>3</v>
      </c>
      <c r="P68">
        <v>15470</v>
      </c>
      <c r="Q68">
        <v>55000</v>
      </c>
      <c r="R68" t="s">
        <v>97</v>
      </c>
      <c r="S68">
        <v>0</v>
      </c>
      <c r="T68">
        <v>0</v>
      </c>
      <c r="U68">
        <v>115</v>
      </c>
      <c r="V68">
        <v>0</v>
      </c>
      <c r="W68">
        <v>100</v>
      </c>
      <c r="X68">
        <v>0</v>
      </c>
      <c r="Y68">
        <v>0</v>
      </c>
      <c r="Z68">
        <v>0</v>
      </c>
      <c r="AA68">
        <v>0</v>
      </c>
      <c r="AB68">
        <v>0</v>
      </c>
      <c r="AC68">
        <v>8500</v>
      </c>
      <c r="AD68">
        <v>175</v>
      </c>
      <c r="AE68">
        <v>1200</v>
      </c>
      <c r="AF68">
        <v>0</v>
      </c>
      <c r="AG68">
        <v>1080</v>
      </c>
      <c r="AH68">
        <v>0</v>
      </c>
      <c r="AI68">
        <v>100</v>
      </c>
      <c r="AJ68">
        <v>1400</v>
      </c>
      <c r="AK68">
        <v>0</v>
      </c>
      <c r="AL68">
        <v>2800</v>
      </c>
      <c r="AM68">
        <v>0</v>
      </c>
      <c r="AN68" t="s">
        <v>159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M62"/>
  <sheetViews>
    <sheetView zoomScale="70" zoomScaleNormal="70" workbookViewId="0">
      <selection activeCell="D17" sqref="D17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</cols>
  <sheetData>
    <row r="1" spans="1:65" x14ac:dyDescent="0.25">
      <c r="A1" s="35"/>
      <c r="B1" s="35"/>
      <c r="C1" s="36"/>
      <c r="D1" s="36"/>
      <c r="E1" s="36"/>
      <c r="H1"/>
      <c r="L1" s="59"/>
      <c r="N1" s="5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5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65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65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C5" s="46"/>
    </row>
    <row r="6" spans="1:65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65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65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561</v>
      </c>
      <c r="Y8" s="14" t="s">
        <v>565</v>
      </c>
      <c r="Z8" s="14" t="s">
        <v>544</v>
      </c>
      <c r="AA8" s="14" t="s">
        <v>547</v>
      </c>
      <c r="AB8" s="14" t="s">
        <v>548</v>
      </c>
      <c r="AC8" s="14" t="s">
        <v>562</v>
      </c>
      <c r="AD8" s="14" t="s">
        <v>566</v>
      </c>
      <c r="AE8" s="14" t="s">
        <v>549</v>
      </c>
      <c r="AF8" s="14" t="s">
        <v>552</v>
      </c>
      <c r="AG8" s="14" t="s">
        <v>553</v>
      </c>
      <c r="AH8" s="14" t="s">
        <v>563</v>
      </c>
      <c r="AI8" s="14" t="s">
        <v>554</v>
      </c>
      <c r="AJ8" s="14" t="s">
        <v>557</v>
      </c>
      <c r="AK8" s="14" t="s">
        <v>558</v>
      </c>
      <c r="AL8" s="14" t="s">
        <v>559</v>
      </c>
      <c r="AM8" s="15" t="s">
        <v>537</v>
      </c>
      <c r="AO8" s="19" t="s">
        <v>135</v>
      </c>
      <c r="AP8" s="19" t="s">
        <v>137</v>
      </c>
      <c r="AQ8" s="19" t="s">
        <v>138</v>
      </c>
      <c r="AR8" s="20" t="s">
        <v>94</v>
      </c>
      <c r="AS8" s="20" t="s">
        <v>568</v>
      </c>
      <c r="AT8" s="20" t="s">
        <v>538</v>
      </c>
      <c r="AU8" s="20" t="s">
        <v>560</v>
      </c>
      <c r="AV8" s="20" t="s">
        <v>564</v>
      </c>
      <c r="AW8" s="20" t="s">
        <v>539</v>
      </c>
      <c r="AX8" s="20" t="s">
        <v>561</v>
      </c>
      <c r="AY8" s="20" t="s">
        <v>565</v>
      </c>
      <c r="AZ8" s="20" t="s">
        <v>544</v>
      </c>
      <c r="BA8" s="20" t="s">
        <v>547</v>
      </c>
      <c r="BB8" s="20" t="s">
        <v>548</v>
      </c>
      <c r="BC8" s="20" t="s">
        <v>562</v>
      </c>
      <c r="BD8" s="20" t="s">
        <v>566</v>
      </c>
      <c r="BE8" s="20" t="s">
        <v>549</v>
      </c>
      <c r="BF8" s="20" t="s">
        <v>552</v>
      </c>
      <c r="BG8" s="20" t="s">
        <v>553</v>
      </c>
      <c r="BH8" s="20" t="s">
        <v>563</v>
      </c>
      <c r="BI8" s="20" t="s">
        <v>554</v>
      </c>
      <c r="BJ8" s="20" t="s">
        <v>557</v>
      </c>
      <c r="BK8" s="20" t="s">
        <v>558</v>
      </c>
      <c r="BL8" s="20" t="s">
        <v>559</v>
      </c>
      <c r="BM8" s="19" t="s">
        <v>134</v>
      </c>
    </row>
    <row r="9" spans="1:65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v>1.5548620689655173</v>
      </c>
      <c r="N9" s="5" t="s">
        <v>162</v>
      </c>
      <c r="O9" t="s">
        <v>6</v>
      </c>
      <c r="P9">
        <v>45091</v>
      </c>
      <c r="Q9">
        <v>29000</v>
      </c>
      <c r="R9" t="s">
        <v>80</v>
      </c>
      <c r="S9">
        <v>0</v>
      </c>
      <c r="T9">
        <v>150</v>
      </c>
      <c r="U9">
        <v>0</v>
      </c>
      <c r="V9">
        <v>0</v>
      </c>
      <c r="W9">
        <v>5070</v>
      </c>
      <c r="X9">
        <v>0</v>
      </c>
      <c r="Y9">
        <v>0</v>
      </c>
      <c r="Z9">
        <v>0</v>
      </c>
      <c r="AA9">
        <v>13350</v>
      </c>
      <c r="AB9">
        <v>4500</v>
      </c>
      <c r="AC9">
        <v>0</v>
      </c>
      <c r="AD9">
        <v>2300</v>
      </c>
      <c r="AE9">
        <v>0</v>
      </c>
      <c r="AF9">
        <v>13350</v>
      </c>
      <c r="AG9">
        <v>331</v>
      </c>
      <c r="AH9">
        <v>0</v>
      </c>
      <c r="AI9">
        <v>5000</v>
      </c>
      <c r="AJ9">
        <v>1040</v>
      </c>
      <c r="AK9">
        <v>0</v>
      </c>
      <c r="AL9">
        <v>0</v>
      </c>
      <c r="AM9" t="s">
        <v>204</v>
      </c>
      <c r="AO9" s="11">
        <v>555813</v>
      </c>
      <c r="AP9" s="11">
        <v>619325</v>
      </c>
      <c r="AQ9" s="17">
        <v>1.1142686479085593</v>
      </c>
      <c r="AR9" s="11" t="s">
        <v>3</v>
      </c>
      <c r="AS9" s="47">
        <v>11650</v>
      </c>
      <c r="AT9" s="47">
        <v>29114</v>
      </c>
      <c r="AU9" s="47">
        <v>33259</v>
      </c>
      <c r="AV9" s="47">
        <v>51624</v>
      </c>
      <c r="AW9" s="47">
        <v>73424</v>
      </c>
      <c r="AX9" s="47">
        <v>117612</v>
      </c>
      <c r="AY9" s="47">
        <v>182757</v>
      </c>
      <c r="AZ9" s="47">
        <v>215927</v>
      </c>
      <c r="BA9" s="47">
        <v>256596</v>
      </c>
      <c r="BB9" s="47">
        <v>266280</v>
      </c>
      <c r="BC9" s="47">
        <v>292113</v>
      </c>
      <c r="BD9" s="47">
        <v>322208</v>
      </c>
      <c r="BE9" s="47">
        <v>391324</v>
      </c>
      <c r="BF9" s="47">
        <v>413651</v>
      </c>
      <c r="BG9" s="47">
        <v>442933</v>
      </c>
      <c r="BH9" s="47">
        <v>455003</v>
      </c>
      <c r="BI9" s="47">
        <v>476148</v>
      </c>
      <c r="BJ9" s="47">
        <v>508558</v>
      </c>
      <c r="BK9" s="47">
        <v>554049</v>
      </c>
      <c r="BL9" s="47">
        <v>619325</v>
      </c>
      <c r="BM9" s="11" t="s">
        <v>159</v>
      </c>
    </row>
    <row r="10" spans="1:65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v>1.4053448275862068</v>
      </c>
      <c r="N10" s="5" t="s">
        <v>162</v>
      </c>
      <c r="O10" t="s">
        <v>6</v>
      </c>
      <c r="P10">
        <v>40755</v>
      </c>
      <c r="Q10">
        <v>29000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2500</v>
      </c>
      <c r="X10">
        <v>0</v>
      </c>
      <c r="Y10">
        <v>0</v>
      </c>
      <c r="Z10">
        <v>6000</v>
      </c>
      <c r="AA10">
        <v>20500</v>
      </c>
      <c r="AB10">
        <v>0</v>
      </c>
      <c r="AC10">
        <v>5000</v>
      </c>
      <c r="AD10">
        <v>0</v>
      </c>
      <c r="AE10">
        <v>5800</v>
      </c>
      <c r="AF10">
        <v>0</v>
      </c>
      <c r="AG10">
        <v>600</v>
      </c>
      <c r="AH10">
        <v>0</v>
      </c>
      <c r="AI10">
        <v>0</v>
      </c>
      <c r="AJ10">
        <v>355</v>
      </c>
      <c r="AK10">
        <v>0</v>
      </c>
      <c r="AL10">
        <v>0</v>
      </c>
      <c r="AM10" t="s">
        <v>204</v>
      </c>
      <c r="AO10" s="12">
        <v>555813</v>
      </c>
      <c r="AP10" s="12">
        <v>611547</v>
      </c>
      <c r="AQ10" s="18">
        <v>1.100274732688872</v>
      </c>
      <c r="AR10" s="12" t="s">
        <v>4</v>
      </c>
      <c r="AS10" s="47">
        <v>4190</v>
      </c>
      <c r="AT10" s="47">
        <v>10720</v>
      </c>
      <c r="AU10" s="47">
        <v>19350</v>
      </c>
      <c r="AV10" s="47">
        <v>32242</v>
      </c>
      <c r="AW10" s="47">
        <v>50880</v>
      </c>
      <c r="AX10" s="47">
        <v>70142</v>
      </c>
      <c r="AY10" s="47">
        <v>85692</v>
      </c>
      <c r="AZ10" s="47">
        <v>141992</v>
      </c>
      <c r="BA10" s="47">
        <v>202892</v>
      </c>
      <c r="BB10" s="47">
        <v>232120</v>
      </c>
      <c r="BC10" s="47">
        <v>258570</v>
      </c>
      <c r="BD10" s="47">
        <v>304860</v>
      </c>
      <c r="BE10" s="47">
        <v>324713</v>
      </c>
      <c r="BF10" s="47">
        <v>379628</v>
      </c>
      <c r="BG10" s="47">
        <v>412468</v>
      </c>
      <c r="BH10" s="47">
        <v>421975</v>
      </c>
      <c r="BI10" s="47">
        <v>477929</v>
      </c>
      <c r="BJ10" s="47">
        <v>520928</v>
      </c>
      <c r="BK10" s="47">
        <v>560849</v>
      </c>
      <c r="BL10" s="47">
        <v>611547</v>
      </c>
      <c r="BM10" s="12" t="s">
        <v>159</v>
      </c>
    </row>
    <row r="11" spans="1:65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v>1.5746551724137932</v>
      </c>
      <c r="N11" s="5" t="s">
        <v>162</v>
      </c>
      <c r="O11" t="s">
        <v>6</v>
      </c>
      <c r="P11">
        <v>45665</v>
      </c>
      <c r="Q11">
        <v>29000</v>
      </c>
      <c r="R11" t="s">
        <v>34</v>
      </c>
      <c r="S11">
        <v>0</v>
      </c>
      <c r="T11">
        <v>3300</v>
      </c>
      <c r="U11">
        <v>5000</v>
      </c>
      <c r="V11">
        <v>575</v>
      </c>
      <c r="W11">
        <v>3600</v>
      </c>
      <c r="X11">
        <v>500</v>
      </c>
      <c r="Y11">
        <v>0</v>
      </c>
      <c r="Z11">
        <v>0</v>
      </c>
      <c r="AA11">
        <v>600</v>
      </c>
      <c r="AB11">
        <v>800</v>
      </c>
      <c r="AC11">
        <v>0</v>
      </c>
      <c r="AD11">
        <v>4100</v>
      </c>
      <c r="AE11">
        <v>11700</v>
      </c>
      <c r="AF11">
        <v>0</v>
      </c>
      <c r="AG11">
        <v>6300</v>
      </c>
      <c r="AH11">
        <v>0</v>
      </c>
      <c r="AI11">
        <v>0</v>
      </c>
      <c r="AJ11">
        <v>6500</v>
      </c>
      <c r="AK11">
        <v>2690</v>
      </c>
      <c r="AL11">
        <v>0</v>
      </c>
      <c r="AM11" t="s">
        <v>204</v>
      </c>
      <c r="AO11" s="11">
        <v>319493</v>
      </c>
      <c r="AP11" s="11">
        <v>510279.6</v>
      </c>
      <c r="AQ11" s="17">
        <v>1.597154241250982</v>
      </c>
      <c r="AR11" s="11" t="s">
        <v>2</v>
      </c>
      <c r="AS11" s="47">
        <v>8753</v>
      </c>
      <c r="AT11" s="47">
        <v>17265</v>
      </c>
      <c r="AU11" s="47">
        <v>26511.82</v>
      </c>
      <c r="AV11" s="47">
        <v>37002.82</v>
      </c>
      <c r="AW11" s="47">
        <v>54985.82</v>
      </c>
      <c r="AX11" s="47">
        <v>59145.82</v>
      </c>
      <c r="AY11" s="47">
        <v>75249.820000000007</v>
      </c>
      <c r="AZ11" s="47">
        <v>124329.82</v>
      </c>
      <c r="BA11" s="47">
        <v>176198.1</v>
      </c>
      <c r="BB11" s="47">
        <v>214336.6</v>
      </c>
      <c r="BC11" s="47">
        <v>233686.6</v>
      </c>
      <c r="BD11" s="47">
        <v>269596.59999999998</v>
      </c>
      <c r="BE11" s="47">
        <v>304247.59999999998</v>
      </c>
      <c r="BF11" s="47">
        <v>363676.6</v>
      </c>
      <c r="BG11" s="47">
        <v>400576.6</v>
      </c>
      <c r="BH11" s="47">
        <v>421476.6</v>
      </c>
      <c r="BI11" s="47">
        <v>428151.6</v>
      </c>
      <c r="BJ11" s="47">
        <v>451248.6</v>
      </c>
      <c r="BK11" s="47">
        <v>473504.6</v>
      </c>
      <c r="BL11" s="47">
        <v>510279.6</v>
      </c>
      <c r="BM11" s="11" t="s">
        <v>205</v>
      </c>
    </row>
    <row r="12" spans="1:65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v>1.306948275862069</v>
      </c>
      <c r="N12" s="5" t="s">
        <v>162</v>
      </c>
      <c r="O12" t="s">
        <v>6</v>
      </c>
      <c r="P12">
        <v>37901.5</v>
      </c>
      <c r="Q12">
        <v>29000</v>
      </c>
      <c r="R12" t="s">
        <v>35</v>
      </c>
      <c r="S12">
        <v>11237.5</v>
      </c>
      <c r="T12">
        <v>0</v>
      </c>
      <c r="U12">
        <v>0</v>
      </c>
      <c r="V12">
        <v>0</v>
      </c>
      <c r="W12">
        <v>0</v>
      </c>
      <c r="X12">
        <v>6000</v>
      </c>
      <c r="Y12">
        <v>1300</v>
      </c>
      <c r="Z12">
        <v>0</v>
      </c>
      <c r="AA12">
        <v>4350</v>
      </c>
      <c r="AB12">
        <v>0</v>
      </c>
      <c r="AC12">
        <v>0</v>
      </c>
      <c r="AD12">
        <v>3682</v>
      </c>
      <c r="AE12">
        <v>0</v>
      </c>
      <c r="AF12">
        <v>0</v>
      </c>
      <c r="AG12">
        <v>500</v>
      </c>
      <c r="AH12">
        <v>0</v>
      </c>
      <c r="AI12">
        <v>857</v>
      </c>
      <c r="AJ12">
        <v>3875</v>
      </c>
      <c r="AK12">
        <v>3800</v>
      </c>
      <c r="AL12">
        <v>2300</v>
      </c>
      <c r="AM12" t="s">
        <v>204</v>
      </c>
      <c r="AO12" s="12">
        <v>262676</v>
      </c>
      <c r="AP12" s="12">
        <v>465951.5</v>
      </c>
      <c r="AQ12" s="18">
        <v>1.7738639997563539</v>
      </c>
      <c r="AR12" s="12" t="s">
        <v>6</v>
      </c>
      <c r="AS12" s="47">
        <v>11237.5</v>
      </c>
      <c r="AT12" s="47">
        <v>15037.5</v>
      </c>
      <c r="AU12" s="47">
        <v>23537.5</v>
      </c>
      <c r="AV12" s="47">
        <v>36756</v>
      </c>
      <c r="AW12" s="47">
        <v>55056</v>
      </c>
      <c r="AX12" s="47">
        <v>62291</v>
      </c>
      <c r="AY12" s="47">
        <v>84338</v>
      </c>
      <c r="AZ12" s="47">
        <v>108768</v>
      </c>
      <c r="BA12" s="47">
        <v>168932.5</v>
      </c>
      <c r="BB12" s="47">
        <v>191104.5</v>
      </c>
      <c r="BC12" s="47">
        <v>225869.5</v>
      </c>
      <c r="BD12" s="47">
        <v>242951.5</v>
      </c>
      <c r="BE12" s="47">
        <v>271001.5</v>
      </c>
      <c r="BF12" s="47">
        <v>297986.5</v>
      </c>
      <c r="BG12" s="47">
        <v>322033.5</v>
      </c>
      <c r="BH12" s="47">
        <v>325924.5</v>
      </c>
      <c r="BI12" s="47">
        <v>356201.5</v>
      </c>
      <c r="BJ12" s="47">
        <v>403021.5</v>
      </c>
      <c r="BK12" s="47">
        <v>423631.5</v>
      </c>
      <c r="BL12" s="47">
        <v>465951.5</v>
      </c>
      <c r="BM12" s="12" t="s">
        <v>204</v>
      </c>
    </row>
    <row r="13" spans="1:65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v>3.17</v>
      </c>
      <c r="N13" s="5" t="s">
        <v>162</v>
      </c>
      <c r="O13" t="s">
        <v>6</v>
      </c>
      <c r="P13">
        <v>91930</v>
      </c>
      <c r="Q13">
        <v>29000</v>
      </c>
      <c r="R13" t="s">
        <v>19</v>
      </c>
      <c r="S13">
        <v>0</v>
      </c>
      <c r="T13">
        <v>250</v>
      </c>
      <c r="U13">
        <v>3500</v>
      </c>
      <c r="V13">
        <v>6300</v>
      </c>
      <c r="W13">
        <v>0</v>
      </c>
      <c r="X13">
        <v>450</v>
      </c>
      <c r="Y13">
        <v>10600</v>
      </c>
      <c r="Z13">
        <v>4380</v>
      </c>
      <c r="AA13">
        <v>0</v>
      </c>
      <c r="AB13">
        <v>0</v>
      </c>
      <c r="AC13">
        <v>12500</v>
      </c>
      <c r="AD13">
        <v>0</v>
      </c>
      <c r="AE13">
        <v>5500</v>
      </c>
      <c r="AF13">
        <v>10000</v>
      </c>
      <c r="AG13">
        <v>11500</v>
      </c>
      <c r="AH13">
        <v>0</v>
      </c>
      <c r="AI13">
        <v>0</v>
      </c>
      <c r="AJ13">
        <v>12800</v>
      </c>
      <c r="AK13">
        <v>8050</v>
      </c>
      <c r="AL13">
        <v>6100</v>
      </c>
      <c r="AM13" t="s">
        <v>204</v>
      </c>
      <c r="AO13" s="11">
        <v>269196</v>
      </c>
      <c r="AP13" s="11">
        <v>426153</v>
      </c>
      <c r="AQ13" s="17">
        <v>1.5830584406900547</v>
      </c>
      <c r="AR13" s="11" t="s">
        <v>7</v>
      </c>
      <c r="AS13" s="47">
        <v>3175</v>
      </c>
      <c r="AT13" s="47">
        <v>11655</v>
      </c>
      <c r="AU13" s="47">
        <v>14067</v>
      </c>
      <c r="AV13" s="47">
        <v>23781</v>
      </c>
      <c r="AW13" s="47">
        <v>39355</v>
      </c>
      <c r="AX13" s="47">
        <v>58959</v>
      </c>
      <c r="AY13" s="47">
        <v>78219</v>
      </c>
      <c r="AZ13" s="47">
        <v>122969</v>
      </c>
      <c r="BA13" s="47">
        <v>149639</v>
      </c>
      <c r="BB13" s="47">
        <v>157904</v>
      </c>
      <c r="BC13" s="47">
        <v>171914</v>
      </c>
      <c r="BD13" s="47">
        <v>189954</v>
      </c>
      <c r="BE13" s="47">
        <v>217604</v>
      </c>
      <c r="BF13" s="47">
        <v>256114</v>
      </c>
      <c r="BG13" s="47">
        <v>280347</v>
      </c>
      <c r="BH13" s="47">
        <v>288981</v>
      </c>
      <c r="BI13" s="47">
        <v>316950</v>
      </c>
      <c r="BJ13" s="47">
        <v>358801</v>
      </c>
      <c r="BK13" s="47">
        <v>389910</v>
      </c>
      <c r="BL13" s="47">
        <v>426153</v>
      </c>
      <c r="BM13" s="11" t="s">
        <v>175</v>
      </c>
    </row>
    <row r="14" spans="1:65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v>1.2545517241379309</v>
      </c>
      <c r="N14" s="5" t="s">
        <v>162</v>
      </c>
      <c r="O14" t="s">
        <v>6</v>
      </c>
      <c r="P14">
        <v>36382</v>
      </c>
      <c r="Q14">
        <v>29000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1680</v>
      </c>
      <c r="X14">
        <v>0</v>
      </c>
      <c r="Y14">
        <v>0</v>
      </c>
      <c r="Z14">
        <v>0</v>
      </c>
      <c r="AA14">
        <v>0</v>
      </c>
      <c r="AB14">
        <v>9500</v>
      </c>
      <c r="AC14">
        <v>8500</v>
      </c>
      <c r="AD14">
        <v>0</v>
      </c>
      <c r="AE14">
        <v>1000</v>
      </c>
      <c r="AF14">
        <v>845</v>
      </c>
      <c r="AG14">
        <v>3866</v>
      </c>
      <c r="AH14">
        <v>3591</v>
      </c>
      <c r="AI14">
        <v>7000</v>
      </c>
      <c r="AJ14">
        <v>0</v>
      </c>
      <c r="AK14">
        <v>0</v>
      </c>
      <c r="AL14">
        <v>400</v>
      </c>
      <c r="AM14" t="s">
        <v>204</v>
      </c>
    </row>
    <row r="15" spans="1:65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438</v>
      </c>
      <c r="I15" s="59">
        <v>44909</v>
      </c>
      <c r="J15" s="59" t="s">
        <v>536</v>
      </c>
      <c r="K15" s="59"/>
      <c r="L15" s="59"/>
      <c r="M15">
        <v>1.577</v>
      </c>
      <c r="N15" s="5" t="s">
        <v>162</v>
      </c>
      <c r="O15" t="s">
        <v>6</v>
      </c>
      <c r="P15">
        <v>45733</v>
      </c>
      <c r="Q15">
        <v>29000</v>
      </c>
      <c r="R15" t="s">
        <v>50</v>
      </c>
      <c r="S15">
        <v>0</v>
      </c>
      <c r="T15">
        <v>0</v>
      </c>
      <c r="U15">
        <v>0</v>
      </c>
      <c r="V15">
        <v>0</v>
      </c>
      <c r="W15">
        <v>0</v>
      </c>
      <c r="X15">
        <v>285</v>
      </c>
      <c r="Y15">
        <v>693</v>
      </c>
      <c r="Z15">
        <v>0</v>
      </c>
      <c r="AA15">
        <v>8800</v>
      </c>
      <c r="AB15">
        <v>6350</v>
      </c>
      <c r="AC15">
        <v>265</v>
      </c>
      <c r="AD15">
        <v>0</v>
      </c>
      <c r="AE15">
        <v>0</v>
      </c>
      <c r="AF15">
        <v>0</v>
      </c>
      <c r="AG15">
        <v>500</v>
      </c>
      <c r="AH15">
        <v>0</v>
      </c>
      <c r="AI15">
        <v>4120</v>
      </c>
      <c r="AJ15">
        <v>7000</v>
      </c>
      <c r="AK15">
        <v>1720</v>
      </c>
      <c r="AL15">
        <v>16000</v>
      </c>
      <c r="AM15" t="s">
        <v>204</v>
      </c>
    </row>
    <row r="16" spans="1:65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v>2.3176896551724138</v>
      </c>
      <c r="N16" s="5" t="s">
        <v>162</v>
      </c>
      <c r="O16" t="s">
        <v>6</v>
      </c>
      <c r="P16">
        <v>67213</v>
      </c>
      <c r="Q16">
        <v>29000</v>
      </c>
      <c r="R16" t="s">
        <v>26</v>
      </c>
      <c r="S16">
        <v>0</v>
      </c>
      <c r="T16">
        <v>100</v>
      </c>
      <c r="U16">
        <v>0</v>
      </c>
      <c r="V16">
        <v>0</v>
      </c>
      <c r="W16">
        <v>4930</v>
      </c>
      <c r="X16">
        <v>0</v>
      </c>
      <c r="Y16">
        <v>1200</v>
      </c>
      <c r="Z16">
        <v>6100</v>
      </c>
      <c r="AA16">
        <v>3813</v>
      </c>
      <c r="AB16">
        <v>780</v>
      </c>
      <c r="AC16">
        <v>8500</v>
      </c>
      <c r="AD16">
        <v>0</v>
      </c>
      <c r="AE16">
        <v>3500</v>
      </c>
      <c r="AF16">
        <v>3240</v>
      </c>
      <c r="AG16">
        <v>0</v>
      </c>
      <c r="AH16">
        <v>0</v>
      </c>
      <c r="AI16">
        <v>18000</v>
      </c>
      <c r="AJ16">
        <v>10350</v>
      </c>
      <c r="AK16">
        <v>2000</v>
      </c>
      <c r="AL16">
        <v>4700</v>
      </c>
      <c r="AM16" t="s">
        <v>204</v>
      </c>
      <c r="BK16" s="46"/>
    </row>
    <row r="17" spans="1:64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476</v>
      </c>
      <c r="I17" s="59">
        <v>44706</v>
      </c>
      <c r="J17" s="59" t="s">
        <v>536</v>
      </c>
      <c r="K17" s="59"/>
      <c r="L17" s="59"/>
      <c r="M17">
        <v>1.6536551724137931</v>
      </c>
      <c r="N17" s="5" t="s">
        <v>162</v>
      </c>
      <c r="O17" t="s">
        <v>6</v>
      </c>
      <c r="P17">
        <v>47956</v>
      </c>
      <c r="Q17">
        <v>29000</v>
      </c>
      <c r="R17" t="s">
        <v>11</v>
      </c>
      <c r="S17">
        <v>0</v>
      </c>
      <c r="T17">
        <v>0</v>
      </c>
      <c r="U17">
        <v>0</v>
      </c>
      <c r="V17">
        <v>6343.5</v>
      </c>
      <c r="W17">
        <v>520</v>
      </c>
      <c r="X17">
        <v>0</v>
      </c>
      <c r="Y17">
        <v>8254</v>
      </c>
      <c r="Z17">
        <v>7950</v>
      </c>
      <c r="AA17">
        <v>1426.5</v>
      </c>
      <c r="AB17">
        <v>242</v>
      </c>
      <c r="AC17">
        <v>0</v>
      </c>
      <c r="AD17">
        <v>7000</v>
      </c>
      <c r="AE17">
        <v>550</v>
      </c>
      <c r="AF17">
        <v>0</v>
      </c>
      <c r="AG17">
        <v>0</v>
      </c>
      <c r="AH17">
        <v>300</v>
      </c>
      <c r="AI17">
        <v>0</v>
      </c>
      <c r="AJ17">
        <v>200</v>
      </c>
      <c r="AK17">
        <v>2350</v>
      </c>
      <c r="AL17">
        <v>12820</v>
      </c>
      <c r="AM17" t="s">
        <v>204</v>
      </c>
      <c r="BE17" s="46"/>
      <c r="BJ17" s="46"/>
      <c r="BK17" s="46"/>
      <c r="BL17" s="46"/>
    </row>
    <row r="18" spans="1:64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v>0.95873873873873872</v>
      </c>
      <c r="N18" s="5" t="s">
        <v>163</v>
      </c>
      <c r="O18" t="s">
        <v>4</v>
      </c>
      <c r="P18">
        <v>53210</v>
      </c>
      <c r="Q18">
        <v>55500</v>
      </c>
      <c r="R18" t="s">
        <v>122</v>
      </c>
      <c r="S18">
        <v>0</v>
      </c>
      <c r="T18">
        <v>700</v>
      </c>
      <c r="U18">
        <v>630</v>
      </c>
      <c r="V18">
        <v>0</v>
      </c>
      <c r="W18">
        <v>9400</v>
      </c>
      <c r="X18">
        <v>400</v>
      </c>
      <c r="Y18">
        <v>0</v>
      </c>
      <c r="Z18">
        <v>22500</v>
      </c>
      <c r="AA18">
        <v>0</v>
      </c>
      <c r="AB18">
        <v>0</v>
      </c>
      <c r="AC18">
        <v>1500</v>
      </c>
      <c r="AD18">
        <v>0</v>
      </c>
      <c r="AE18">
        <v>0</v>
      </c>
      <c r="AF18">
        <v>8000</v>
      </c>
      <c r="AG18">
        <v>0</v>
      </c>
      <c r="AH18">
        <v>500</v>
      </c>
      <c r="AI18">
        <v>6000</v>
      </c>
      <c r="AJ18">
        <v>0</v>
      </c>
      <c r="AK18">
        <v>2500</v>
      </c>
      <c r="AL18">
        <v>1080</v>
      </c>
      <c r="AM18" t="s">
        <v>159</v>
      </c>
      <c r="AS18" s="46"/>
      <c r="BE18" s="46"/>
      <c r="BF18" s="46"/>
      <c r="BJ18" s="46"/>
      <c r="BK18" s="48"/>
      <c r="BL18" s="46"/>
    </row>
    <row r="19" spans="1:64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v>1.4183243243243244</v>
      </c>
      <c r="N19" s="5" t="s">
        <v>162</v>
      </c>
      <c r="O19" t="s">
        <v>4</v>
      </c>
      <c r="P19">
        <v>78717</v>
      </c>
      <c r="Q19">
        <v>55500</v>
      </c>
      <c r="R19" t="s">
        <v>59</v>
      </c>
      <c r="S19">
        <v>1500</v>
      </c>
      <c r="T19">
        <v>0</v>
      </c>
      <c r="U19">
        <v>0</v>
      </c>
      <c r="V19">
        <v>1000</v>
      </c>
      <c r="W19">
        <v>800</v>
      </c>
      <c r="X19">
        <v>5000</v>
      </c>
      <c r="Y19">
        <v>550</v>
      </c>
      <c r="Z19">
        <v>3000</v>
      </c>
      <c r="AA19">
        <v>2000</v>
      </c>
      <c r="AB19">
        <v>8600</v>
      </c>
      <c r="AC19">
        <v>3000</v>
      </c>
      <c r="AD19">
        <v>9000</v>
      </c>
      <c r="AE19">
        <v>600</v>
      </c>
      <c r="AF19">
        <v>12400</v>
      </c>
      <c r="AG19">
        <v>340</v>
      </c>
      <c r="AH19">
        <v>6575</v>
      </c>
      <c r="AI19">
        <v>4000</v>
      </c>
      <c r="AJ19">
        <v>12180</v>
      </c>
      <c r="AK19">
        <v>7672</v>
      </c>
      <c r="AL19">
        <v>500</v>
      </c>
      <c r="AM19" t="s">
        <v>159</v>
      </c>
      <c r="AS19" s="46"/>
      <c r="BE19" s="46"/>
      <c r="BF19" s="46"/>
      <c r="BJ19" s="48"/>
      <c r="BK19" s="48"/>
      <c r="BL19" s="48"/>
    </row>
    <row r="20" spans="1:64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502</v>
      </c>
      <c r="I20" s="59">
        <v>45818</v>
      </c>
      <c r="J20" s="59" t="s">
        <v>536</v>
      </c>
      <c r="K20" s="59"/>
      <c r="L20" s="59"/>
      <c r="M20">
        <v>2.4242702702702701</v>
      </c>
      <c r="N20" s="5" t="s">
        <v>162</v>
      </c>
      <c r="O20" t="s">
        <v>4</v>
      </c>
      <c r="P20">
        <v>134547</v>
      </c>
      <c r="Q20">
        <v>55500</v>
      </c>
      <c r="R20" t="s">
        <v>75</v>
      </c>
      <c r="S20">
        <v>0</v>
      </c>
      <c r="T20">
        <v>0</v>
      </c>
      <c r="U20">
        <v>2500</v>
      </c>
      <c r="V20">
        <v>0</v>
      </c>
      <c r="W20">
        <v>0</v>
      </c>
      <c r="X20">
        <v>5000</v>
      </c>
      <c r="Y20">
        <v>6500</v>
      </c>
      <c r="Z20">
        <v>0</v>
      </c>
      <c r="AA20">
        <v>21720</v>
      </c>
      <c r="AB20">
        <v>7700</v>
      </c>
      <c r="AC20">
        <v>2300</v>
      </c>
      <c r="AD20">
        <v>18340</v>
      </c>
      <c r="AE20">
        <v>9100</v>
      </c>
      <c r="AF20">
        <v>0</v>
      </c>
      <c r="AG20">
        <v>16500</v>
      </c>
      <c r="AH20">
        <v>637</v>
      </c>
      <c r="AI20">
        <v>28132</v>
      </c>
      <c r="AJ20">
        <v>4069</v>
      </c>
      <c r="AK20">
        <v>1399</v>
      </c>
      <c r="AL20">
        <v>10650</v>
      </c>
      <c r="AM20" t="s">
        <v>159</v>
      </c>
      <c r="AS20" s="48"/>
      <c r="BE20" s="46"/>
      <c r="BF20" s="48"/>
      <c r="BI20" s="46"/>
      <c r="BJ20" s="48"/>
      <c r="BK20" s="46"/>
      <c r="BL20" s="48"/>
    </row>
    <row r="21" spans="1:64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v>1.1292972972972972</v>
      </c>
      <c r="N21" s="5" t="s">
        <v>162</v>
      </c>
      <c r="O21" t="s">
        <v>4</v>
      </c>
      <c r="P21">
        <v>62676</v>
      </c>
      <c r="Q21">
        <v>55500</v>
      </c>
      <c r="R21" t="s">
        <v>61</v>
      </c>
      <c r="S21">
        <v>0</v>
      </c>
      <c r="T21">
        <v>0</v>
      </c>
      <c r="U21">
        <v>0</v>
      </c>
      <c r="V21">
        <v>0</v>
      </c>
      <c r="W21">
        <v>256</v>
      </c>
      <c r="X21">
        <v>7000</v>
      </c>
      <c r="Y21">
        <v>0</v>
      </c>
      <c r="Z21">
        <v>0</v>
      </c>
      <c r="AA21">
        <v>600</v>
      </c>
      <c r="AB21">
        <v>1300</v>
      </c>
      <c r="AC21">
        <v>16600</v>
      </c>
      <c r="AD21">
        <v>0</v>
      </c>
      <c r="AE21">
        <v>0</v>
      </c>
      <c r="AF21">
        <v>5219</v>
      </c>
      <c r="AG21">
        <v>6000</v>
      </c>
      <c r="AH21">
        <v>1800</v>
      </c>
      <c r="AI21">
        <v>0</v>
      </c>
      <c r="AJ21">
        <v>6500</v>
      </c>
      <c r="AK21">
        <v>7000</v>
      </c>
      <c r="AL21">
        <v>10400.83</v>
      </c>
      <c r="AM21" t="s">
        <v>159</v>
      </c>
      <c r="AS21" s="48"/>
      <c r="BE21" s="46"/>
      <c r="BF21" s="48"/>
      <c r="BI21" s="46"/>
      <c r="BJ21" s="46"/>
      <c r="BL21" s="46"/>
    </row>
    <row r="22" spans="1:64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v>1.1104144144144144</v>
      </c>
      <c r="N22" s="5" t="s">
        <v>162</v>
      </c>
      <c r="O22" t="s">
        <v>4</v>
      </c>
      <c r="P22">
        <v>61628</v>
      </c>
      <c r="Q22">
        <v>55500</v>
      </c>
      <c r="R22" t="s">
        <v>18</v>
      </c>
      <c r="S22">
        <v>2350</v>
      </c>
      <c r="T22">
        <v>5500</v>
      </c>
      <c r="U22">
        <v>3500</v>
      </c>
      <c r="V22">
        <v>0</v>
      </c>
      <c r="W22">
        <v>6150</v>
      </c>
      <c r="X22">
        <v>0</v>
      </c>
      <c r="Y22">
        <v>0</v>
      </c>
      <c r="Z22">
        <v>16500</v>
      </c>
      <c r="AA22">
        <v>5600</v>
      </c>
      <c r="AB22">
        <v>1228</v>
      </c>
      <c r="AC22">
        <v>800</v>
      </c>
      <c r="AD22">
        <v>8250</v>
      </c>
      <c r="AE22">
        <v>6000</v>
      </c>
      <c r="AF22">
        <v>0</v>
      </c>
      <c r="AG22">
        <v>5000</v>
      </c>
      <c r="AH22">
        <v>0</v>
      </c>
      <c r="AI22">
        <v>0</v>
      </c>
      <c r="AJ22">
        <v>0</v>
      </c>
      <c r="AK22">
        <v>750</v>
      </c>
      <c r="AL22">
        <v>0</v>
      </c>
      <c r="AM22" t="s">
        <v>159</v>
      </c>
      <c r="AS22" s="46"/>
      <c r="BE22" s="48"/>
      <c r="BF22" s="46"/>
      <c r="BI22" s="46"/>
    </row>
    <row r="23" spans="1:64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v>0.80151351351351352</v>
      </c>
      <c r="N23" s="5" t="s">
        <v>163</v>
      </c>
      <c r="O23" t="s">
        <v>4</v>
      </c>
      <c r="P23">
        <v>44484</v>
      </c>
      <c r="Q23">
        <v>55500</v>
      </c>
      <c r="R23" t="s">
        <v>72</v>
      </c>
      <c r="S23">
        <v>0</v>
      </c>
      <c r="T23">
        <v>0</v>
      </c>
      <c r="U23">
        <v>0</v>
      </c>
      <c r="V23">
        <v>5000</v>
      </c>
      <c r="W23">
        <v>362</v>
      </c>
      <c r="X23">
        <v>362</v>
      </c>
      <c r="Y23">
        <v>5500</v>
      </c>
      <c r="Z23">
        <v>1500</v>
      </c>
      <c r="AA23">
        <v>6550</v>
      </c>
      <c r="AB23">
        <v>4900</v>
      </c>
      <c r="AC23">
        <v>300</v>
      </c>
      <c r="AD23">
        <v>0</v>
      </c>
      <c r="AE23">
        <v>2500</v>
      </c>
      <c r="AF23">
        <v>5300</v>
      </c>
      <c r="AG23">
        <v>2000</v>
      </c>
      <c r="AH23">
        <v>0</v>
      </c>
      <c r="AI23">
        <v>0</v>
      </c>
      <c r="AJ23">
        <v>0</v>
      </c>
      <c r="AK23">
        <v>2860</v>
      </c>
      <c r="AL23">
        <v>7350</v>
      </c>
      <c r="AM23" t="s">
        <v>159</v>
      </c>
      <c r="BE23" s="46"/>
    </row>
    <row r="24" spans="1:64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409</v>
      </c>
      <c r="I24" s="59">
        <v>44811</v>
      </c>
      <c r="J24" s="59" t="s">
        <v>536</v>
      </c>
      <c r="K24" s="59"/>
      <c r="L24" s="59"/>
      <c r="M24">
        <v>1.0522522522522522</v>
      </c>
      <c r="N24" s="5" t="s">
        <v>162</v>
      </c>
      <c r="O24" t="s">
        <v>4</v>
      </c>
      <c r="P24">
        <v>58400</v>
      </c>
      <c r="Q24">
        <v>55500</v>
      </c>
      <c r="R24" t="s">
        <v>10</v>
      </c>
      <c r="S24">
        <v>0</v>
      </c>
      <c r="T24">
        <v>0</v>
      </c>
      <c r="U24">
        <v>2000</v>
      </c>
      <c r="V24">
        <v>0</v>
      </c>
      <c r="W24">
        <v>600</v>
      </c>
      <c r="X24">
        <v>0</v>
      </c>
      <c r="Y24">
        <v>0</v>
      </c>
      <c r="Z24">
        <v>2000</v>
      </c>
      <c r="AA24">
        <v>430</v>
      </c>
      <c r="AB24">
        <v>4500</v>
      </c>
      <c r="AC24">
        <v>1650</v>
      </c>
      <c r="AD24">
        <v>6000</v>
      </c>
      <c r="AE24">
        <v>0</v>
      </c>
      <c r="AF24">
        <v>3996</v>
      </c>
      <c r="AG24">
        <v>2000</v>
      </c>
      <c r="AH24">
        <v>0</v>
      </c>
      <c r="AI24">
        <v>884</v>
      </c>
      <c r="AJ24">
        <v>10100</v>
      </c>
      <c r="AK24">
        <v>12740</v>
      </c>
      <c r="AL24">
        <v>11500</v>
      </c>
      <c r="AM24" t="s">
        <v>159</v>
      </c>
      <c r="BI24" s="46"/>
    </row>
    <row r="25" spans="1:64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v>0.11711711711711711</v>
      </c>
      <c r="N25" s="5" t="s">
        <v>165</v>
      </c>
      <c r="O25" t="s">
        <v>4</v>
      </c>
      <c r="P25">
        <v>6500</v>
      </c>
      <c r="Q25">
        <v>55500</v>
      </c>
      <c r="R25" t="s">
        <v>57</v>
      </c>
      <c r="S25">
        <v>0</v>
      </c>
      <c r="T25">
        <v>0</v>
      </c>
      <c r="U25">
        <v>0</v>
      </c>
      <c r="V25">
        <v>6500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 t="s">
        <v>159</v>
      </c>
    </row>
    <row r="26" spans="1:64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v>1.2935315315315314</v>
      </c>
      <c r="N26" s="5" t="s">
        <v>162</v>
      </c>
      <c r="O26" t="s">
        <v>4</v>
      </c>
      <c r="P26">
        <v>71791</v>
      </c>
      <c r="Q26">
        <v>55500</v>
      </c>
      <c r="R26" t="s">
        <v>60</v>
      </c>
      <c r="S26">
        <v>340</v>
      </c>
      <c r="T26">
        <v>330</v>
      </c>
      <c r="U26">
        <v>0</v>
      </c>
      <c r="V26">
        <v>392</v>
      </c>
      <c r="W26">
        <v>600</v>
      </c>
      <c r="X26">
        <v>1500</v>
      </c>
      <c r="Y26">
        <v>3000</v>
      </c>
      <c r="Z26">
        <v>0</v>
      </c>
      <c r="AA26">
        <v>4000</v>
      </c>
      <c r="AB26">
        <v>0</v>
      </c>
      <c r="AC26">
        <v>0</v>
      </c>
      <c r="AD26">
        <v>600</v>
      </c>
      <c r="AE26">
        <v>1462</v>
      </c>
      <c r="AF26">
        <v>20000</v>
      </c>
      <c r="AG26">
        <v>1000</v>
      </c>
      <c r="AH26">
        <v>1500</v>
      </c>
      <c r="AI26">
        <v>15000</v>
      </c>
      <c r="AJ26">
        <v>10150</v>
      </c>
      <c r="AK26">
        <v>6000</v>
      </c>
      <c r="AL26">
        <v>5917</v>
      </c>
      <c r="AM26" t="s">
        <v>159</v>
      </c>
    </row>
    <row r="27" spans="1:64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v>0.14583783783783782</v>
      </c>
      <c r="N27" s="5" t="s">
        <v>165</v>
      </c>
      <c r="O27" t="s">
        <v>4</v>
      </c>
      <c r="P27">
        <v>8094</v>
      </c>
      <c r="Q27">
        <v>55500</v>
      </c>
      <c r="R27" t="s">
        <v>55</v>
      </c>
      <c r="S27">
        <v>0</v>
      </c>
      <c r="T27">
        <v>0</v>
      </c>
      <c r="U27">
        <v>0</v>
      </c>
      <c r="V27">
        <v>0</v>
      </c>
      <c r="W27">
        <v>470</v>
      </c>
      <c r="X27">
        <v>0</v>
      </c>
      <c r="Y27">
        <v>0</v>
      </c>
      <c r="Z27">
        <v>800</v>
      </c>
      <c r="AA27">
        <v>0</v>
      </c>
      <c r="AB27">
        <v>1000</v>
      </c>
      <c r="AC27">
        <v>300</v>
      </c>
      <c r="AD27">
        <v>4100</v>
      </c>
      <c r="AE27">
        <v>191</v>
      </c>
      <c r="AF27">
        <v>0</v>
      </c>
      <c r="AG27">
        <v>0</v>
      </c>
      <c r="AH27">
        <v>0</v>
      </c>
      <c r="AI27">
        <v>433</v>
      </c>
      <c r="AJ27">
        <v>0</v>
      </c>
      <c r="AK27">
        <v>0</v>
      </c>
      <c r="AL27">
        <v>800</v>
      </c>
      <c r="AM27" t="s">
        <v>159</v>
      </c>
    </row>
    <row r="28" spans="1:64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v>2.2284684684684684</v>
      </c>
      <c r="N28" s="5" t="s">
        <v>162</v>
      </c>
      <c r="O28" t="s">
        <v>3</v>
      </c>
      <c r="P28">
        <v>123680</v>
      </c>
      <c r="Q28">
        <v>55500</v>
      </c>
      <c r="R28" t="s">
        <v>23</v>
      </c>
      <c r="S28">
        <v>3800</v>
      </c>
      <c r="T28">
        <v>4450</v>
      </c>
      <c r="U28">
        <v>0</v>
      </c>
      <c r="V28">
        <v>13605</v>
      </c>
      <c r="W28">
        <v>5830</v>
      </c>
      <c r="X28">
        <v>23758</v>
      </c>
      <c r="Y28">
        <v>2045</v>
      </c>
      <c r="Z28">
        <v>1500</v>
      </c>
      <c r="AA28">
        <v>10564</v>
      </c>
      <c r="AB28">
        <v>3467</v>
      </c>
      <c r="AC28">
        <v>4233</v>
      </c>
      <c r="AD28">
        <v>6500</v>
      </c>
      <c r="AE28">
        <v>15700</v>
      </c>
      <c r="AF28">
        <v>3800</v>
      </c>
      <c r="AG28">
        <v>1350</v>
      </c>
      <c r="AH28">
        <v>0</v>
      </c>
      <c r="AI28">
        <v>1800</v>
      </c>
      <c r="AJ28">
        <v>7928</v>
      </c>
      <c r="AK28">
        <v>5150</v>
      </c>
      <c r="AL28">
        <v>8200</v>
      </c>
      <c r="AM28" t="s">
        <v>159</v>
      </c>
    </row>
    <row r="29" spans="1:64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412</v>
      </c>
      <c r="I29" s="59">
        <v>44888</v>
      </c>
      <c r="J29" s="59" t="s">
        <v>536</v>
      </c>
      <c r="K29" s="59"/>
      <c r="L29" s="59"/>
      <c r="M29">
        <v>0.71255855855855854</v>
      </c>
      <c r="N29" s="5" t="s">
        <v>163</v>
      </c>
      <c r="O29" t="s">
        <v>3</v>
      </c>
      <c r="P29">
        <v>39547</v>
      </c>
      <c r="Q29">
        <v>55500</v>
      </c>
      <c r="R29" t="s">
        <v>33</v>
      </c>
      <c r="S29">
        <v>0</v>
      </c>
      <c r="T29">
        <v>600</v>
      </c>
      <c r="U29">
        <v>0</v>
      </c>
      <c r="V29">
        <v>0</v>
      </c>
      <c r="W29">
        <v>1000</v>
      </c>
      <c r="X29">
        <v>0</v>
      </c>
      <c r="Y29">
        <v>29900</v>
      </c>
      <c r="Z29">
        <v>0</v>
      </c>
      <c r="AA29">
        <v>1100</v>
      </c>
      <c r="AB29">
        <v>0</v>
      </c>
      <c r="AC29">
        <v>0</v>
      </c>
      <c r="AD29">
        <v>265</v>
      </c>
      <c r="AE29">
        <v>500</v>
      </c>
      <c r="AF29">
        <v>0</v>
      </c>
      <c r="AG29">
        <v>282</v>
      </c>
      <c r="AH29">
        <v>0</v>
      </c>
      <c r="AI29">
        <v>2500</v>
      </c>
      <c r="AJ29">
        <v>0</v>
      </c>
      <c r="AK29">
        <v>0</v>
      </c>
      <c r="AL29">
        <v>3400</v>
      </c>
      <c r="AM29" t="s">
        <v>159</v>
      </c>
    </row>
    <row r="30" spans="1:64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v>1.2782342342342343</v>
      </c>
      <c r="N30" s="5" t="s">
        <v>162</v>
      </c>
      <c r="O30" t="s">
        <v>3</v>
      </c>
      <c r="P30">
        <v>70942</v>
      </c>
      <c r="Q30">
        <v>55500</v>
      </c>
      <c r="R30" t="s">
        <v>13</v>
      </c>
      <c r="S30">
        <v>5450</v>
      </c>
      <c r="T30">
        <v>0</v>
      </c>
      <c r="U30">
        <v>3200</v>
      </c>
      <c r="V30">
        <v>1170</v>
      </c>
      <c r="W30">
        <v>0</v>
      </c>
      <c r="X30">
        <v>0</v>
      </c>
      <c r="Y30">
        <v>11000</v>
      </c>
      <c r="Z30">
        <v>8000</v>
      </c>
      <c r="AA30">
        <v>4500</v>
      </c>
      <c r="AB30">
        <v>700</v>
      </c>
      <c r="AC30">
        <v>1700</v>
      </c>
      <c r="AD30">
        <v>7000</v>
      </c>
      <c r="AE30">
        <v>4500</v>
      </c>
      <c r="AF30">
        <v>3800</v>
      </c>
      <c r="AG30">
        <v>0</v>
      </c>
      <c r="AH30">
        <v>2300</v>
      </c>
      <c r="AI30">
        <v>5150</v>
      </c>
      <c r="AJ30">
        <v>5000</v>
      </c>
      <c r="AK30">
        <v>7472</v>
      </c>
      <c r="AL30">
        <v>0</v>
      </c>
      <c r="AM30" t="s">
        <v>159</v>
      </c>
    </row>
    <row r="31" spans="1:64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v>1.094990990990991</v>
      </c>
      <c r="N31" s="5" t="s">
        <v>162</v>
      </c>
      <c r="O31" t="s">
        <v>3</v>
      </c>
      <c r="P31">
        <v>60772</v>
      </c>
      <c r="Q31">
        <v>55500</v>
      </c>
      <c r="R31" t="s">
        <v>32</v>
      </c>
      <c r="S31">
        <v>350</v>
      </c>
      <c r="T31">
        <v>815</v>
      </c>
      <c r="U31">
        <v>200</v>
      </c>
      <c r="V31">
        <v>550</v>
      </c>
      <c r="W31">
        <v>4000</v>
      </c>
      <c r="X31">
        <v>0</v>
      </c>
      <c r="Y31">
        <v>15200</v>
      </c>
      <c r="Z31">
        <v>512</v>
      </c>
      <c r="AA31">
        <v>710</v>
      </c>
      <c r="AB31">
        <v>2000</v>
      </c>
      <c r="AC31">
        <v>13200</v>
      </c>
      <c r="AD31">
        <v>0</v>
      </c>
      <c r="AE31">
        <v>0</v>
      </c>
      <c r="AF31">
        <v>407</v>
      </c>
      <c r="AG31">
        <v>6000</v>
      </c>
      <c r="AH31">
        <v>530</v>
      </c>
      <c r="AI31">
        <v>4600</v>
      </c>
      <c r="AJ31">
        <v>3150</v>
      </c>
      <c r="AK31">
        <v>3300</v>
      </c>
      <c r="AL31">
        <v>2760</v>
      </c>
      <c r="AM31" t="s">
        <v>159</v>
      </c>
    </row>
    <row r="32" spans="1:64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v>0.87484684684684688</v>
      </c>
      <c r="N32" s="5" t="s">
        <v>163</v>
      </c>
      <c r="O32" t="s">
        <v>3</v>
      </c>
      <c r="P32">
        <v>48554</v>
      </c>
      <c r="Q32">
        <v>55500</v>
      </c>
      <c r="R32" t="s">
        <v>96</v>
      </c>
      <c r="S32">
        <v>0</v>
      </c>
      <c r="T32">
        <v>0</v>
      </c>
      <c r="U32">
        <v>0</v>
      </c>
      <c r="V32">
        <v>300</v>
      </c>
      <c r="W32">
        <v>813</v>
      </c>
      <c r="X32">
        <v>3650</v>
      </c>
      <c r="Y32">
        <v>2700</v>
      </c>
      <c r="Z32">
        <v>9500</v>
      </c>
      <c r="AA32">
        <v>0</v>
      </c>
      <c r="AB32">
        <v>0</v>
      </c>
      <c r="AC32">
        <v>2100</v>
      </c>
      <c r="AD32">
        <v>2050</v>
      </c>
      <c r="AE32">
        <v>5670</v>
      </c>
      <c r="AF32">
        <v>850</v>
      </c>
      <c r="AG32">
        <v>800</v>
      </c>
      <c r="AH32">
        <v>100</v>
      </c>
      <c r="AI32">
        <v>2100</v>
      </c>
      <c r="AJ32">
        <v>663</v>
      </c>
      <c r="AK32">
        <v>825</v>
      </c>
      <c r="AL32">
        <v>15533</v>
      </c>
      <c r="AM32" t="s">
        <v>159</v>
      </c>
    </row>
    <row r="33" spans="1:39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v>1.3207207207207208</v>
      </c>
      <c r="N33" s="5" t="s">
        <v>162</v>
      </c>
      <c r="O33" t="s">
        <v>3</v>
      </c>
      <c r="P33">
        <v>73300</v>
      </c>
      <c r="Q33">
        <v>55500</v>
      </c>
      <c r="R33" t="s">
        <v>24</v>
      </c>
      <c r="S33">
        <v>0</v>
      </c>
      <c r="T33">
        <v>0</v>
      </c>
      <c r="U33">
        <v>0</v>
      </c>
      <c r="V33">
        <v>2450</v>
      </c>
      <c r="W33">
        <v>3100</v>
      </c>
      <c r="X33">
        <v>5300</v>
      </c>
      <c r="Y33">
        <v>0</v>
      </c>
      <c r="Z33">
        <v>1310</v>
      </c>
      <c r="AA33">
        <v>4775</v>
      </c>
      <c r="AB33">
        <v>0</v>
      </c>
      <c r="AC33">
        <v>1600</v>
      </c>
      <c r="AD33">
        <v>1500</v>
      </c>
      <c r="AE33">
        <v>7140</v>
      </c>
      <c r="AF33">
        <v>10000</v>
      </c>
      <c r="AG33">
        <v>2000</v>
      </c>
      <c r="AH33">
        <v>0</v>
      </c>
      <c r="AI33">
        <v>2120</v>
      </c>
      <c r="AJ33">
        <v>3800</v>
      </c>
      <c r="AK33">
        <v>25775</v>
      </c>
      <c r="AL33">
        <v>2440</v>
      </c>
      <c r="AM33" t="s">
        <v>159</v>
      </c>
    </row>
    <row r="34" spans="1:39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v>0.40906306306306306</v>
      </c>
      <c r="N34" s="5" t="s">
        <v>164</v>
      </c>
      <c r="O34" t="s">
        <v>3</v>
      </c>
      <c r="P34">
        <v>22703</v>
      </c>
      <c r="Q34">
        <v>55500</v>
      </c>
      <c r="R34" t="s">
        <v>65</v>
      </c>
      <c r="S34">
        <v>0</v>
      </c>
      <c r="T34">
        <v>9063</v>
      </c>
      <c r="U34">
        <v>0</v>
      </c>
      <c r="V34">
        <v>0</v>
      </c>
      <c r="W34">
        <v>500</v>
      </c>
      <c r="X34">
        <v>990</v>
      </c>
      <c r="Y34">
        <v>0</v>
      </c>
      <c r="Z34">
        <v>0</v>
      </c>
      <c r="AA34">
        <v>0</v>
      </c>
      <c r="AB34">
        <v>2500</v>
      </c>
      <c r="AC34">
        <v>0</v>
      </c>
      <c r="AD34">
        <v>0</v>
      </c>
      <c r="AE34">
        <v>300</v>
      </c>
      <c r="AF34">
        <v>0</v>
      </c>
      <c r="AG34">
        <v>0</v>
      </c>
      <c r="AH34">
        <v>1150</v>
      </c>
      <c r="AI34">
        <v>900</v>
      </c>
      <c r="AJ34">
        <v>0</v>
      </c>
      <c r="AK34">
        <v>300</v>
      </c>
      <c r="AL34">
        <v>7000</v>
      </c>
      <c r="AM34" t="s">
        <v>159</v>
      </c>
    </row>
    <row r="35" spans="1:39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v>1.1853333333333333</v>
      </c>
      <c r="N35" s="5" t="s">
        <v>162</v>
      </c>
      <c r="O35" t="s">
        <v>3</v>
      </c>
      <c r="P35">
        <v>65786</v>
      </c>
      <c r="Q35">
        <v>55500</v>
      </c>
      <c r="R35" t="s">
        <v>31</v>
      </c>
      <c r="S35">
        <v>0</v>
      </c>
      <c r="T35">
        <v>1500</v>
      </c>
      <c r="U35">
        <v>250</v>
      </c>
      <c r="V35">
        <v>0</v>
      </c>
      <c r="W35">
        <v>0</v>
      </c>
      <c r="X35">
        <v>0</v>
      </c>
      <c r="Y35">
        <v>0</v>
      </c>
      <c r="Z35">
        <v>7500</v>
      </c>
      <c r="AA35">
        <v>4000</v>
      </c>
      <c r="AB35">
        <v>2000</v>
      </c>
      <c r="AC35">
        <v>0</v>
      </c>
      <c r="AD35">
        <v>0</v>
      </c>
      <c r="AE35">
        <v>16000</v>
      </c>
      <c r="AF35">
        <v>0</v>
      </c>
      <c r="AG35">
        <v>10400</v>
      </c>
      <c r="AH35">
        <v>2200</v>
      </c>
      <c r="AI35">
        <v>500</v>
      </c>
      <c r="AJ35">
        <v>1500</v>
      </c>
      <c r="AK35">
        <v>2200</v>
      </c>
      <c r="AL35">
        <v>11736</v>
      </c>
      <c r="AM35" t="s">
        <v>159</v>
      </c>
    </row>
    <row r="36" spans="1:39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v>0.82893693693693693</v>
      </c>
      <c r="N36" s="5" t="s">
        <v>163</v>
      </c>
      <c r="O36" t="s">
        <v>3</v>
      </c>
      <c r="P36">
        <v>46006</v>
      </c>
      <c r="Q36">
        <v>55500</v>
      </c>
      <c r="R36" t="s">
        <v>17</v>
      </c>
      <c r="S36">
        <v>0</v>
      </c>
      <c r="T36">
        <v>0</v>
      </c>
      <c r="U36">
        <v>0</v>
      </c>
      <c r="V36">
        <v>0</v>
      </c>
      <c r="W36">
        <v>4000</v>
      </c>
      <c r="X36">
        <v>2500</v>
      </c>
      <c r="Y36">
        <v>0</v>
      </c>
      <c r="Z36">
        <v>1750</v>
      </c>
      <c r="AA36">
        <v>3000</v>
      </c>
      <c r="AB36">
        <v>1500</v>
      </c>
      <c r="AC36">
        <v>0</v>
      </c>
      <c r="AD36">
        <v>0</v>
      </c>
      <c r="AE36">
        <v>13856</v>
      </c>
      <c r="AF36">
        <v>5150</v>
      </c>
      <c r="AG36">
        <v>1650</v>
      </c>
      <c r="AH36">
        <v>4600</v>
      </c>
      <c r="AI36">
        <v>0</v>
      </c>
      <c r="AJ36">
        <v>480</v>
      </c>
      <c r="AK36">
        <v>520</v>
      </c>
      <c r="AL36">
        <v>7000</v>
      </c>
      <c r="AM36" t="s">
        <v>159</v>
      </c>
    </row>
    <row r="37" spans="1:39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v>0.93945945945945941</v>
      </c>
      <c r="N37" s="5" t="s">
        <v>163</v>
      </c>
      <c r="O37" t="s">
        <v>3</v>
      </c>
      <c r="P37">
        <v>52140</v>
      </c>
      <c r="Q37">
        <v>55500</v>
      </c>
      <c r="R37" t="s">
        <v>22</v>
      </c>
      <c r="S37">
        <v>0</v>
      </c>
      <c r="T37">
        <v>636</v>
      </c>
      <c r="U37">
        <v>0</v>
      </c>
      <c r="V37">
        <v>290</v>
      </c>
      <c r="W37">
        <v>2000</v>
      </c>
      <c r="X37">
        <v>4247</v>
      </c>
      <c r="Y37">
        <v>0</v>
      </c>
      <c r="Z37">
        <v>0</v>
      </c>
      <c r="AA37">
        <v>7020</v>
      </c>
      <c r="AB37">
        <v>1027</v>
      </c>
      <c r="AC37">
        <v>1000</v>
      </c>
      <c r="AD37">
        <v>13250</v>
      </c>
      <c r="AE37">
        <v>1300</v>
      </c>
      <c r="AF37">
        <v>4780</v>
      </c>
      <c r="AG37">
        <v>2000</v>
      </c>
      <c r="AH37">
        <v>1500</v>
      </c>
      <c r="AI37">
        <v>1500</v>
      </c>
      <c r="AJ37">
        <v>10684</v>
      </c>
      <c r="AK37">
        <v>274</v>
      </c>
      <c r="AL37">
        <v>632</v>
      </c>
      <c r="AM37" t="s">
        <v>159</v>
      </c>
    </row>
    <row r="38" spans="1:39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v>2.0112394366197184</v>
      </c>
      <c r="N38" s="5" t="s">
        <v>162</v>
      </c>
      <c r="O38" t="s">
        <v>2</v>
      </c>
      <c r="P38">
        <v>71399</v>
      </c>
      <c r="Q38">
        <v>35500</v>
      </c>
      <c r="R38" t="s">
        <v>38</v>
      </c>
      <c r="S38">
        <v>2388</v>
      </c>
      <c r="T38">
        <v>1020</v>
      </c>
      <c r="U38">
        <v>287</v>
      </c>
      <c r="V38">
        <v>0</v>
      </c>
      <c r="W38">
        <v>3195</v>
      </c>
      <c r="X38">
        <v>1000</v>
      </c>
      <c r="Y38">
        <v>0</v>
      </c>
      <c r="Z38">
        <v>380</v>
      </c>
      <c r="AA38">
        <v>4020</v>
      </c>
      <c r="AB38">
        <v>4000</v>
      </c>
      <c r="AC38">
        <v>900</v>
      </c>
      <c r="AD38">
        <v>3900</v>
      </c>
      <c r="AE38">
        <v>13300</v>
      </c>
      <c r="AF38">
        <v>1300</v>
      </c>
      <c r="AG38">
        <v>3000</v>
      </c>
      <c r="AH38">
        <v>0</v>
      </c>
      <c r="AI38">
        <v>0</v>
      </c>
      <c r="AJ38">
        <v>12220</v>
      </c>
      <c r="AK38">
        <v>9774</v>
      </c>
      <c r="AL38">
        <v>10715</v>
      </c>
      <c r="AM38" t="s">
        <v>205</v>
      </c>
    </row>
    <row r="39" spans="1:39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v>1.9508732394366197</v>
      </c>
      <c r="N39" s="5" t="s">
        <v>162</v>
      </c>
      <c r="O39" t="s">
        <v>2</v>
      </c>
      <c r="P39">
        <v>69256</v>
      </c>
      <c r="Q39">
        <v>35500</v>
      </c>
      <c r="R39" t="s">
        <v>68</v>
      </c>
      <c r="S39">
        <v>0</v>
      </c>
      <c r="T39">
        <v>0</v>
      </c>
      <c r="U39">
        <v>0</v>
      </c>
      <c r="V39">
        <v>0</v>
      </c>
      <c r="W39">
        <v>6000</v>
      </c>
      <c r="X39">
        <v>0</v>
      </c>
      <c r="Y39">
        <v>400</v>
      </c>
      <c r="Z39">
        <v>1500</v>
      </c>
      <c r="AA39">
        <v>790</v>
      </c>
      <c r="AB39">
        <v>25766</v>
      </c>
      <c r="AC39">
        <v>0</v>
      </c>
      <c r="AD39">
        <v>0</v>
      </c>
      <c r="AE39">
        <v>0</v>
      </c>
      <c r="AF39">
        <v>2100</v>
      </c>
      <c r="AG39">
        <v>11000</v>
      </c>
      <c r="AH39">
        <v>0</v>
      </c>
      <c r="AI39">
        <v>0</v>
      </c>
      <c r="AJ39">
        <v>1000</v>
      </c>
      <c r="AK39">
        <v>1000</v>
      </c>
      <c r="AL39">
        <v>19700</v>
      </c>
      <c r="AM39" t="s">
        <v>205</v>
      </c>
    </row>
    <row r="40" spans="1:39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v>1.0459971830985917</v>
      </c>
      <c r="N40" s="5" t="s">
        <v>162</v>
      </c>
      <c r="O40" t="s">
        <v>2</v>
      </c>
      <c r="P40">
        <v>37132.9</v>
      </c>
      <c r="Q40">
        <v>35500</v>
      </c>
      <c r="R40" t="s">
        <v>29</v>
      </c>
      <c r="S40">
        <v>595</v>
      </c>
      <c r="T40">
        <v>771</v>
      </c>
      <c r="U40">
        <v>383.4</v>
      </c>
      <c r="V40">
        <v>3746</v>
      </c>
      <c r="W40">
        <v>6900</v>
      </c>
      <c r="X40">
        <v>460</v>
      </c>
      <c r="Y40">
        <v>350</v>
      </c>
      <c r="Z40">
        <v>0</v>
      </c>
      <c r="AA40">
        <v>4875</v>
      </c>
      <c r="AB40">
        <v>4172.5</v>
      </c>
      <c r="AC40">
        <v>6500</v>
      </c>
      <c r="AD40">
        <v>6500</v>
      </c>
      <c r="AE40">
        <v>0</v>
      </c>
      <c r="AF40">
        <v>537</v>
      </c>
      <c r="AG40">
        <v>800</v>
      </c>
      <c r="AH40">
        <v>0</v>
      </c>
      <c r="AI40">
        <v>0</v>
      </c>
      <c r="AJ40">
        <v>350</v>
      </c>
      <c r="AK40">
        <v>193</v>
      </c>
      <c r="AL40">
        <v>0</v>
      </c>
      <c r="AM40" t="s">
        <v>205</v>
      </c>
    </row>
    <row r="41" spans="1:39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v>1.5629859154929577</v>
      </c>
      <c r="N41" s="5" t="s">
        <v>162</v>
      </c>
      <c r="O41" t="s">
        <v>2</v>
      </c>
      <c r="P41">
        <v>55486</v>
      </c>
      <c r="Q41">
        <v>35500</v>
      </c>
      <c r="R41" t="s">
        <v>42</v>
      </c>
      <c r="S41" s="46">
        <v>0</v>
      </c>
      <c r="T41">
        <v>0</v>
      </c>
      <c r="U41">
        <v>1480</v>
      </c>
      <c r="V41">
        <v>325</v>
      </c>
      <c r="W41">
        <v>0</v>
      </c>
      <c r="X41">
        <v>1600</v>
      </c>
      <c r="Y41">
        <v>364</v>
      </c>
      <c r="Z41">
        <v>0</v>
      </c>
      <c r="AA41">
        <v>16728</v>
      </c>
      <c r="AB41">
        <v>1500</v>
      </c>
      <c r="AC41">
        <v>5200</v>
      </c>
      <c r="AD41">
        <v>4560</v>
      </c>
      <c r="AE41">
        <v>421</v>
      </c>
      <c r="AF41">
        <v>8585</v>
      </c>
      <c r="AG41">
        <v>300</v>
      </c>
      <c r="AH41">
        <v>0</v>
      </c>
      <c r="AI41">
        <v>4700</v>
      </c>
      <c r="AJ41">
        <v>145</v>
      </c>
      <c r="AK41">
        <v>5578</v>
      </c>
      <c r="AL41">
        <v>4000</v>
      </c>
      <c r="AM41" t="s">
        <v>205</v>
      </c>
    </row>
    <row r="42" spans="1:39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v>1.2428732394366198</v>
      </c>
      <c r="N42" s="5" t="s">
        <v>162</v>
      </c>
      <c r="O42" t="s">
        <v>2</v>
      </c>
      <c r="P42">
        <v>44122</v>
      </c>
      <c r="Q42">
        <v>35500</v>
      </c>
      <c r="R42" t="s">
        <v>15</v>
      </c>
      <c r="S42" s="46">
        <v>3000</v>
      </c>
      <c r="T42">
        <v>621</v>
      </c>
      <c r="U42">
        <v>5000</v>
      </c>
      <c r="V42">
        <v>0</v>
      </c>
      <c r="W42">
        <v>0</v>
      </c>
      <c r="X42">
        <v>301</v>
      </c>
      <c r="Y42">
        <v>0</v>
      </c>
      <c r="Z42">
        <v>5600</v>
      </c>
      <c r="AA42">
        <v>8400</v>
      </c>
      <c r="AB42">
        <v>0</v>
      </c>
      <c r="AC42">
        <v>200</v>
      </c>
      <c r="AD42">
        <v>5000</v>
      </c>
      <c r="AE42">
        <v>0</v>
      </c>
      <c r="AF42">
        <v>0</v>
      </c>
      <c r="AG42">
        <v>2000</v>
      </c>
      <c r="AH42">
        <v>8000</v>
      </c>
      <c r="AI42">
        <v>2000</v>
      </c>
      <c r="AJ42">
        <v>4000</v>
      </c>
      <c r="AK42">
        <v>0</v>
      </c>
      <c r="AL42">
        <v>0</v>
      </c>
      <c r="AM42" t="s">
        <v>205</v>
      </c>
    </row>
    <row r="43" spans="1:39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512</v>
      </c>
      <c r="I43" s="59">
        <v>45889</v>
      </c>
      <c r="J43" s="59" t="s">
        <v>536</v>
      </c>
      <c r="K43" s="59"/>
      <c r="L43" s="59"/>
      <c r="M43">
        <v>1.4267605633802818</v>
      </c>
      <c r="N43" s="5" t="s">
        <v>162</v>
      </c>
      <c r="O43" t="s">
        <v>2</v>
      </c>
      <c r="P43">
        <v>50650</v>
      </c>
      <c r="Q43">
        <v>35500</v>
      </c>
      <c r="R43" t="s">
        <v>25</v>
      </c>
      <c r="S43">
        <v>500</v>
      </c>
      <c r="T43">
        <v>1500</v>
      </c>
      <c r="U43">
        <v>250</v>
      </c>
      <c r="V43">
        <v>0</v>
      </c>
      <c r="W43">
        <v>250</v>
      </c>
      <c r="X43">
        <v>0</v>
      </c>
      <c r="Y43">
        <v>10000</v>
      </c>
      <c r="Z43">
        <v>0</v>
      </c>
      <c r="AA43">
        <v>175</v>
      </c>
      <c r="AB43">
        <v>1500</v>
      </c>
      <c r="AC43">
        <v>500</v>
      </c>
      <c r="AD43">
        <v>0</v>
      </c>
      <c r="AE43">
        <v>11500</v>
      </c>
      <c r="AF43">
        <v>5800</v>
      </c>
      <c r="AG43">
        <v>11500</v>
      </c>
      <c r="AH43">
        <v>7000</v>
      </c>
      <c r="AI43">
        <v>175</v>
      </c>
      <c r="AJ43">
        <v>0</v>
      </c>
      <c r="AK43">
        <v>0</v>
      </c>
      <c r="AL43">
        <v>0</v>
      </c>
      <c r="AM43" t="s">
        <v>205</v>
      </c>
    </row>
    <row r="44" spans="1:39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420</v>
      </c>
      <c r="I44" s="59">
        <v>44840</v>
      </c>
      <c r="J44" s="59" t="s">
        <v>536</v>
      </c>
      <c r="K44" s="59"/>
      <c r="L44" s="59"/>
      <c r="M44">
        <v>2.468434366197183</v>
      </c>
      <c r="N44" s="5" t="s">
        <v>162</v>
      </c>
      <c r="O44" t="s">
        <v>2</v>
      </c>
      <c r="P44">
        <v>87629.42</v>
      </c>
      <c r="Q44">
        <v>35500</v>
      </c>
      <c r="R44" t="s">
        <v>76</v>
      </c>
      <c r="S44">
        <v>0</v>
      </c>
      <c r="T44">
        <v>0</v>
      </c>
      <c r="U44">
        <v>1430.42</v>
      </c>
      <c r="V44">
        <v>2800</v>
      </c>
      <c r="W44">
        <v>0</v>
      </c>
      <c r="X44">
        <v>299</v>
      </c>
      <c r="Y44">
        <v>3700</v>
      </c>
      <c r="Z44">
        <v>29450</v>
      </c>
      <c r="AA44">
        <v>15200</v>
      </c>
      <c r="AB44">
        <v>0</v>
      </c>
      <c r="AC44">
        <v>3000</v>
      </c>
      <c r="AD44">
        <v>0</v>
      </c>
      <c r="AE44">
        <v>8300</v>
      </c>
      <c r="AF44">
        <v>10000</v>
      </c>
      <c r="AG44">
        <v>6000</v>
      </c>
      <c r="AH44">
        <v>5600</v>
      </c>
      <c r="AI44">
        <v>0</v>
      </c>
      <c r="AJ44">
        <v>0</v>
      </c>
      <c r="AK44">
        <v>1850</v>
      </c>
      <c r="AL44">
        <v>0</v>
      </c>
      <c r="AM44" t="s">
        <v>205</v>
      </c>
    </row>
    <row r="45" spans="1:39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v>1.0040360563380282</v>
      </c>
      <c r="N45" s="5" t="s">
        <v>162</v>
      </c>
      <c r="O45" t="s">
        <v>2</v>
      </c>
      <c r="P45">
        <v>35643.279999999999</v>
      </c>
      <c r="Q45">
        <v>35500</v>
      </c>
      <c r="R45" t="s">
        <v>79</v>
      </c>
      <c r="S45">
        <v>1270</v>
      </c>
      <c r="T45">
        <v>4600</v>
      </c>
      <c r="U45">
        <v>0</v>
      </c>
      <c r="V45">
        <v>3620</v>
      </c>
      <c r="W45">
        <v>1379.28</v>
      </c>
      <c r="X45">
        <v>0</v>
      </c>
      <c r="Y45">
        <v>790</v>
      </c>
      <c r="Z45">
        <v>0</v>
      </c>
      <c r="AA45">
        <v>1224</v>
      </c>
      <c r="AB45">
        <v>500</v>
      </c>
      <c r="AC45">
        <v>3050</v>
      </c>
      <c r="AD45">
        <v>3950</v>
      </c>
      <c r="AE45">
        <v>0</v>
      </c>
      <c r="AF45">
        <v>9300</v>
      </c>
      <c r="AG45">
        <v>1300</v>
      </c>
      <c r="AH45">
        <v>0</v>
      </c>
      <c r="AI45">
        <v>0</v>
      </c>
      <c r="AJ45">
        <v>570</v>
      </c>
      <c r="AK45">
        <v>1730</v>
      </c>
      <c r="AL45">
        <v>2360</v>
      </c>
      <c r="AM45" t="s">
        <v>205</v>
      </c>
    </row>
    <row r="46" spans="1:39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v>1.5675774647887324</v>
      </c>
      <c r="N46" s="5" t="s">
        <v>162</v>
      </c>
      <c r="O46" t="s">
        <v>2</v>
      </c>
      <c r="P46">
        <v>55649</v>
      </c>
      <c r="Q46">
        <v>35500</v>
      </c>
      <c r="R46" t="s">
        <v>78</v>
      </c>
      <c r="S46">
        <v>1000</v>
      </c>
      <c r="T46">
        <v>0</v>
      </c>
      <c r="U46">
        <v>416</v>
      </c>
      <c r="V46">
        <v>0</v>
      </c>
      <c r="W46">
        <v>260</v>
      </c>
      <c r="X46">
        <v>500</v>
      </c>
      <c r="Y46">
        <v>500</v>
      </c>
      <c r="Z46">
        <v>12150</v>
      </c>
      <c r="AA46">
        <v>455</v>
      </c>
      <c r="AB46">
        <v>980</v>
      </c>
      <c r="AC46">
        <v>500</v>
      </c>
      <c r="AD46">
        <v>12000</v>
      </c>
      <c r="AE46">
        <v>350</v>
      </c>
      <c r="AF46">
        <v>21807</v>
      </c>
      <c r="AG46">
        <v>1000</v>
      </c>
      <c r="AH46">
        <v>300</v>
      </c>
      <c r="AI46">
        <v>0</v>
      </c>
      <c r="AJ46">
        <v>1500</v>
      </c>
      <c r="AK46">
        <v>1931</v>
      </c>
      <c r="AL46">
        <v>0</v>
      </c>
      <c r="AM46" t="s">
        <v>205</v>
      </c>
    </row>
    <row r="47" spans="1:39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v>1.1331904761904761</v>
      </c>
      <c r="N47" s="5" t="s">
        <v>162</v>
      </c>
      <c r="O47" t="s">
        <v>7</v>
      </c>
      <c r="P47">
        <v>23797</v>
      </c>
      <c r="Q47">
        <v>21000</v>
      </c>
      <c r="R47" t="s">
        <v>40</v>
      </c>
      <c r="S47">
        <v>1000</v>
      </c>
      <c r="T47">
        <v>100</v>
      </c>
      <c r="U47" s="46">
        <v>1160</v>
      </c>
      <c r="V47">
        <v>0</v>
      </c>
      <c r="W47">
        <v>1000</v>
      </c>
      <c r="X47">
        <v>0</v>
      </c>
      <c r="Y47">
        <v>0</v>
      </c>
      <c r="Z47">
        <v>0</v>
      </c>
      <c r="AA47">
        <v>4000</v>
      </c>
      <c r="AB47">
        <v>0</v>
      </c>
      <c r="AC47">
        <v>0</v>
      </c>
      <c r="AD47">
        <v>0</v>
      </c>
      <c r="AE47">
        <v>600</v>
      </c>
      <c r="AF47">
        <v>7500</v>
      </c>
      <c r="AG47">
        <v>0</v>
      </c>
      <c r="AH47">
        <v>0</v>
      </c>
      <c r="AI47">
        <v>355</v>
      </c>
      <c r="AJ47">
        <v>250</v>
      </c>
      <c r="AK47">
        <v>700</v>
      </c>
      <c r="AL47">
        <v>7232</v>
      </c>
      <c r="AM47" t="s">
        <v>175</v>
      </c>
    </row>
    <row r="48" spans="1:39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v>1.7203809523809523</v>
      </c>
      <c r="N48" s="5" t="s">
        <v>162</v>
      </c>
      <c r="O48" t="s">
        <v>7</v>
      </c>
      <c r="P48">
        <v>36128</v>
      </c>
      <c r="Q48">
        <v>21000</v>
      </c>
      <c r="R48" t="s">
        <v>77</v>
      </c>
      <c r="S48">
        <v>200</v>
      </c>
      <c r="T48">
        <v>1700</v>
      </c>
      <c r="U48">
        <v>0</v>
      </c>
      <c r="V48">
        <v>0</v>
      </c>
      <c r="W48">
        <v>0</v>
      </c>
      <c r="X48">
        <v>0</v>
      </c>
      <c r="Y48">
        <v>4500</v>
      </c>
      <c r="Z48">
        <v>0</v>
      </c>
      <c r="AA48">
        <v>2665</v>
      </c>
      <c r="AB48">
        <v>0</v>
      </c>
      <c r="AC48">
        <v>0</v>
      </c>
      <c r="AD48">
        <v>0</v>
      </c>
      <c r="AE48">
        <v>0</v>
      </c>
      <c r="AF48">
        <v>11000</v>
      </c>
      <c r="AG48">
        <v>395</v>
      </c>
      <c r="AH48">
        <v>600</v>
      </c>
      <c r="AI48">
        <v>3700</v>
      </c>
      <c r="AJ48">
        <v>7889.91</v>
      </c>
      <c r="AK48">
        <v>1500</v>
      </c>
      <c r="AL48">
        <v>1078</v>
      </c>
      <c r="AM48" t="s">
        <v>175</v>
      </c>
    </row>
    <row r="49" spans="1:39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v>2.255095238095238</v>
      </c>
      <c r="N49" s="5" t="s">
        <v>162</v>
      </c>
      <c r="O49" t="s">
        <v>7</v>
      </c>
      <c r="P49">
        <v>47357</v>
      </c>
      <c r="Q49">
        <v>21000</v>
      </c>
      <c r="R49" t="s">
        <v>49</v>
      </c>
      <c r="S49">
        <v>508</v>
      </c>
      <c r="T49">
        <v>134</v>
      </c>
      <c r="U49">
        <v>0</v>
      </c>
      <c r="V49">
        <v>0</v>
      </c>
      <c r="W49">
        <v>0</v>
      </c>
      <c r="X49">
        <v>7000</v>
      </c>
      <c r="Y49">
        <v>200</v>
      </c>
      <c r="Z49">
        <v>450</v>
      </c>
      <c r="AA49">
        <v>3417</v>
      </c>
      <c r="AB49">
        <v>5000</v>
      </c>
      <c r="AC49">
        <v>506</v>
      </c>
      <c r="AD49">
        <v>0</v>
      </c>
      <c r="AE49">
        <v>0</v>
      </c>
      <c r="AF49">
        <v>0</v>
      </c>
      <c r="AG49">
        <v>6800</v>
      </c>
      <c r="AH49">
        <v>350</v>
      </c>
      <c r="AI49">
        <v>500</v>
      </c>
      <c r="AJ49">
        <v>4200</v>
      </c>
      <c r="AK49">
        <v>16292</v>
      </c>
      <c r="AL49">
        <v>2000</v>
      </c>
      <c r="AM49" t="s">
        <v>175</v>
      </c>
    </row>
    <row r="50" spans="1:39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448</v>
      </c>
      <c r="I50" s="59">
        <v>44748</v>
      </c>
      <c r="J50" s="59" t="s">
        <v>536</v>
      </c>
      <c r="K50" s="59"/>
      <c r="L50" s="59"/>
      <c r="M50">
        <v>1.0588571428571429</v>
      </c>
      <c r="N50" s="5" t="s">
        <v>162</v>
      </c>
      <c r="O50" t="s">
        <v>7</v>
      </c>
      <c r="P50">
        <v>22236</v>
      </c>
      <c r="Q50">
        <v>21000</v>
      </c>
      <c r="R50" t="s">
        <v>48</v>
      </c>
      <c r="S50">
        <v>400</v>
      </c>
      <c r="T50">
        <v>276</v>
      </c>
      <c r="U50">
        <v>0</v>
      </c>
      <c r="V50">
        <v>0</v>
      </c>
      <c r="W50">
        <v>200</v>
      </c>
      <c r="X50">
        <v>200</v>
      </c>
      <c r="Y50">
        <v>0</v>
      </c>
      <c r="Z50">
        <v>800</v>
      </c>
      <c r="AA50">
        <v>2900</v>
      </c>
      <c r="AB50">
        <v>1250</v>
      </c>
      <c r="AC50">
        <v>1200</v>
      </c>
      <c r="AD50">
        <v>0</v>
      </c>
      <c r="AE50">
        <v>6010</v>
      </c>
      <c r="AF50">
        <v>0</v>
      </c>
      <c r="AG50">
        <v>0</v>
      </c>
      <c r="AH50">
        <v>250</v>
      </c>
      <c r="AI50">
        <v>5000</v>
      </c>
      <c r="AJ50">
        <v>1526</v>
      </c>
      <c r="AK50">
        <v>0</v>
      </c>
      <c r="AL50">
        <v>2500</v>
      </c>
      <c r="AM50" t="s">
        <v>175</v>
      </c>
    </row>
    <row r="51" spans="1:39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206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v>1.0704761904761906</v>
      </c>
      <c r="N51" s="5" t="s">
        <v>162</v>
      </c>
      <c r="O51" t="s">
        <v>7</v>
      </c>
      <c r="P51">
        <v>22480</v>
      </c>
      <c r="Q51">
        <v>21000</v>
      </c>
      <c r="R51" t="s">
        <v>51</v>
      </c>
      <c r="S51">
        <v>90</v>
      </c>
      <c r="T51">
        <v>0</v>
      </c>
      <c r="U51">
        <v>0</v>
      </c>
      <c r="V51">
        <v>830</v>
      </c>
      <c r="W51">
        <v>2000</v>
      </c>
      <c r="X51">
        <v>0</v>
      </c>
      <c r="Y51">
        <v>2000</v>
      </c>
      <c r="Z51">
        <v>300</v>
      </c>
      <c r="AA51">
        <v>1500</v>
      </c>
      <c r="AB51">
        <v>0</v>
      </c>
      <c r="AC51">
        <v>0</v>
      </c>
      <c r="AD51">
        <v>0</v>
      </c>
      <c r="AE51">
        <v>3500</v>
      </c>
      <c r="AF51">
        <v>4000</v>
      </c>
      <c r="AG51">
        <v>1500</v>
      </c>
      <c r="AH51">
        <v>3400</v>
      </c>
      <c r="AI51">
        <v>0</v>
      </c>
      <c r="AJ51">
        <v>0</v>
      </c>
      <c r="AK51">
        <v>100</v>
      </c>
      <c r="AL51">
        <v>3260</v>
      </c>
      <c r="AM51" t="s">
        <v>175</v>
      </c>
    </row>
    <row r="52" spans="1:39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v>1.31</v>
      </c>
      <c r="N52" s="5" t="s">
        <v>162</v>
      </c>
      <c r="O52" t="s">
        <v>7</v>
      </c>
      <c r="P52">
        <v>27510</v>
      </c>
      <c r="Q52">
        <v>21000</v>
      </c>
      <c r="R52" t="s">
        <v>12</v>
      </c>
      <c r="S52">
        <v>310</v>
      </c>
      <c r="T52">
        <v>70</v>
      </c>
      <c r="U52">
        <v>0</v>
      </c>
      <c r="V52">
        <v>0</v>
      </c>
      <c r="W52">
        <v>3300</v>
      </c>
      <c r="X52">
        <v>650</v>
      </c>
      <c r="Y52">
        <v>3000</v>
      </c>
      <c r="Z52">
        <v>2200</v>
      </c>
      <c r="AA52">
        <v>1200</v>
      </c>
      <c r="AB52">
        <v>0</v>
      </c>
      <c r="AC52">
        <v>0</v>
      </c>
      <c r="AD52">
        <v>0</v>
      </c>
      <c r="AE52">
        <v>1650</v>
      </c>
      <c r="AF52">
        <v>750</v>
      </c>
      <c r="AG52">
        <v>1950</v>
      </c>
      <c r="AH52">
        <v>500</v>
      </c>
      <c r="AI52">
        <v>0</v>
      </c>
      <c r="AJ52">
        <v>6930</v>
      </c>
      <c r="AK52">
        <v>2500</v>
      </c>
      <c r="AL52">
        <v>2500</v>
      </c>
      <c r="AM52" t="s">
        <v>175</v>
      </c>
    </row>
    <row r="53" spans="1:39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517</v>
      </c>
      <c r="I53" s="59">
        <v>45917</v>
      </c>
      <c r="J53" s="59" t="s">
        <v>536</v>
      </c>
      <c r="K53" s="59"/>
      <c r="L53" s="59"/>
      <c r="M53">
        <v>1.8462380952380952</v>
      </c>
      <c r="N53" s="5" t="s">
        <v>162</v>
      </c>
      <c r="O53" t="s">
        <v>7</v>
      </c>
      <c r="P53">
        <v>38771</v>
      </c>
      <c r="Q53">
        <v>21000</v>
      </c>
      <c r="R53" t="s">
        <v>97</v>
      </c>
      <c r="S53">
        <v>0</v>
      </c>
      <c r="T53">
        <v>0</v>
      </c>
      <c r="U53">
        <v>0</v>
      </c>
      <c r="V53">
        <v>0</v>
      </c>
      <c r="W53">
        <v>285</v>
      </c>
      <c r="X53">
        <v>3300</v>
      </c>
      <c r="Y53">
        <v>4000</v>
      </c>
      <c r="Z53">
        <v>16700</v>
      </c>
      <c r="AA53">
        <v>950</v>
      </c>
      <c r="AB53">
        <v>285</v>
      </c>
      <c r="AC53">
        <v>335</v>
      </c>
      <c r="AD53">
        <v>5990</v>
      </c>
      <c r="AE53">
        <v>0</v>
      </c>
      <c r="AF53">
        <v>0</v>
      </c>
      <c r="AG53">
        <v>1200</v>
      </c>
      <c r="AH53">
        <v>230</v>
      </c>
      <c r="AI53">
        <v>600</v>
      </c>
      <c r="AJ53">
        <v>700</v>
      </c>
      <c r="AK53">
        <v>3161</v>
      </c>
      <c r="AL53">
        <v>1035</v>
      </c>
      <c r="AM53" t="s">
        <v>175</v>
      </c>
    </row>
    <row r="54" spans="1:39" x14ac:dyDescent="0.25">
      <c r="A54" s="35"/>
      <c r="B54" s="35"/>
      <c r="C54" s="36"/>
      <c r="D54" s="36"/>
      <c r="E54" s="36"/>
      <c r="H54"/>
      <c r="M54">
        <v>2.9866666666666668</v>
      </c>
      <c r="N54" s="5" t="s">
        <v>162</v>
      </c>
      <c r="O54" t="s">
        <v>7</v>
      </c>
      <c r="P54">
        <v>62720</v>
      </c>
      <c r="Q54">
        <v>21000</v>
      </c>
      <c r="R54" t="s">
        <v>58</v>
      </c>
      <c r="S54">
        <v>1575</v>
      </c>
      <c r="T54">
        <v>1575</v>
      </c>
      <c r="U54">
        <v>400</v>
      </c>
      <c r="V54">
        <v>800</v>
      </c>
      <c r="W54">
        <v>400</v>
      </c>
      <c r="X54">
        <v>0</v>
      </c>
      <c r="Y54">
        <v>0</v>
      </c>
      <c r="Z54">
        <v>0</v>
      </c>
      <c r="AA54">
        <v>3600</v>
      </c>
      <c r="AB54">
        <v>1730</v>
      </c>
      <c r="AC54">
        <v>10390</v>
      </c>
      <c r="AD54">
        <v>4000</v>
      </c>
      <c r="AE54">
        <v>12150</v>
      </c>
      <c r="AF54">
        <v>3500</v>
      </c>
      <c r="AG54">
        <v>1000</v>
      </c>
      <c r="AH54">
        <v>0</v>
      </c>
      <c r="AI54">
        <v>7600</v>
      </c>
      <c r="AJ54">
        <v>14000</v>
      </c>
      <c r="AK54">
        <v>0</v>
      </c>
      <c r="AL54">
        <v>0</v>
      </c>
      <c r="AM54" t="s">
        <v>175</v>
      </c>
    </row>
    <row r="55" spans="1:39" x14ac:dyDescent="0.25">
      <c r="A55" s="35"/>
      <c r="B55" s="35"/>
      <c r="C55" s="36"/>
      <c r="D55" s="36"/>
      <c r="E55" s="36"/>
      <c r="H55"/>
      <c r="M55">
        <v>1.588095238095238</v>
      </c>
      <c r="N55" s="5" t="s">
        <v>162</v>
      </c>
      <c r="O55" t="s">
        <v>7</v>
      </c>
      <c r="P55">
        <v>33350</v>
      </c>
      <c r="Q55">
        <v>21000</v>
      </c>
      <c r="R55" t="s">
        <v>21</v>
      </c>
      <c r="S55">
        <v>0</v>
      </c>
      <c r="T55">
        <v>630</v>
      </c>
      <c r="U55">
        <v>0</v>
      </c>
      <c r="V55">
        <v>0</v>
      </c>
      <c r="W55">
        <v>2500</v>
      </c>
      <c r="X55">
        <v>0</v>
      </c>
      <c r="Y55">
        <v>600</v>
      </c>
      <c r="Z55">
        <v>3000</v>
      </c>
      <c r="AA55">
        <v>0</v>
      </c>
      <c r="AB55">
        <v>0</v>
      </c>
      <c r="AC55">
        <v>1000</v>
      </c>
      <c r="AD55">
        <v>3100</v>
      </c>
      <c r="AE55">
        <v>0</v>
      </c>
      <c r="AF55">
        <v>5000</v>
      </c>
      <c r="AG55">
        <v>7500</v>
      </c>
      <c r="AH55">
        <v>220</v>
      </c>
      <c r="AI55">
        <v>3000</v>
      </c>
      <c r="AJ55">
        <v>1800</v>
      </c>
      <c r="AK55">
        <v>5000</v>
      </c>
      <c r="AL55">
        <v>0</v>
      </c>
      <c r="AM55" t="s">
        <v>175</v>
      </c>
    </row>
    <row r="56" spans="1:39" x14ac:dyDescent="0.25">
      <c r="A56" s="35"/>
      <c r="B56" s="35"/>
      <c r="C56" s="36"/>
      <c r="D56" s="36"/>
      <c r="E56" s="36"/>
      <c r="H56"/>
      <c r="M56">
        <v>1.5370952380952381</v>
      </c>
      <c r="N56" s="5" t="s">
        <v>162</v>
      </c>
      <c r="O56" t="s">
        <v>7</v>
      </c>
      <c r="P56">
        <v>32279</v>
      </c>
      <c r="Q56">
        <v>21000</v>
      </c>
      <c r="R56" t="s">
        <v>41</v>
      </c>
      <c r="S56">
        <v>0</v>
      </c>
      <c r="T56">
        <v>0</v>
      </c>
      <c r="U56">
        <v>0</v>
      </c>
      <c r="V56">
        <v>0</v>
      </c>
      <c r="W56">
        <v>186</v>
      </c>
      <c r="X56">
        <v>0</v>
      </c>
      <c r="Y56">
        <v>775</v>
      </c>
      <c r="Z56">
        <v>13000</v>
      </c>
      <c r="AA56">
        <v>2138</v>
      </c>
      <c r="AB56">
        <v>0</v>
      </c>
      <c r="AC56">
        <v>0</v>
      </c>
      <c r="AD56">
        <v>0</v>
      </c>
      <c r="AE56">
        <v>3330</v>
      </c>
      <c r="AF56">
        <v>5100</v>
      </c>
      <c r="AG56">
        <v>0</v>
      </c>
      <c r="AH56">
        <v>0</v>
      </c>
      <c r="AI56">
        <v>5000</v>
      </c>
      <c r="AJ56">
        <v>750</v>
      </c>
      <c r="AK56">
        <v>800</v>
      </c>
      <c r="AL56">
        <v>600</v>
      </c>
      <c r="AM56" t="s">
        <v>175</v>
      </c>
    </row>
    <row r="57" spans="1:39" x14ac:dyDescent="0.25">
      <c r="A57" s="35"/>
      <c r="B57" s="35"/>
      <c r="C57" s="36"/>
      <c r="D57" s="36"/>
      <c r="E57" s="36"/>
      <c r="H57"/>
      <c r="M57">
        <v>0.84423809523809523</v>
      </c>
      <c r="N57" s="5" t="s">
        <v>163</v>
      </c>
      <c r="O57" t="s">
        <v>7</v>
      </c>
      <c r="P57">
        <v>17729</v>
      </c>
      <c r="Q57">
        <v>21000</v>
      </c>
      <c r="R57" t="s">
        <v>73</v>
      </c>
      <c r="S57">
        <v>0</v>
      </c>
      <c r="T57">
        <v>0</v>
      </c>
      <c r="U57">
        <v>600</v>
      </c>
      <c r="V57">
        <v>5000</v>
      </c>
      <c r="W57">
        <v>500</v>
      </c>
      <c r="X57">
        <v>207</v>
      </c>
      <c r="Y57">
        <v>1700</v>
      </c>
      <c r="Z57">
        <v>0</v>
      </c>
      <c r="AA57">
        <v>2000</v>
      </c>
      <c r="AB57">
        <v>100</v>
      </c>
      <c r="AC57">
        <v>0</v>
      </c>
      <c r="AD57">
        <v>4750</v>
      </c>
      <c r="AE57">
        <v>220</v>
      </c>
      <c r="AF57">
        <v>0</v>
      </c>
      <c r="AG57">
        <v>300</v>
      </c>
      <c r="AH57">
        <v>0</v>
      </c>
      <c r="AI57">
        <v>590</v>
      </c>
      <c r="AJ57">
        <v>0</v>
      </c>
      <c r="AK57">
        <v>230</v>
      </c>
      <c r="AL57">
        <v>1882</v>
      </c>
      <c r="AM57" t="s">
        <v>175</v>
      </c>
    </row>
    <row r="58" spans="1:39" x14ac:dyDescent="0.25">
      <c r="A58" s="35"/>
      <c r="B58" s="35"/>
      <c r="C58" s="36"/>
      <c r="D58" s="36"/>
      <c r="E58" s="36"/>
      <c r="H58"/>
      <c r="M58">
        <v>0.26376190476190475</v>
      </c>
      <c r="N58" s="5" t="s">
        <v>165</v>
      </c>
      <c r="O58" t="s">
        <v>7</v>
      </c>
      <c r="P58">
        <v>5539</v>
      </c>
      <c r="Q58">
        <v>21000</v>
      </c>
      <c r="R58" t="s">
        <v>114</v>
      </c>
      <c r="S58">
        <v>0</v>
      </c>
      <c r="T58">
        <v>2250</v>
      </c>
      <c r="U58">
        <v>152</v>
      </c>
      <c r="V58">
        <v>3000</v>
      </c>
      <c r="W58">
        <v>137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175</v>
      </c>
    </row>
    <row r="59" spans="1:39" x14ac:dyDescent="0.25">
      <c r="A59" s="35"/>
      <c r="B59" s="35"/>
      <c r="C59" s="36"/>
      <c r="D59" s="36"/>
      <c r="E59" s="36"/>
      <c r="H59"/>
      <c r="M59">
        <v>0.92719047619047623</v>
      </c>
      <c r="N59" s="5" t="s">
        <v>163</v>
      </c>
      <c r="O59" t="s">
        <v>7</v>
      </c>
      <c r="P59">
        <v>19471</v>
      </c>
      <c r="Q59">
        <v>21000</v>
      </c>
      <c r="R59" t="s">
        <v>174</v>
      </c>
      <c r="S59">
        <v>0</v>
      </c>
      <c r="T59">
        <v>300</v>
      </c>
      <c r="U59">
        <v>200</v>
      </c>
      <c r="V59">
        <v>0</v>
      </c>
      <c r="W59">
        <v>4900</v>
      </c>
      <c r="X59">
        <v>1000</v>
      </c>
      <c r="Y59">
        <v>0</v>
      </c>
      <c r="Z59">
        <v>0</v>
      </c>
      <c r="AA59">
        <v>1700</v>
      </c>
      <c r="AB59">
        <v>0</v>
      </c>
      <c r="AC59">
        <v>279</v>
      </c>
      <c r="AD59">
        <v>0</v>
      </c>
      <c r="AE59">
        <v>850</v>
      </c>
      <c r="AF59">
        <v>2500</v>
      </c>
      <c r="AG59">
        <v>2500</v>
      </c>
      <c r="AH59">
        <v>0</v>
      </c>
      <c r="AI59">
        <v>1779</v>
      </c>
      <c r="AJ59">
        <v>0</v>
      </c>
      <c r="AK59">
        <v>377</v>
      </c>
      <c r="AL59">
        <v>3530</v>
      </c>
      <c r="AM59" t="s">
        <v>175</v>
      </c>
    </row>
    <row r="60" spans="1:39" x14ac:dyDescent="0.25">
      <c r="H60"/>
    </row>
    <row r="61" spans="1:39" x14ac:dyDescent="0.25">
      <c r="H61"/>
    </row>
    <row r="62" spans="1:39" x14ac:dyDescent="0.25">
      <c r="H62"/>
    </row>
  </sheetData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E10" sqref="E1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1.1178541666666666</v>
      </c>
      <c r="E6" s="36" t="str">
        <f>IFERROR(VLOOKUP(D1_ENERO_2026[[#This Row],[ASESOR_CRR]],PLANTILLA_ACTUAL[],2,0),"")</f>
        <v>MELINA</v>
      </c>
      <c r="F6" s="35" t="s">
        <v>60</v>
      </c>
      <c r="G6" s="37">
        <v>53657</v>
      </c>
      <c r="H6" s="35" t="str">
        <f>VLOOKUP(D1_ENERO_2026[[#This Row],[ASESOR_CRR]],DIM!$C:$E,2,0)</f>
        <v>72839865</v>
      </c>
      <c r="I6" s="68">
        <f>VLOOKUP(D1_ENERO_2026[[#This Row],[ASESOR_CRR]],DIM!$C:$E,3,0)</f>
        <v>45854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0.93845833333333328</v>
      </c>
      <c r="E7" s="36" t="str">
        <f>IFERROR(VLOOKUP(D1_ENERO_2026[[#This Row],[ASESOR_CRR]],PLANTILLA_ACTUAL[],2,0),"")</f>
        <v>MELINA</v>
      </c>
      <c r="F7" s="35" t="s">
        <v>59</v>
      </c>
      <c r="G7" s="37">
        <v>45046</v>
      </c>
      <c r="H7" s="35" t="str">
        <f>VLOOKUP(D1_ENERO_2026[[#This Row],[ASESOR_CRR]],DIM!$C:$E,2,0)</f>
        <v>60870839</v>
      </c>
      <c r="I7" s="68">
        <f>VLOOKUP(D1_ENERO_2026[[#This Row],[ASESOR_CRR]],DIM!$C:$E,3,0)</f>
        <v>45344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0.75875000000000004</v>
      </c>
      <c r="E8" s="36" t="str">
        <f>IFERROR(VLOOKUP(D1_ENERO_2026[[#This Row],[ASESOR_CRR]],PLANTILLA_ACTUAL[],2,0),"")</f>
        <v>MELINA</v>
      </c>
      <c r="F8" s="35" t="s">
        <v>75</v>
      </c>
      <c r="G8" s="37">
        <v>36420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0.75439583333333338</v>
      </c>
      <c r="E9" s="36" t="str">
        <f>IFERROR(VLOOKUP(D1_ENERO_2026[[#This Row],[ASESOR_CRR]],PLANTILLA_ACTUAL[],2,0),"")</f>
        <v>MELINA</v>
      </c>
      <c r="F9" s="35" t="s">
        <v>10</v>
      </c>
      <c r="G9" s="37">
        <v>36211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0.67177083333333332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&gt;40%</v>
      </c>
      <c r="O9" t="str">
        <f>IFERROR(VLOOKUP(DATA_ENERO_2026[[#This Row],[ASER_]],$B:$G,4,0),"")</f>
        <v>SANDY</v>
      </c>
      <c r="P9">
        <f>IF(DATA_ENERO_2026[[#This Row],[SUPERVISOR]]="","",VLOOKUP(DATA_ENERO_2026[[#This Row],[ASER_]],$B:$G,6,0))</f>
        <v>32245</v>
      </c>
      <c r="Q9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313819</v>
      </c>
      <c r="AS9" s="17">
        <f>IFERROR(DITE_ENERO_2026[[#This Row],[RECUPERO SUPERVISOR]]/DITE_ENERO_2026[[#This Row],[META SUPER]],"")</f>
        <v>0.72696799959229252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/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0.52593749999999995</v>
      </c>
      <c r="E10" s="36" t="str">
        <f>IFERROR(VLOOKUP(D1_ENERO_2026[[#This Row],[ASESOR_CRR]],PLANTILLA_ACTUAL[],2,0),"")</f>
        <v>MELINA</v>
      </c>
      <c r="F10" s="35" t="s">
        <v>12</v>
      </c>
      <c r="G10" s="37">
        <v>25245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0.83314583333333336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SANDY</v>
      </c>
      <c r="P10">
        <f>IF(DATA_ENERO_2026[[#This Row],[SUPERVISOR]]="","",VLOOKUP(DATA_ENERO_2026[[#This Row],[ASER_]],$B:$G,6,0))</f>
        <v>39991</v>
      </c>
      <c r="Q10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260913</v>
      </c>
      <c r="AS10" s="18">
        <f>IFERROR(DITE_ENERO_2026[[#This Row],[RECUPERO SUPERVISOR]]/DITE_ENERO_2026[[#This Row],[META SUPER]],"")</f>
        <v>0.6044101908349202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260913</v>
      </c>
      <c r="BJ10" s="47"/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0.45208333333333334</v>
      </c>
      <c r="E11" s="36" t="str">
        <f>IFERROR(VLOOKUP(D1_ENERO_2026[[#This Row],[ASESOR_CRR]],PLANTILLA_ACTUAL[],2,0),"")</f>
        <v>MELINA</v>
      </c>
      <c r="F11" s="35" t="s">
        <v>18</v>
      </c>
      <c r="G11" s="37">
        <v>21700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1.2446874999999999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SANDY</v>
      </c>
      <c r="P11">
        <f>IF(DATA_ENERO_2026[[#This Row],[SUPERVISOR]]="","",VLOOKUP(DATA_ENERO_2026[[#This Row],[ASER_]],$B:$G,6,0))</f>
        <v>59745</v>
      </c>
      <c r="Q11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233160.03</v>
      </c>
      <c r="AS11" s="17">
        <f>IFERROR(DITE_ENERO_2026[[#This Row],[RECUPERO SUPERVISOR]]/DITE_ENERO_2026[[#This Row],[META SUPER]],"")</f>
        <v>0.79303435257304178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/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0.48293750000000002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t="str">
        <f>IFERROR(VLOOKUP(DATA_ENERO_2026[[#This Row],[ASER_]],$B:$G,4,0),"")</f>
        <v>SANDY</v>
      </c>
      <c r="P12">
        <f>IF(DATA_ENERO_2026[[#This Row],[SUPERVISOR]]="","",VLOOKUP(DATA_ENERO_2026[[#This Row],[ASER_]],$B:$G,6,0))</f>
        <v>23181</v>
      </c>
      <c r="Q12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241659</v>
      </c>
      <c r="AS12" s="18">
        <f>IFERROR(DITE_ENERO_2026[[#This Row],[RECUPERO SUPERVISOR]]/DITE_ENERO_2026[[#This Row],[META SUPER]],"")</f>
        <v>0.96211789436804762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/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0.30122916666666666</v>
      </c>
      <c r="E13" s="36" t="str">
        <f>IFERROR(VLOOKUP(D1_ENERO_2026[[#This Row],[ASESOR_CRR]],PLANTILLA_ACTUAL[],2,0),"")</f>
        <v>MELINA</v>
      </c>
      <c r="F13" s="35" t="s">
        <v>208</v>
      </c>
      <c r="G13" s="37">
        <v>14459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0.59172916666666664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&gt;40%</v>
      </c>
      <c r="O13" t="str">
        <f>IFERROR(VLOOKUP(DATA_ENERO_2026[[#This Row],[ASER_]],$B:$G,4,0),"")</f>
        <v>SANDY</v>
      </c>
      <c r="P13">
        <f>IF(DATA_ENERO_2026[[#This Row],[SUPERVISOR]]="","",VLOOKUP(DATA_ENERO_2026[[#This Row],[ASER_]],$B:$G,6,0))</f>
        <v>28403</v>
      </c>
      <c r="Q13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210048</v>
      </c>
      <c r="AS13" s="17">
        <f>IFERROR(DITE_ENERO_2026[[#This Row],[RECUPERO SUPERVISOR]]/DITE_ENERO_2026[[#This Row],[META SUPER]],"")</f>
        <v>0.70703473440082398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/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0.18562500000000001</v>
      </c>
      <c r="E14" s="36" t="str">
        <f>IFERROR(VLOOKUP(D1_ENERO_2026[[#This Row],[ASESOR_CRR]],PLANTILLA_ACTUAL[],2,0),"")</f>
        <v>MELINA</v>
      </c>
      <c r="F14" s="35" t="s">
        <v>72</v>
      </c>
      <c r="G14" s="37">
        <v>8910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0.29083333333333333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&gt;0%</v>
      </c>
      <c r="O14" t="str">
        <f>IFERROR(VLOOKUP(DATA_ENERO_2026[[#This Row],[ASER_]],$B:$G,4,0),"")</f>
        <v>SANDY</v>
      </c>
      <c r="P14">
        <f>IF(DATA_ENERO_2026[[#This Row],[SUPERVISOR]]="","",VLOOKUP(DATA_ENERO_2026[[#This Row],[ASER_]],$B:$G,6,0))</f>
        <v>13960</v>
      </c>
      <c r="Q14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1.3400716845878136</v>
      </c>
      <c r="E15" s="36" t="str">
        <f>IFERROR(VLOOKUP(D1_ENERO_2026[[#This Row],[ASESOR_CRR]],PLANTILLA_ACTUAL[],2,0),"")</f>
        <v>KENNETH</v>
      </c>
      <c r="F15" s="35" t="s">
        <v>34</v>
      </c>
      <c r="G15" s="37">
        <v>37388</v>
      </c>
      <c r="H15" s="35" t="str">
        <f>VLOOKUP(D1_ENERO_2026[[#This Row],[ASESOR_CRR]],DIM!$C:$E,2,0)</f>
        <v>76824571</v>
      </c>
      <c r="I15" s="68">
        <f>VLOOKUP(D1_ENERO_2026[[#This Row],[ASESOR_CRR]],DIM!$C:$E,3,0)</f>
        <v>45173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0.6645833333333333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&gt;40%</v>
      </c>
      <c r="O15" t="str">
        <f>IFERROR(VLOOKUP(DATA_ENERO_2026[[#This Row],[ASER_]],$B:$G,4,0),"")</f>
        <v>SANDY</v>
      </c>
      <c r="P15">
        <f>IF(DATA_ENERO_2026[[#This Row],[SUPERVISOR]]="","",VLOOKUP(DATA_ENERO_2026[[#This Row],[ASER_]],$B:$G,6,0))</f>
        <v>31900</v>
      </c>
      <c r="Q15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1.3320430107526882</v>
      </c>
      <c r="E16" s="36" t="str">
        <f>IFERROR(VLOOKUP(D1_ENERO_2026[[#This Row],[ASESOR_CRR]],PLANTILLA_ACTUAL[],2,0),"")</f>
        <v>KENNETH</v>
      </c>
      <c r="F16" s="35" t="s">
        <v>81</v>
      </c>
      <c r="G16" s="37">
        <v>37164</v>
      </c>
      <c r="H16" s="35" t="str">
        <f>VLOOKUP(D1_ENERO_2026[[#This Row],[ASESOR_CRR]],DIM!$C:$E,2,0)</f>
        <v>72716299</v>
      </c>
      <c r="I16" s="68">
        <f>VLOOKUP(D1_ENERO_2026[[#This Row],[ASESOR_CRR]],DIM!$C:$E,3,0)</f>
        <v>45511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1.0956250000000001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t="str">
        <f>IFERROR(VLOOKUP(DATA_ENERO_2026[[#This Row],[ASER_]],$B:$G,4,0),"")</f>
        <v>SANDY</v>
      </c>
      <c r="P16">
        <f>IF(DATA_ENERO_2026[[#This Row],[SUPERVISOR]]="","",VLOOKUP(DATA_ENERO_2026[[#This Row],[ASER_]],$B:$G,6,0))</f>
        <v>52590</v>
      </c>
      <c r="Q1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0.52114583333333331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SANDY</v>
      </c>
      <c r="P17">
        <f>IF(DATA_ENERO_2026[[#This Row],[SUPERVISOR]]="","",VLOOKUP(DATA_ENERO_2026[[#This Row],[ASER_]],$B:$G,6,0))</f>
        <v>25015</v>
      </c>
      <c r="Q17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1.3540797546012271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&gt;100%</v>
      </c>
      <c r="O18" t="str">
        <f>IFERROR(VLOOKUP(DATA_ENERO_2026[[#This Row],[ASER_]],$B:$G,4,0),"")</f>
        <v>JORGE</v>
      </c>
      <c r="P18">
        <f>IF(DATA_ENERO_2026[[#This Row],[SUPERVISOR]]="","",VLOOKUP(DATA_ENERO_2026[[#This Row],[ASER_]],$B:$G,6,0))</f>
        <v>44143</v>
      </c>
      <c r="Q18">
        <f>VLOOKUP(DATA_ENERO_2026[[#This Row],[ASER_]],D1_ENERO_2026[[ASESOR_CRR]:[META]],2,0)</f>
        <v>32600</v>
      </c>
      <c r="R18" t="s">
        <v>38</v>
      </c>
      <c r="S18">
        <v>0</v>
      </c>
      <c r="T18">
        <v>0</v>
      </c>
      <c r="U18">
        <v>0</v>
      </c>
      <c r="V18">
        <v>0</v>
      </c>
      <c r="W18">
        <v>0</v>
      </c>
      <c r="X18">
        <v>8573</v>
      </c>
      <c r="Y18">
        <v>18000</v>
      </c>
      <c r="Z18">
        <v>0</v>
      </c>
      <c r="AA18">
        <v>910</v>
      </c>
      <c r="AB18">
        <v>6200</v>
      </c>
      <c r="AC18">
        <v>700</v>
      </c>
      <c r="AD18">
        <v>1000</v>
      </c>
      <c r="AE18">
        <v>300</v>
      </c>
      <c r="AF18">
        <v>260</v>
      </c>
      <c r="AG18">
        <v>8200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0.83673835125448026</v>
      </c>
      <c r="E19" s="36" t="str">
        <f>IFERROR(VLOOKUP(D1_ENERO_2026[[#This Row],[ASESOR_CRR]],PLANTILLA_ACTUAL[],2,0),"")</f>
        <v>KENNETH</v>
      </c>
      <c r="F19" t="s">
        <v>11</v>
      </c>
      <c r="G19" s="3">
        <v>23345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0.8271779141104294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&gt;70%</v>
      </c>
      <c r="O19" t="str">
        <f>IFERROR(VLOOKUP(DATA_ENERO_2026[[#This Row],[ASER_]],$B:$G,4,0),"")</f>
        <v>JORGE</v>
      </c>
      <c r="P19">
        <f>IF(DATA_ENERO_2026[[#This Row],[SUPERVISOR]]="","",VLOOKUP(DATA_ENERO_2026[[#This Row],[ASER_]],$B:$G,6,0))</f>
        <v>26966</v>
      </c>
      <c r="Q19">
        <f>VLOOKUP(DATA_ENERO_2026[[#This Row],[ASER_]],D1_ENERO_2026[[ASESOR_CRR]:[META]],2,0)</f>
        <v>32600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6000</v>
      </c>
      <c r="X19">
        <v>0</v>
      </c>
      <c r="Y19">
        <v>1400</v>
      </c>
      <c r="Z19">
        <v>3250</v>
      </c>
      <c r="AA19">
        <v>0</v>
      </c>
      <c r="AB19">
        <v>3000</v>
      </c>
      <c r="AC19">
        <v>1716</v>
      </c>
      <c r="AD19">
        <v>7400</v>
      </c>
      <c r="AE19">
        <v>0</v>
      </c>
      <c r="AF19">
        <v>0</v>
      </c>
      <c r="AG19">
        <v>4200</v>
      </c>
      <c r="AO19" t="str">
        <f>VLOOKUP($M$3&amp;$N$3&amp;DATA_ENERO_2026[[#This Row],[SUPERVISOR]],TablaMeta[],7,0)</f>
        <v>S0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0.7958781362007169</v>
      </c>
      <c r="E20" s="36" t="str">
        <f>IFERROR(VLOOKUP(D1_ENERO_2026[[#This Row],[ASESOR_CRR]],PLANTILLA_ACTUAL[],2,0),"")</f>
        <v>KENNETH</v>
      </c>
      <c r="F20" t="s">
        <v>105</v>
      </c>
      <c r="G20" s="3">
        <v>22205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0.45932208588957052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&gt;40%</v>
      </c>
      <c r="O20" t="str">
        <f>IFERROR(VLOOKUP(DATA_ENERO_2026[[#This Row],[ASER_]],$B:$G,4,0),"")</f>
        <v>JORGE</v>
      </c>
      <c r="P20">
        <f>IF(DATA_ENERO_2026[[#This Row],[SUPERVISOR]]="","",VLOOKUP(DATA_ENERO_2026[[#This Row],[ASER_]],$B:$G,6,0))</f>
        <v>14973.9</v>
      </c>
      <c r="Q20">
        <f>VLOOKUP(DATA_ENERO_2026[[#This Row],[ASER_]],D1_ENERO_2026[[ASESOR_CRR]:[META]],2,0)</f>
        <v>32600</v>
      </c>
      <c r="R20" t="s">
        <v>29</v>
      </c>
      <c r="S20">
        <v>1108</v>
      </c>
      <c r="T20">
        <v>0</v>
      </c>
      <c r="U20">
        <v>250</v>
      </c>
      <c r="V20">
        <v>380</v>
      </c>
      <c r="W20">
        <v>0</v>
      </c>
      <c r="X20">
        <v>1650</v>
      </c>
      <c r="Y20">
        <v>0</v>
      </c>
      <c r="Z20">
        <v>0</v>
      </c>
      <c r="AA20">
        <v>3815</v>
      </c>
      <c r="AB20">
        <v>1000</v>
      </c>
      <c r="AC20">
        <v>5364.5</v>
      </c>
      <c r="AD20">
        <v>0</v>
      </c>
      <c r="AE20">
        <v>519</v>
      </c>
      <c r="AF20">
        <v>637</v>
      </c>
      <c r="AG20">
        <v>250</v>
      </c>
      <c r="AO20" t="str">
        <f>VLOOKUP($M$3&amp;$N$3&amp;DATA_ENERO_2026[[#This Row],[SUPERVISOR]],TablaMeta[],7,0)</f>
        <v>S0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0.72104693251533747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JORGE</v>
      </c>
      <c r="P21">
        <f>IF(DATA_ENERO_2026[[#This Row],[SUPERVISOR]]="","",VLOOKUP(DATA_ENERO_2026[[#This Row],[ASER_]],$B:$G,6,0))</f>
        <v>23506.13</v>
      </c>
      <c r="Q21">
        <f>VLOOKUP(DATA_ENERO_2026[[#This Row],[ASER_]],D1_ENERO_2026[[ASESOR_CRR]:[META]],2,0)</f>
        <v>32600</v>
      </c>
      <c r="R21" t="s">
        <v>42</v>
      </c>
      <c r="S21">
        <v>0</v>
      </c>
      <c r="T21">
        <v>1650</v>
      </c>
      <c r="U21">
        <v>0</v>
      </c>
      <c r="V21">
        <v>1825</v>
      </c>
      <c r="W21">
        <v>0</v>
      </c>
      <c r="X21">
        <v>0</v>
      </c>
      <c r="Y21">
        <v>0</v>
      </c>
      <c r="Z21">
        <v>5000</v>
      </c>
      <c r="AA21">
        <v>4631.13</v>
      </c>
      <c r="AB21">
        <v>125</v>
      </c>
      <c r="AC21">
        <v>1215</v>
      </c>
      <c r="AD21">
        <v>0</v>
      </c>
      <c r="AE21">
        <v>0</v>
      </c>
      <c r="AF21">
        <v>3860</v>
      </c>
      <c r="AG21">
        <v>5200</v>
      </c>
      <c r="AO21" t="str">
        <f>VLOOKUP($M$3&amp;$N$3&amp;DATA_ENERO_2026[[#This Row],[SUPERVISOR]],TablaMeta[],7,0)</f>
        <v>S0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0.21904907975460122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&gt;0%</v>
      </c>
      <c r="O22" t="str">
        <f>IFERROR(VLOOKUP(DATA_ENERO_2026[[#This Row],[ASER_]],$B:$G,4,0),"")</f>
        <v>JORGE</v>
      </c>
      <c r="P22">
        <f>IF(DATA_ENERO_2026[[#This Row],[SUPERVISOR]]="","",VLOOKUP(DATA_ENERO_2026[[#This Row],[ASER_]],$B:$G,6,0))</f>
        <v>7141</v>
      </c>
      <c r="Q22">
        <f>VLOOKUP(DATA_ENERO_2026[[#This Row],[ASER_]],D1_ENERO_2026[[ASESOR_CRR]:[META]],2,0)</f>
        <v>32600</v>
      </c>
      <c r="R22" t="s">
        <v>15</v>
      </c>
      <c r="S22">
        <v>0</v>
      </c>
      <c r="T22">
        <v>0</v>
      </c>
      <c r="U22">
        <v>0</v>
      </c>
      <c r="V22">
        <v>0</v>
      </c>
      <c r="W22">
        <v>351</v>
      </c>
      <c r="X22">
        <v>340</v>
      </c>
      <c r="Y22">
        <v>0</v>
      </c>
      <c r="Z22">
        <v>3130</v>
      </c>
      <c r="AA22">
        <v>0</v>
      </c>
      <c r="AB22">
        <v>3000</v>
      </c>
      <c r="AC22">
        <v>0</v>
      </c>
      <c r="AD22">
        <v>0</v>
      </c>
      <c r="AE22">
        <v>0</v>
      </c>
      <c r="AF22">
        <v>0</v>
      </c>
      <c r="AG22">
        <v>320</v>
      </c>
      <c r="AO22" t="str">
        <f>VLOOKUP($M$3&amp;$N$3&amp;DATA_ENERO_2026[[#This Row],[SUPERVISOR]],TablaMeta[],7,0)</f>
        <v>S0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0.22946236559139785</v>
      </c>
      <c r="E23" s="36" t="str">
        <f>IFERROR(VLOOKUP(D1_ENERO_2026[[#This Row],[ASESOR_CRR]],PLANTILLA_ACTUAL[],2,0),"")</f>
        <v>KENNETH</v>
      </c>
      <c r="F23" t="s">
        <v>35</v>
      </c>
      <c r="G23" s="3">
        <v>6402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1.5793865030674847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JORGE</v>
      </c>
      <c r="P23">
        <f>IF(DATA_ENERO_2026[[#This Row],[SUPERVISOR]]="","",VLOOKUP(DATA_ENERO_2026[[#This Row],[ASER_]],$B:$G,6,0))</f>
        <v>51488</v>
      </c>
      <c r="Q23">
        <f>VLOOKUP(DATA_ENERO_2026[[#This Row],[ASER_]],D1_ENERO_2026[[ASESOR_CRR]:[META]],2,0)</f>
        <v>32600</v>
      </c>
      <c r="R23" t="s">
        <v>25</v>
      </c>
      <c r="S23">
        <v>0</v>
      </c>
      <c r="T23">
        <v>458</v>
      </c>
      <c r="U23">
        <v>0</v>
      </c>
      <c r="V23">
        <v>0</v>
      </c>
      <c r="W23">
        <v>10500</v>
      </c>
      <c r="X23">
        <v>0</v>
      </c>
      <c r="Y23">
        <v>2500</v>
      </c>
      <c r="Z23">
        <v>4780</v>
      </c>
      <c r="AA23">
        <v>10000</v>
      </c>
      <c r="AB23">
        <v>0</v>
      </c>
      <c r="AC23">
        <v>2250</v>
      </c>
      <c r="AD23">
        <v>0</v>
      </c>
      <c r="AE23">
        <v>0</v>
      </c>
      <c r="AF23">
        <v>10000</v>
      </c>
      <c r="AG23">
        <v>11000</v>
      </c>
      <c r="AO23" t="str">
        <f>VLOOKUP($M$3&amp;$N$3&amp;DATA_ENERO_2026[[#This Row],[SUPERVISOR]],TablaMeta[],7,0)</f>
        <v>S0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1.0308282208588957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t="str">
        <f>IFERROR(VLOOKUP(DATA_ENERO_2026[[#This Row],[ASER_]],$B:$G,4,0),"")</f>
        <v>JORGE</v>
      </c>
      <c r="P24">
        <f>IF(DATA_ENERO_2026[[#This Row],[SUPERVISOR]]="","",VLOOKUP(DATA_ENERO_2026[[#This Row],[ASER_]],$B:$G,6,0))</f>
        <v>33605</v>
      </c>
      <c r="Q24">
        <f>VLOOKUP(DATA_ENERO_2026[[#This Row],[ASER_]],D1_ENERO_2026[[ASESOR_CRR]:[META]],2,0)</f>
        <v>32600</v>
      </c>
      <c r="R24" t="s">
        <v>76</v>
      </c>
      <c r="S24">
        <v>0</v>
      </c>
      <c r="T24">
        <v>8000</v>
      </c>
      <c r="U24">
        <v>0</v>
      </c>
      <c r="V24">
        <v>800</v>
      </c>
      <c r="W24">
        <v>0</v>
      </c>
      <c r="X24">
        <v>4000</v>
      </c>
      <c r="Y24">
        <v>4200</v>
      </c>
      <c r="Z24">
        <v>8050</v>
      </c>
      <c r="AA24">
        <v>0</v>
      </c>
      <c r="AB24">
        <v>5105</v>
      </c>
      <c r="AC24">
        <v>250</v>
      </c>
      <c r="AD24">
        <v>450</v>
      </c>
      <c r="AE24">
        <v>450</v>
      </c>
      <c r="AF24">
        <v>2000</v>
      </c>
      <c r="AG24">
        <v>300</v>
      </c>
      <c r="AO24" t="str">
        <f>VLOOKUP($M$3&amp;$N$3&amp;DATA_ENERO_2026[[#This Row],[SUPERVISOR]],TablaMeta[],7,0)</f>
        <v>S0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1.3858367346938776</v>
      </c>
      <c r="E25" s="36" t="str">
        <f>IFERROR(VLOOKUP(D1_ENERO_2026[[#This Row],[ASESOR_CRR]],PLANTILLA_ACTUAL[],2,0),"")</f>
        <v>JOHAN</v>
      </c>
      <c r="F25" t="s">
        <v>77</v>
      </c>
      <c r="G25" s="3">
        <v>33953</v>
      </c>
      <c r="H25" t="str">
        <f>VLOOKUP(D1_ENERO_2026[[#This Row],[ASESOR_CRR]],DIM!$C:$E,2,0)</f>
        <v>42251780</v>
      </c>
      <c r="I25" s="59">
        <f>VLOOKUP(D1_ENERO_2026[[#This Row],[ASESOR_CRR]],DIM!$C:$E,3,0)</f>
        <v>44838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0.51953987730061346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JORGE</v>
      </c>
      <c r="P25">
        <f>IF(DATA_ENERO_2026[[#This Row],[SUPERVISOR]]="","",VLOOKUP(DATA_ENERO_2026[[#This Row],[ASER_]],$B:$G,6,0))</f>
        <v>16937</v>
      </c>
      <c r="Q25">
        <f>VLOOKUP(DATA_ENERO_2026[[#This Row],[ASER_]],D1_ENERO_2026[[ASESOR_CRR]:[META]],2,0)</f>
        <v>32600</v>
      </c>
      <c r="R25" t="s">
        <v>79</v>
      </c>
      <c r="S25">
        <v>0</v>
      </c>
      <c r="T25">
        <v>0</v>
      </c>
      <c r="U25">
        <v>400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250</v>
      </c>
      <c r="AD25">
        <v>3500</v>
      </c>
      <c r="AE25">
        <v>0</v>
      </c>
      <c r="AF25">
        <v>7150</v>
      </c>
      <c r="AG25">
        <v>5637</v>
      </c>
      <c r="AO25" t="str">
        <f>VLOOKUP($M$3&amp;$N$3&amp;DATA_ENERO_2026[[#This Row],[SUPERVISOR]],TablaMeta[],7,0)</f>
        <v>S0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1.1759591836734693</v>
      </c>
      <c r="E26" s="36" t="str">
        <f>IFERROR(VLOOKUP(D1_ENERO_2026[[#This Row],[ASESOR_CRR]],PLANTILLA_ACTUAL[],2,0),"")</f>
        <v>JOHAN</v>
      </c>
      <c r="F26" t="s">
        <v>58</v>
      </c>
      <c r="G26" s="3">
        <v>28811</v>
      </c>
      <c r="H26" t="str">
        <f>VLOOKUP(D1_ENERO_2026[[#This Row],[ASESOR_CRR]],DIM!$C:$E,2,0)</f>
        <v>72519113</v>
      </c>
      <c r="I26" s="59">
        <f>VLOOKUP(D1_ENERO_2026[[#This Row],[ASESOR_CRR]],DIM!$C:$E,3,0)</f>
        <v>43119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0.39570552147239263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&gt;0%</v>
      </c>
      <c r="O26" t="str">
        <f>IFERROR(VLOOKUP(DATA_ENERO_2026[[#This Row],[ASER_]],$B:$G,4,0),"")</f>
        <v>JORGE</v>
      </c>
      <c r="P26">
        <f>IF(DATA_ENERO_2026[[#This Row],[SUPERVISOR]]="","",VLOOKUP(DATA_ENERO_2026[[#This Row],[ASER_]],$B:$G,6,0))</f>
        <v>12900</v>
      </c>
      <c r="Q26">
        <f>VLOOKUP(DATA_ENERO_2026[[#This Row],[ASER_]],D1_ENERO_2026[[ASESOR_CRR]:[META]],2,0)</f>
        <v>32600</v>
      </c>
      <c r="R26" t="s">
        <v>78</v>
      </c>
      <c r="S26">
        <v>500</v>
      </c>
      <c r="T26">
        <v>0</v>
      </c>
      <c r="U26">
        <v>0</v>
      </c>
      <c r="V26">
        <v>0</v>
      </c>
      <c r="W26">
        <v>0</v>
      </c>
      <c r="X26">
        <v>1640</v>
      </c>
      <c r="Y26">
        <v>450</v>
      </c>
      <c r="Z26">
        <v>0</v>
      </c>
      <c r="AA26">
        <v>3500</v>
      </c>
      <c r="AB26">
        <v>2000</v>
      </c>
      <c r="AC26">
        <v>0</v>
      </c>
      <c r="AD26">
        <v>4810</v>
      </c>
      <c r="AE26">
        <v>0</v>
      </c>
      <c r="AF26">
        <v>0</v>
      </c>
      <c r="AG26">
        <v>0</v>
      </c>
      <c r="AO26" t="str">
        <f>VLOOKUP($M$3&amp;$N$3&amp;DATA_ENERO_2026[[#This Row],[SUPERVISOR]],TablaMeta[],7,0)</f>
        <v>S0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0.22808163265306122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5588</v>
      </c>
      <c r="Q27">
        <f>VLOOKUP(DATA_ENERO_2026[[#This Row],[ASER_]],D1_ENERO_2026[[ASESOR_CRR]:[META]],2,0)</f>
        <v>24500</v>
      </c>
      <c r="R27" t="s">
        <v>40</v>
      </c>
      <c r="S27" s="46">
        <v>0</v>
      </c>
      <c r="T27">
        <v>0</v>
      </c>
      <c r="U27">
        <v>0</v>
      </c>
      <c r="V27">
        <v>0</v>
      </c>
      <c r="W27">
        <v>0</v>
      </c>
      <c r="X27">
        <v>1000</v>
      </c>
      <c r="Y27">
        <v>600</v>
      </c>
      <c r="Z27">
        <v>200</v>
      </c>
      <c r="AA27">
        <v>0</v>
      </c>
      <c r="AB27">
        <v>2050</v>
      </c>
      <c r="AC27">
        <v>238</v>
      </c>
      <c r="AD27">
        <v>0</v>
      </c>
      <c r="AE27">
        <v>0</v>
      </c>
      <c r="AF27">
        <v>700</v>
      </c>
      <c r="AG27">
        <v>800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0.83612244897959187</v>
      </c>
      <c r="E28" s="36" t="str">
        <f>IFERROR(VLOOKUP(D1_ENERO_2026[[#This Row],[ASESOR_CRR]],PLANTILLA_ACTUAL[],2,0),"")</f>
        <v>JOHAN</v>
      </c>
      <c r="F28" t="s">
        <v>97</v>
      </c>
      <c r="G28" s="3">
        <v>20485</v>
      </c>
      <c r="H28" t="str">
        <f>VLOOKUP(D1_ENERO_2026[[#This Row],[ASESOR_CRR]],DIM!$C:$E,2,0)</f>
        <v>74602206</v>
      </c>
      <c r="I28" s="59">
        <f>VLOOKUP(D1_ENERO_2026[[#This Row],[ASESOR_CRR]],DIM!$C:$E,3,0)</f>
        <v>45884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1.3858367346938776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33953</v>
      </c>
      <c r="Q28">
        <f>VLOOKUP(DATA_ENERO_2026[[#This Row],[ASER_]],D1_ENERO_2026[[ASESOR_CRR]:[META]],2,0)</f>
        <v>24500</v>
      </c>
      <c r="R28" t="s">
        <v>77</v>
      </c>
      <c r="S28" s="46">
        <v>200</v>
      </c>
      <c r="T28">
        <v>4150</v>
      </c>
      <c r="U28">
        <v>3000</v>
      </c>
      <c r="V28">
        <v>3500</v>
      </c>
      <c r="W28">
        <v>0</v>
      </c>
      <c r="X28">
        <v>400</v>
      </c>
      <c r="Y28">
        <v>1222</v>
      </c>
      <c r="Z28">
        <v>300</v>
      </c>
      <c r="AA28">
        <v>0</v>
      </c>
      <c r="AB28">
        <v>15700</v>
      </c>
      <c r="AC28">
        <v>481</v>
      </c>
      <c r="AD28">
        <v>5000</v>
      </c>
      <c r="AE28">
        <v>0</v>
      </c>
      <c r="AF28">
        <v>0</v>
      </c>
      <c r="AG28">
        <v>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0.78665306122448975</v>
      </c>
      <c r="E29" s="36" t="str">
        <f>IFERROR(VLOOKUP(D1_ENERO_2026[[#This Row],[ASESOR_CRR]],PLANTILLA_ACTUAL[],2,0),"")</f>
        <v>JOHAN</v>
      </c>
      <c r="F29" t="s">
        <v>51</v>
      </c>
      <c r="G29" s="3">
        <v>19273</v>
      </c>
      <c r="H29" t="str">
        <f>VLOOKUP(D1_ENERO_2026[[#This Row],[ASESOR_CRR]],DIM!$C:$E,2,0)</f>
        <v>76089925</v>
      </c>
      <c r="I29" s="59">
        <f>VLOOKUP(D1_ENERO_2026[[#This Row],[ASESOR_CRR]],DIM!$C:$E,3,0)</f>
        <v>45678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0.90244897959183679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&gt;70%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22110</v>
      </c>
      <c r="Q29">
        <f>VLOOKUP(DATA_ENERO_2026[[#This Row],[ASER_]],D1_ENERO_2026[[ASESOR_CRR]:[META]],2,0)</f>
        <v>24500</v>
      </c>
      <c r="R29" t="s">
        <v>48</v>
      </c>
      <c r="S29" s="46">
        <v>200</v>
      </c>
      <c r="T29">
        <v>4100</v>
      </c>
      <c r="U29">
        <v>1500</v>
      </c>
      <c r="V29">
        <v>6000</v>
      </c>
      <c r="W29">
        <v>3000</v>
      </c>
      <c r="X29">
        <v>1000</v>
      </c>
      <c r="Y29">
        <v>0</v>
      </c>
      <c r="Z29">
        <v>0</v>
      </c>
      <c r="AA29">
        <v>0</v>
      </c>
      <c r="AB29">
        <v>0</v>
      </c>
      <c r="AC29">
        <v>2650</v>
      </c>
      <c r="AD29">
        <v>0</v>
      </c>
      <c r="AE29">
        <v>1000</v>
      </c>
      <c r="AF29">
        <v>1660</v>
      </c>
      <c r="AG29">
        <v>1000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0.75102040816326532</v>
      </c>
      <c r="E30" s="36" t="str">
        <f>IFERROR(VLOOKUP(D1_ENERO_2026[[#This Row],[ASESOR_CRR]],PLANTILLA_ACTUAL[],2,0),"")</f>
        <v>JOHAN</v>
      </c>
      <c r="F30" t="s">
        <v>109</v>
      </c>
      <c r="G30" s="3">
        <v>18400</v>
      </c>
      <c r="H30" t="str">
        <f>VLOOKUP(D1_ENERO_2026[[#This Row],[ASESOR_CRR]],DIM!$C:$E,2,0)</f>
        <v>74626735</v>
      </c>
      <c r="I30" s="59">
        <f>VLOOKUP(D1_ENERO_2026[[#This Row],[ASESOR_CRR]],DIM!$C:$E,3,0)</f>
        <v>46024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0.78665306122448975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&gt;70%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19273</v>
      </c>
      <c r="Q30">
        <f>VLOOKUP(DATA_ENERO_2026[[#This Row],[ASER_]],D1_ENERO_2026[[ASESOR_CRR]:[META]],2,0)</f>
        <v>24500</v>
      </c>
      <c r="R30" t="s">
        <v>51</v>
      </c>
      <c r="S30" s="46">
        <v>0</v>
      </c>
      <c r="T30">
        <v>400</v>
      </c>
      <c r="U30">
        <v>0</v>
      </c>
      <c r="V30">
        <v>0</v>
      </c>
      <c r="W30">
        <v>0</v>
      </c>
      <c r="X30">
        <v>4000</v>
      </c>
      <c r="Y30">
        <v>2500</v>
      </c>
      <c r="Z30">
        <v>0</v>
      </c>
      <c r="AA30">
        <v>0</v>
      </c>
      <c r="AB30">
        <v>273</v>
      </c>
      <c r="AC30">
        <v>0</v>
      </c>
      <c r="AD30">
        <v>500</v>
      </c>
      <c r="AE30">
        <v>300</v>
      </c>
      <c r="AF30">
        <v>10000</v>
      </c>
      <c r="AG30">
        <v>1300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0.63775510204081631</v>
      </c>
      <c r="E31" s="36" t="str">
        <f>IFERROR(VLOOKUP(D1_ENERO_2026[[#This Row],[ASESOR_CRR]],PLANTILLA_ACTUAL[],2,0),"")</f>
        <v>JOHAN</v>
      </c>
      <c r="F31" t="s">
        <v>206</v>
      </c>
      <c r="G31" s="3">
        <v>15625</v>
      </c>
      <c r="H31" t="str">
        <f>VLOOKUP(D1_ENERO_2026[[#This Row],[ASESOR_CRR]],DIM!$C:$E,2,0)</f>
        <v>46994661</v>
      </c>
      <c r="I31" s="59">
        <f>VLOOKUP(D1_ENERO_2026[[#This Row],[ASESOR_CRR]],DIM!$C:$E,3,0)</f>
        <v>45992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0.83612244897959187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&gt;70%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20485</v>
      </c>
      <c r="Q31">
        <f>VLOOKUP(DATA_ENERO_2026[[#This Row],[ASER_]],D1_ENERO_2026[[ASESOR_CRR]:[META]],2,0)</f>
        <v>24500</v>
      </c>
      <c r="R31" t="s">
        <v>97</v>
      </c>
      <c r="S31" s="46">
        <v>0</v>
      </c>
      <c r="T31">
        <v>0</v>
      </c>
      <c r="U31">
        <v>5900</v>
      </c>
      <c r="V31">
        <v>400</v>
      </c>
      <c r="W31">
        <v>0</v>
      </c>
      <c r="X31">
        <v>2067</v>
      </c>
      <c r="Y31">
        <v>500</v>
      </c>
      <c r="Z31">
        <v>0</v>
      </c>
      <c r="AA31">
        <v>6100</v>
      </c>
      <c r="AB31">
        <v>0</v>
      </c>
      <c r="AC31">
        <v>3718</v>
      </c>
      <c r="AD31">
        <v>700</v>
      </c>
      <c r="AE31">
        <v>500</v>
      </c>
      <c r="AF31">
        <v>0</v>
      </c>
      <c r="AG31">
        <v>600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0.58334693877551025</v>
      </c>
      <c r="E32" s="36" t="str">
        <f>IFERROR(VLOOKUP(D1_ENERO_2026[[#This Row],[ASESOR_CRR]],PLANTILLA_ACTUAL[],2,0),"")</f>
        <v>JOHAN</v>
      </c>
      <c r="F32" t="s">
        <v>209</v>
      </c>
      <c r="G32" s="3">
        <v>14292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1.1759591836734693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&gt;100%</v>
      </c>
      <c r="O32" t="str">
        <f>IFERROR(VLOOKUP(DATA_ENERO_2026[[#This Row],[ASER_]],$B:$G,4,0),"")</f>
        <v>JOHAN</v>
      </c>
      <c r="P32">
        <f>IF(DATA_ENERO_2026[[#This Row],[SUPERVISOR]]="","",VLOOKUP(DATA_ENERO_2026[[#This Row],[ASER_]],$B:$G,6,0))</f>
        <v>28811</v>
      </c>
      <c r="Q32">
        <f>VLOOKUP(DATA_ENERO_2026[[#This Row],[ASER_]],D1_ENERO_2026[[ASESOR_CRR]:[META]],2,0)</f>
        <v>24500</v>
      </c>
      <c r="R32" t="s">
        <v>58</v>
      </c>
      <c r="S32">
        <v>1000</v>
      </c>
      <c r="T32">
        <v>0</v>
      </c>
      <c r="U32">
        <v>1650</v>
      </c>
      <c r="V32">
        <v>205</v>
      </c>
      <c r="W32">
        <v>11100</v>
      </c>
      <c r="X32">
        <v>0</v>
      </c>
      <c r="Y32">
        <v>500</v>
      </c>
      <c r="Z32">
        <v>0</v>
      </c>
      <c r="AA32">
        <v>2850</v>
      </c>
      <c r="AB32">
        <v>300</v>
      </c>
      <c r="AC32">
        <v>7000</v>
      </c>
      <c r="AD32">
        <v>706</v>
      </c>
      <c r="AE32">
        <v>150</v>
      </c>
      <c r="AF32">
        <v>1750</v>
      </c>
      <c r="AG32">
        <v>1600</v>
      </c>
      <c r="AO32" t="str">
        <f>VLOOKUP($M$3&amp;$N$3&amp;DATA_ENERO_2026[[#This Row],[SUPERVISOR]],TablaMeta[],7,0)</f>
        <v>S2-3-4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</v>
      </c>
      <c r="E33" s="36" t="str">
        <f>IFERROR(VLOOKUP(D1_ENERO_2026[[#This Row],[ASESOR_CRR]],PLANTILLA_ACTUAL[],2,0),"")</f>
        <v>JOHAN</v>
      </c>
      <c r="F33" t="s">
        <v>73</v>
      </c>
      <c r="G33" s="3">
        <v>12250</v>
      </c>
      <c r="H33" t="str">
        <f>VLOOKUP(D1_ENERO_2026[[#This Row],[ASESOR_CRR]],DIM!$C:$E,2,0)</f>
        <v>40318129</v>
      </c>
      <c r="I33" s="59">
        <f>VLOOKUP(D1_ENERO_2026[[#This Row],[ASESOR_CRR]],DIM!$C:$E,3,0)</f>
        <v>45141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0.16632653061224489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JOHAN</v>
      </c>
      <c r="P33">
        <f>IF(DATA_ENERO_2026[[#This Row],[SUPERVISOR]]="","",VLOOKUP(DATA_ENERO_2026[[#This Row],[ASER_]],$B:$G,6,0))</f>
        <v>4075</v>
      </c>
      <c r="Q33">
        <f>VLOOKUP(DATA_ENERO_2026[[#This Row],[ASER_]],D1_ENERO_2026[[ASESOR_CRR]:[META]],2,0)</f>
        <v>24500</v>
      </c>
      <c r="R33" t="s">
        <v>55</v>
      </c>
      <c r="S33">
        <v>310</v>
      </c>
      <c r="T33">
        <v>280</v>
      </c>
      <c r="U33">
        <v>735</v>
      </c>
      <c r="V33">
        <v>500</v>
      </c>
      <c r="W33">
        <v>0</v>
      </c>
      <c r="X33">
        <v>0</v>
      </c>
      <c r="Y33">
        <v>0</v>
      </c>
      <c r="Z33">
        <v>0</v>
      </c>
      <c r="AA33">
        <v>2250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O33" t="str">
        <f>VLOOKUP($M$3&amp;$N$3&amp;DATA_ENERO_2026[[#This Row],[SUPERVISOR]],TablaMeta[],7,0)</f>
        <v>S2-3-4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0.22808163265306122</v>
      </c>
      <c r="E34" s="36" t="str">
        <f>IFERROR(VLOOKUP(D1_ENERO_2026[[#This Row],[ASESOR_CRR]],PLANTILLA_ACTUAL[],2,0),"")</f>
        <v>JOHAN</v>
      </c>
      <c r="F34" t="s">
        <v>40</v>
      </c>
      <c r="G34" s="3">
        <v>5588</v>
      </c>
      <c r="H34" t="str">
        <f>VLOOKUP(D1_ENERO_2026[[#This Row],[ASESOR_CRR]],DIM!$C:$E,2,0)</f>
        <v>60976055</v>
      </c>
      <c r="I34" s="59">
        <f>VLOOKUP(D1_ENERO_2026[[#This Row],[ASESOR_CRR]],DIM!$C:$E,3,0)</f>
        <v>45433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0.16269387755102041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&gt;0%</v>
      </c>
      <c r="O34" t="str">
        <f>IFERROR(VLOOKUP(DATA_ENERO_2026[[#This Row],[ASER_]],$B:$G,4,0),"")</f>
        <v>JOHAN</v>
      </c>
      <c r="P34">
        <f>IF(DATA_ENERO_2026[[#This Row],[SUPERVISOR]]="","",VLOOKUP(DATA_ENERO_2026[[#This Row],[ASER_]],$B:$G,6,0))</f>
        <v>3986</v>
      </c>
      <c r="Q34">
        <f>VLOOKUP(DATA_ENERO_2026[[#This Row],[ASER_]],D1_ENERO_2026[[ASESOR_CRR]:[META]],2,0)</f>
        <v>24500</v>
      </c>
      <c r="R34" t="s">
        <v>41</v>
      </c>
      <c r="S34">
        <v>0</v>
      </c>
      <c r="T34">
        <v>1486</v>
      </c>
      <c r="U34">
        <v>0</v>
      </c>
      <c r="V34">
        <v>0</v>
      </c>
      <c r="W34">
        <v>0</v>
      </c>
      <c r="X34">
        <v>200</v>
      </c>
      <c r="Y34">
        <v>2300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O34" t="str">
        <f>VLOOKUP($M$3&amp;$N$3&amp;DATA_ENERO_2026[[#This Row],[SUPERVISOR]],TablaMeta[],7,0)</f>
        <v>S2-3-4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0.16632653061224489</v>
      </c>
      <c r="E35" s="36" t="str">
        <f>IFERROR(VLOOKUP(D1_ENERO_2026[[#This Row],[ASESOR_CRR]],PLANTILLA_ACTUAL[],2,0),"")</f>
        <v>JOHAN</v>
      </c>
      <c r="F35" t="s">
        <v>55</v>
      </c>
      <c r="G35" s="3">
        <v>4075</v>
      </c>
      <c r="H35" t="str">
        <f>VLOOKUP(D1_ENERO_2026[[#This Row],[ASESOR_CRR]],DIM!$C:$E,2,0)</f>
        <v>45119892</v>
      </c>
      <c r="I35" s="59">
        <f>VLOOKUP(D1_ENERO_2026[[#This Row],[ASESOR_CRR]],DIM!$C:$E,3,0)</f>
        <v>45813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0.5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&gt;40%</v>
      </c>
      <c r="O35" t="str">
        <f>IFERROR(VLOOKUP(DATA_ENERO_2026[[#This Row],[ASER_]],$B:$G,4,0),"")</f>
        <v>JOHAN</v>
      </c>
      <c r="P35">
        <f>IF(DATA_ENERO_2026[[#This Row],[SUPERVISOR]]="","",VLOOKUP(DATA_ENERO_2026[[#This Row],[ASER_]],$B:$G,6,0))</f>
        <v>12250</v>
      </c>
      <c r="Q35">
        <f>VLOOKUP(DATA_ENERO_2026[[#This Row],[ASER_]],D1_ENERO_2026[[ASESOR_CRR]:[META]],2,0)</f>
        <v>24500</v>
      </c>
      <c r="R35" t="s">
        <v>73</v>
      </c>
      <c r="S35">
        <v>0</v>
      </c>
      <c r="T35">
        <v>600</v>
      </c>
      <c r="U35">
        <v>0</v>
      </c>
      <c r="V35">
        <v>0</v>
      </c>
      <c r="W35">
        <v>0</v>
      </c>
      <c r="X35">
        <v>2500</v>
      </c>
      <c r="Y35">
        <v>1500</v>
      </c>
      <c r="Z35">
        <v>0</v>
      </c>
      <c r="AA35">
        <v>0</v>
      </c>
      <c r="AB35">
        <v>3200</v>
      </c>
      <c r="AC35">
        <v>1600</v>
      </c>
      <c r="AD35">
        <v>250</v>
      </c>
      <c r="AE35">
        <v>0</v>
      </c>
      <c r="AF35">
        <v>600</v>
      </c>
      <c r="AG35">
        <v>2000</v>
      </c>
      <c r="AO35" t="str">
        <f>VLOOKUP($M$3&amp;$N$3&amp;DATA_ENERO_2026[[#This Row],[SUPERVISOR]],TablaMeta[],7,0)</f>
        <v>S2-3-4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0.16269387755102041</v>
      </c>
      <c r="E36" s="36" t="str">
        <f>IFERROR(VLOOKUP(D1_ENERO_2026[[#This Row],[ASESOR_CRR]],PLANTILLA_ACTUAL[],2,0),"")</f>
        <v>JOHAN</v>
      </c>
      <c r="F36" t="s">
        <v>41</v>
      </c>
      <c r="G36" s="3">
        <v>3986</v>
      </c>
      <c r="H36" t="str">
        <f>VLOOKUP(D1_ENERO_2026[[#This Row],[ASESOR_CRR]],DIM!$C:$E,2,0)</f>
        <v>46461021</v>
      </c>
      <c r="I36" s="59">
        <f>VLOOKUP(D1_ENERO_2026[[#This Row],[ASESOR_CRR]],DIM!$C:$E,3,0)</f>
        <v>45302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0.63775510204081631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JOHAN</v>
      </c>
      <c r="P36">
        <f>IF(DATA_ENERO_2026[[#This Row],[SUPERVISOR]]="","",VLOOKUP(DATA_ENERO_2026[[#This Row],[ASER_]],$B:$G,6,0))</f>
        <v>15625</v>
      </c>
      <c r="Q36">
        <f>VLOOKUP(DATA_ENERO_2026[[#This Row],[ASER_]],D1_ENERO_2026[[ASESOR_CRR]:[META]],2,0)</f>
        <v>24500</v>
      </c>
      <c r="R36" t="s">
        <v>174</v>
      </c>
      <c r="S36">
        <v>0</v>
      </c>
      <c r="T36">
        <v>800</v>
      </c>
      <c r="U36">
        <v>1000</v>
      </c>
      <c r="V36">
        <v>0</v>
      </c>
      <c r="W36">
        <v>1500</v>
      </c>
      <c r="X36">
        <v>700</v>
      </c>
      <c r="Y36">
        <v>1000</v>
      </c>
      <c r="Z36">
        <v>500</v>
      </c>
      <c r="AA36">
        <v>0</v>
      </c>
      <c r="AB36">
        <v>5000</v>
      </c>
      <c r="AC36">
        <v>1395</v>
      </c>
      <c r="AD36">
        <v>0</v>
      </c>
      <c r="AE36">
        <v>3500</v>
      </c>
      <c r="AF36">
        <v>0</v>
      </c>
      <c r="AG36">
        <v>230</v>
      </c>
      <c r="AO36" t="str">
        <f>VLOOKUP($M$3&amp;$N$3&amp;DATA_ENERO_2026[[#This Row],[SUPERVISOR]],TablaMeta[],7,0)</f>
        <v>S2-3-4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0.13469387755102041</v>
      </c>
      <c r="E37" s="36" t="str">
        <f>IFERROR(VLOOKUP(D1_ENERO_2026[[#This Row],[ASESOR_CRR]],PLANTILLA_ACTUAL[],2,0),"")</f>
        <v>JOHAN</v>
      </c>
      <c r="F37" t="s">
        <v>527</v>
      </c>
      <c r="G37" s="3">
        <v>3300</v>
      </c>
      <c r="H37" t="str">
        <f>VLOOKUP(D1_ENERO_2026[[#This Row],[ASESOR_CRR]],DIM!$C:$E,2,0)</f>
        <v>09668687</v>
      </c>
      <c r="I37" s="59">
        <f>VLOOKUP(D1_ENERO_2026[[#This Row],[ASESOR_CRR]],DIM!$C:$E,3,0)</f>
        <v>45676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0.75102040816326532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&gt;70%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18400</v>
      </c>
      <c r="Q37">
        <f>VLOOKUP(DATA_ENERO_2026[[#This Row],[ASER_]],D1_ENERO_2026[[ASESOR_CRR]:[META]],2,0)</f>
        <v>24500</v>
      </c>
      <c r="R37" t="s">
        <v>109</v>
      </c>
      <c r="S37">
        <v>0</v>
      </c>
      <c r="T37">
        <v>1200</v>
      </c>
      <c r="U37">
        <v>2000</v>
      </c>
      <c r="V37">
        <v>4000</v>
      </c>
      <c r="W37">
        <v>0</v>
      </c>
      <c r="X37">
        <v>0</v>
      </c>
      <c r="Y37">
        <v>3000</v>
      </c>
      <c r="Z37">
        <v>1000</v>
      </c>
      <c r="AA37">
        <v>3000</v>
      </c>
      <c r="AB37">
        <v>200</v>
      </c>
      <c r="AC37">
        <v>0</v>
      </c>
      <c r="AD37">
        <v>0</v>
      </c>
      <c r="AE37">
        <v>1000</v>
      </c>
      <c r="AF37">
        <v>3000</v>
      </c>
      <c r="AG37">
        <v>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7.7551020408163265E-2</v>
      </c>
      <c r="E38" s="36" t="str">
        <f>IFERROR(VLOOKUP(D1_ENERO_2026[[#This Row],[ASESOR_CRR]],PLANTILLA_ACTUAL[],2,0),"")</f>
        <v>JOHAN</v>
      </c>
      <c r="F38" t="s">
        <v>533</v>
      </c>
      <c r="G38" s="3">
        <v>1900</v>
      </c>
      <c r="H38" t="str">
        <f>VLOOKUP(D1_ENERO_2026[[#This Row],[ASESOR_CRR]],DIM!$C:$E,2,0)</f>
        <v>44883074</v>
      </c>
      <c r="I38" s="59">
        <f>VLOOKUP(D1_ENERO_2026[[#This Row],[ASESOR_CRR]],DIM!$C:$E,3,0)</f>
        <v>45673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0.58334693877551025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&gt;40%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14292</v>
      </c>
      <c r="Q38">
        <f>VLOOKUP(DATA_ENERO_2026[[#This Row],[ASER_]],D1_ENERO_2026[[ASESOR_CRR]:[META]],2,0)</f>
        <v>24500</v>
      </c>
      <c r="R38" t="s">
        <v>209</v>
      </c>
      <c r="S38">
        <v>0</v>
      </c>
      <c r="T38">
        <v>0</v>
      </c>
      <c r="U38">
        <v>0</v>
      </c>
      <c r="V38">
        <v>4000</v>
      </c>
      <c r="W38">
        <v>0</v>
      </c>
      <c r="X38">
        <v>0</v>
      </c>
      <c r="Y38">
        <v>0</v>
      </c>
      <c r="Z38">
        <v>1300</v>
      </c>
      <c r="AA38">
        <v>150</v>
      </c>
      <c r="AB38">
        <v>5920</v>
      </c>
      <c r="AC38">
        <v>1000</v>
      </c>
      <c r="AD38">
        <v>1150</v>
      </c>
      <c r="AE38">
        <v>0</v>
      </c>
      <c r="AF38">
        <v>220</v>
      </c>
      <c r="AG38">
        <v>552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0.13469387755102041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3300</v>
      </c>
      <c r="Q39">
        <f>VLOOKUP(DATA_ENERO_2026[[#This Row],[ASER_]],D1_ENERO_2026[[ASESOR_CRR]:[META]],2,0)</f>
        <v>24500</v>
      </c>
      <c r="R39" t="s">
        <v>527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3300</v>
      </c>
      <c r="AG39">
        <v>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1.3540797546012271</v>
      </c>
      <c r="E40" s="36" t="str">
        <f>IFERROR(VLOOKUP(D1_ENERO_2026[[#This Row],[ASESOR_CRR]],PLANTILLA_ACTUAL[],2,0),"")</f>
        <v>JORGE</v>
      </c>
      <c r="F40" t="s">
        <v>38</v>
      </c>
      <c r="G40" s="3">
        <v>44143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7.7551020408163265E-2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1900</v>
      </c>
      <c r="Q40">
        <f>VLOOKUP(DATA_ENERO_2026[[#This Row],[ASER_]],D1_ENERO_2026[[ASESOR_CRR]:[META]],2,0)</f>
        <v>24500</v>
      </c>
      <c r="R40" t="s">
        <v>404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1900</v>
      </c>
      <c r="AF40">
        <v>0</v>
      </c>
      <c r="AG40">
        <v>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1.0308282208588957</v>
      </c>
      <c r="E41" s="36" t="str">
        <f>IFERROR(VLOOKUP(D1_ENERO_2026[[#This Row],[ASESOR_CRR]],PLANTILLA_ACTUAL[],2,0),"")</f>
        <v>JORGE</v>
      </c>
      <c r="F41" t="s">
        <v>76</v>
      </c>
      <c r="G41" s="3">
        <v>33605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0.72329749103942653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20180</v>
      </c>
      <c r="Q41">
        <f>VLOOKUP(DATA_ENERO_2026[[#This Row],[ASER_]],D1_ENERO_2026[[ASESOR_CRR]:[META]],2,0)</f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0.8271779141104294</v>
      </c>
      <c r="E42" s="36" t="str">
        <f>IFERROR(VLOOKUP(D1_ENERO_2026[[#This Row],[ASESOR_CRR]],PLANTILLA_ACTUAL[],2,0),"")</f>
        <v>JORGE</v>
      </c>
      <c r="F42" t="s">
        <v>68</v>
      </c>
      <c r="G42" s="3">
        <v>26966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1.5555555555555555E-2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&gt;0%</v>
      </c>
      <c r="O42" t="str">
        <f>IFERROR(VLOOKUP(DATA_ENERO_2026[[#This Row],[ASER_]],$B:$G,4,0),"")</f>
        <v>KENNETH</v>
      </c>
      <c r="P42">
        <f>IF(DATA_ENERO_2026[[#This Row],[SUPERVISOR]]="","",VLOOKUP(DATA_ENERO_2026[[#This Row],[ASER_]],$B:$G,6,0))</f>
        <v>434</v>
      </c>
      <c r="Q42">
        <f>VLOOKUP(DATA_ENERO_2026[[#This Row],[ASER_]],D1_ENERO_2026[[ASESOR_CRR]:[META]],2,0)</f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0.72104693251533747</v>
      </c>
      <c r="E43" s="36" t="str">
        <f>IFERROR(VLOOKUP(D1_ENERO_2026[[#This Row],[ASESOR_CRR]],PLANTILLA_ACTUAL[],2,0),"")</f>
        <v>JORGE</v>
      </c>
      <c r="F43" t="s">
        <v>42</v>
      </c>
      <c r="G43" s="3">
        <v>23506.13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1.3400716845878136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KENNETH</v>
      </c>
      <c r="P43">
        <f>IF(DATA_ENERO_2026[[#This Row],[SUPERVISOR]]="","",VLOOKUP(DATA_ENERO_2026[[#This Row],[ASER_]],$B:$G,6,0))</f>
        <v>37388</v>
      </c>
      <c r="Q43">
        <f>VLOOKUP(DATA_ENERO_2026[[#This Row],[ASER_]],D1_ENERO_2026[[ASESOR_CRR]:[META]],2,0)</f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0.51953987730061346</v>
      </c>
      <c r="E44" s="36" t="str">
        <f>IFERROR(VLOOKUP(D1_ENERO_2026[[#This Row],[ASESOR_CRR]],PLANTILLA_ACTUAL[],2,0),"")</f>
        <v>JORGE</v>
      </c>
      <c r="F44" t="s">
        <v>79</v>
      </c>
      <c r="G44" s="3">
        <v>16937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0.22946236559139785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KENNETH</v>
      </c>
      <c r="P44">
        <f>IF(DATA_ENERO_2026[[#This Row],[SUPERVISOR]]="","",VLOOKUP(DATA_ENERO_2026[[#This Row],[ASER_]],$B:$G,6,0))</f>
        <v>6402</v>
      </c>
      <c r="Q44">
        <f>VLOOKUP(DATA_ENERO_2026[[#This Row],[ASER_]],D1_ENERO_2026[[ASESOR_CRR]:[META]],2,0)</f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0.45932208588957052</v>
      </c>
      <c r="E45" s="36" t="str">
        <f>IFERROR(VLOOKUP(D1_ENERO_2026[[#This Row],[ASESOR_CRR]],PLANTILLA_ACTUAL[],2,0),"")</f>
        <v>JORGE</v>
      </c>
      <c r="F45" t="s">
        <v>29</v>
      </c>
      <c r="G45" s="3">
        <v>14973.9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1.2525089605734767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&gt;100%</v>
      </c>
      <c r="O45" t="str">
        <f>IFERROR(VLOOKUP(DATA_ENERO_2026[[#This Row],[ASER_]],$B:$G,4,0),"")</f>
        <v>KENNETH</v>
      </c>
      <c r="P45">
        <f>IF(DATA_ENERO_2026[[#This Row],[SUPERVISOR]]="","",VLOOKUP(DATA_ENERO_2026[[#This Row],[ASER_]],$B:$G,6,0))</f>
        <v>34945</v>
      </c>
      <c r="Q45">
        <f>VLOOKUP(DATA_ENERO_2026[[#This Row],[ASER_]],D1_ENERO_2026[[ASESOR_CRR]:[META]],2,0)</f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0.39570552147239263</v>
      </c>
      <c r="E46" s="36" t="str">
        <f>IFERROR(VLOOKUP(D1_ENERO_2026[[#This Row],[ASESOR_CRR]],PLANTILLA_ACTUAL[],2,0),"")</f>
        <v>JORGE</v>
      </c>
      <c r="F46" t="s">
        <v>78</v>
      </c>
      <c r="G46" s="3">
        <v>12900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1.3320430107526882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&gt;100%</v>
      </c>
      <c r="O46" t="str">
        <f>IFERROR(VLOOKUP(DATA_ENERO_2026[[#This Row],[ASER_]],$B:$G,4,0),"")</f>
        <v>KENNETH</v>
      </c>
      <c r="P46">
        <f>IF(DATA_ENERO_2026[[#This Row],[SUPERVISOR]]="","",VLOOKUP(DATA_ENERO_2026[[#This Row],[ASER_]],$B:$G,6,0))</f>
        <v>37164</v>
      </c>
      <c r="Q46">
        <f>VLOOKUP(DATA_ENERO_2026[[#This Row],[ASER_]],D1_ENERO_2026[[ASESOR_CRR]:[META]],2,0)</f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1.226989247311828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KENNETH</v>
      </c>
      <c r="P47">
        <f>IF(DATA_ENERO_2026[[#This Row],[SUPERVISOR]]="","",VLOOKUP(DATA_ENERO_2026[[#This Row],[ASER_]],$B:$G,6,0))</f>
        <v>34233</v>
      </c>
      <c r="Q47">
        <f>VLOOKUP(DATA_ENERO_2026[[#This Row],[ASER_]],D1_ENERO_2026[[ASESOR_CRR]:[META]],2,0)</f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1.2446874999999999</v>
      </c>
      <c r="E48" s="36" t="str">
        <f>IFERROR(VLOOKUP(D1_ENERO_2026[[#This Row],[ASESOR_CRR]],PLANTILLA_ACTUAL[],2,0),"")</f>
        <v>SANDY</v>
      </c>
      <c r="F48" t="s">
        <v>32</v>
      </c>
      <c r="G48" s="3">
        <v>59745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0.7958781362007169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&gt;70%</v>
      </c>
      <c r="O48" t="str">
        <f>IFERROR(VLOOKUP(DATA_ENERO_2026[[#This Row],[ASER_]],$B:$G,4,0),"")</f>
        <v>KENNETH</v>
      </c>
      <c r="P48">
        <f>IF(DATA_ENERO_2026[[#This Row],[SUPERVISOR]]="","",VLOOKUP(DATA_ENERO_2026[[#This Row],[ASER_]],$B:$G,6,0))</f>
        <v>22205</v>
      </c>
      <c r="Q48">
        <f>VLOOKUP(DATA_ENERO_2026[[#This Row],[ASER_]],D1_ENERO_2026[[ASESOR_CRR]:[META]],2,0)</f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1.0956250000000001</v>
      </c>
      <c r="E49" s="36" t="str">
        <f>IFERROR(VLOOKUP(D1_ENERO_2026[[#This Row],[ASESOR_CRR]],PLANTILLA_ACTUAL[],2,0),"")</f>
        <v>SANDY</v>
      </c>
      <c r="F49" t="s">
        <v>96</v>
      </c>
      <c r="G49" s="3">
        <v>52590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0.65817204301075272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t="str">
        <f>IFERROR(VLOOKUP(DATA_ENERO_2026[[#This Row],[ASER_]],$B:$G,4,0),"")</f>
        <v>KENNETH</v>
      </c>
      <c r="P49">
        <f>IF(DATA_ENERO_2026[[#This Row],[SUPERVISOR]]="","",VLOOKUP(DATA_ENERO_2026[[#This Row],[ASER_]],$B:$G,6,0))</f>
        <v>18363</v>
      </c>
      <c r="Q49">
        <f>VLOOKUP(DATA_ENERO_2026[[#This Row],[ASER_]],D1_ENERO_2026[[ASESOR_CRR]:[META]],2,0)</f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0.83314583333333336</v>
      </c>
      <c r="E50" s="36" t="str">
        <f>IFERROR(VLOOKUP(D1_ENERO_2026[[#This Row],[ASESOR_CRR]],PLANTILLA_ACTUAL[],2,0),"")</f>
        <v>SANDY</v>
      </c>
      <c r="F50" t="s">
        <v>23</v>
      </c>
      <c r="G50" s="3">
        <v>39991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0.83673835125448026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KENNETH</v>
      </c>
      <c r="P50">
        <f>IF(DATA_ENERO_2026[[#This Row],[SUPERVISOR]]="","",VLOOKUP(DATA_ENERO_2026[[#This Row],[ASER_]],$B:$G,6,0))</f>
        <v>23345</v>
      </c>
      <c r="Q50">
        <f>VLOOKUP(DATA_ENERO_2026[[#This Row],[ASER_]],D1_ENERO_2026[[ASESOR_CRR]:[META]],2,0)</f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0.67177083333333332</v>
      </c>
      <c r="E51" s="36" t="str">
        <f>IFERROR(VLOOKUP(D1_ENERO_2026[[#This Row],[ASESOR_CRR]],PLANTILLA_ACTUAL[],2,0),"")</f>
        <v>SANDY</v>
      </c>
      <c r="F51" t="s">
        <v>31</v>
      </c>
      <c r="G51" s="3">
        <v>32245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0.45208333333333334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&gt;40%</v>
      </c>
      <c r="O51" t="str">
        <f>IFERROR(VLOOKUP(DATA_ENERO_2026[[#This Row],[ASER_]],$B:$G,4,0),"")</f>
        <v>MELINA</v>
      </c>
      <c r="P51">
        <f>IF(DATA_ENERO_2026[[#This Row],[SUPERVISOR]]="","",VLOOKUP(DATA_ENERO_2026[[#This Row],[ASER_]],$B:$G,6,0))</f>
        <v>21700</v>
      </c>
      <c r="Q51">
        <f>VLOOKUP(DATA_ENERO_2026[[#This Row],[ASER_]],D1_ENERO_2026[[ASESOR_CRR]:[META]],2,0)</f>
        <v>48000</v>
      </c>
      <c r="R51" t="s">
        <v>18</v>
      </c>
      <c r="S51">
        <v>0</v>
      </c>
      <c r="T51">
        <v>0</v>
      </c>
      <c r="U51">
        <v>1700</v>
      </c>
      <c r="V51">
        <v>2000</v>
      </c>
      <c r="W51">
        <v>2500</v>
      </c>
      <c r="X51">
        <v>0</v>
      </c>
      <c r="Y51">
        <v>0</v>
      </c>
      <c r="Z51">
        <v>600</v>
      </c>
      <c r="AA51">
        <v>0</v>
      </c>
      <c r="AB51">
        <v>1000</v>
      </c>
      <c r="AC51">
        <v>6550</v>
      </c>
      <c r="AD51">
        <v>2000</v>
      </c>
      <c r="AE51">
        <v>0</v>
      </c>
      <c r="AF51">
        <v>5350</v>
      </c>
      <c r="AG51">
        <v>0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0.6645833333333333</v>
      </c>
      <c r="E52" s="36" t="str">
        <f>IFERROR(VLOOKUP(D1_ENERO_2026[[#This Row],[ASESOR_CRR]],PLANTILLA_ACTUAL[],2,0),"")</f>
        <v>SANDY</v>
      </c>
      <c r="F52" t="s">
        <v>13</v>
      </c>
      <c r="G52" s="3">
        <v>31900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1.1178541666666666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MELINA</v>
      </c>
      <c r="P52">
        <f>IF(DATA_ENERO_2026[[#This Row],[SUPERVISOR]]="","",VLOOKUP(DATA_ENERO_2026[[#This Row],[ASER_]],$B:$G,6,0))</f>
        <v>53657</v>
      </c>
      <c r="Q52">
        <f>VLOOKUP(DATA_ENERO_2026[[#This Row],[ASER_]],D1_ENERO_2026[[ASESOR_CRR]:[META]],2,0)</f>
        <v>48000</v>
      </c>
      <c r="R52" t="s">
        <v>60</v>
      </c>
      <c r="S52">
        <v>4000</v>
      </c>
      <c r="T52">
        <v>600</v>
      </c>
      <c r="U52">
        <v>3400</v>
      </c>
      <c r="V52">
        <v>2500</v>
      </c>
      <c r="W52">
        <v>0</v>
      </c>
      <c r="X52">
        <v>0</v>
      </c>
      <c r="Y52">
        <v>0</v>
      </c>
      <c r="Z52">
        <v>2500</v>
      </c>
      <c r="AA52">
        <v>3800</v>
      </c>
      <c r="AB52">
        <v>0</v>
      </c>
      <c r="AC52">
        <v>26801</v>
      </c>
      <c r="AD52">
        <v>956</v>
      </c>
      <c r="AE52">
        <v>0</v>
      </c>
      <c r="AF52">
        <v>9100</v>
      </c>
      <c r="AG52">
        <v>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0.59172916666666664</v>
      </c>
      <c r="E53" s="36" t="str">
        <f>IFERROR(VLOOKUP(D1_ENERO_2026[[#This Row],[ASESOR_CRR]],PLANTILLA_ACTUAL[],2,0),"")</f>
        <v>SANDY</v>
      </c>
      <c r="F53" t="s">
        <v>17</v>
      </c>
      <c r="G53" s="3">
        <v>28403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0.18562500000000001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&gt;0%</v>
      </c>
      <c r="O53" s="58" t="str">
        <f>IFERROR(VLOOKUP(DATA_ENERO_2026[[#This Row],[ASER_]],$B:$G,4,0),"")</f>
        <v>MELINA</v>
      </c>
      <c r="P53">
        <f>IF(DATA_ENERO_2026[[#This Row],[SUPERVISOR]]="","",VLOOKUP(DATA_ENERO_2026[[#This Row],[ASER_]],$B:$G,6,0))</f>
        <v>8910</v>
      </c>
      <c r="Q53">
        <f>VLOOKUP(DATA_ENERO_2026[[#This Row],[ASER_]],D1_ENERO_2026[[ASESOR_CRR]:[META]],2,0)</f>
        <v>48000</v>
      </c>
      <c r="R53" t="s">
        <v>72</v>
      </c>
      <c r="S53">
        <v>3160</v>
      </c>
      <c r="T53">
        <v>0</v>
      </c>
      <c r="U53">
        <v>2000</v>
      </c>
      <c r="V53">
        <v>0</v>
      </c>
      <c r="W53">
        <v>0</v>
      </c>
      <c r="X53">
        <v>0</v>
      </c>
      <c r="Y53">
        <v>250</v>
      </c>
      <c r="Z53">
        <v>0</v>
      </c>
      <c r="AA53">
        <v>0</v>
      </c>
      <c r="AB53">
        <v>800</v>
      </c>
      <c r="AC53">
        <v>0</v>
      </c>
      <c r="AD53">
        <v>200</v>
      </c>
      <c r="AE53">
        <v>500</v>
      </c>
      <c r="AF53">
        <v>2000</v>
      </c>
      <c r="AG53">
        <v>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0.52114583333333331</v>
      </c>
      <c r="E54" s="36" t="str">
        <f>IFERROR(VLOOKUP(D1_ENERO_2026[[#This Row],[ASESOR_CRR]],PLANTILLA_ACTUAL[],2,0),"")</f>
        <v>SANDY</v>
      </c>
      <c r="F54" t="s">
        <v>24</v>
      </c>
      <c r="G54" s="3">
        <v>25015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0.52593749999999995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MELINA</v>
      </c>
      <c r="P54">
        <f>IF(DATA_ENERO_2026[[#This Row],[SUPERVISOR]]="","",VLOOKUP(DATA_ENERO_2026[[#This Row],[ASER_]],$B:$G,6,0))</f>
        <v>25245</v>
      </c>
      <c r="Q54">
        <f>VLOOKUP(DATA_ENERO_2026[[#This Row],[ASER_]],D1_ENERO_2026[[ASESOR_CRR]:[META]],2,0)</f>
        <v>48000</v>
      </c>
      <c r="R54" t="s">
        <v>12</v>
      </c>
      <c r="S54">
        <v>1700</v>
      </c>
      <c r="T54">
        <v>3230</v>
      </c>
      <c r="U54">
        <v>0</v>
      </c>
      <c r="V54">
        <v>6700</v>
      </c>
      <c r="W54">
        <v>2800</v>
      </c>
      <c r="X54">
        <v>750</v>
      </c>
      <c r="Y54">
        <v>0</v>
      </c>
      <c r="Z54">
        <v>6500</v>
      </c>
      <c r="AA54">
        <v>0</v>
      </c>
      <c r="AB54">
        <v>2500</v>
      </c>
      <c r="AC54">
        <v>750</v>
      </c>
      <c r="AD54">
        <v>0</v>
      </c>
      <c r="AE54">
        <v>0</v>
      </c>
      <c r="AF54">
        <v>315</v>
      </c>
      <c r="AG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0.48293750000000002</v>
      </c>
      <c r="E55" s="36" t="str">
        <f>IFERROR(VLOOKUP(D1_ENERO_2026[[#This Row],[ASESOR_CRR]],PLANTILLA_ACTUAL[],2,0),"")</f>
        <v>SANDY</v>
      </c>
      <c r="F55" t="s">
        <v>65</v>
      </c>
      <c r="G55" s="3">
        <v>23181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0.40135416666666668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MELINA</v>
      </c>
      <c r="P55">
        <f>IF(DATA_ENERO_2026[[#This Row],[SUPERVISOR]]="","",VLOOKUP(DATA_ENERO_2026[[#This Row],[ASER_]],$B:$G,6,0))</f>
        <v>19265</v>
      </c>
      <c r="Q55">
        <f>VLOOKUP(DATA_ENERO_2026[[#This Row],[ASER_]],D1_ENERO_2026[[ASESOR_CRR]:[META]],2,0)</f>
        <v>48000</v>
      </c>
      <c r="R55" t="s">
        <v>122</v>
      </c>
      <c r="S55">
        <v>1030</v>
      </c>
      <c r="T55">
        <v>10000</v>
      </c>
      <c r="U55">
        <v>500</v>
      </c>
      <c r="V55">
        <v>0</v>
      </c>
      <c r="W55">
        <v>0</v>
      </c>
      <c r="X55">
        <v>5300</v>
      </c>
      <c r="Y55">
        <v>0</v>
      </c>
      <c r="Z55">
        <v>0</v>
      </c>
      <c r="AA55">
        <v>0</v>
      </c>
      <c r="AB55">
        <v>1900</v>
      </c>
      <c r="AC55">
        <v>0</v>
      </c>
      <c r="AD55">
        <v>0</v>
      </c>
      <c r="AE55">
        <v>535</v>
      </c>
      <c r="AF55">
        <v>0</v>
      </c>
      <c r="AG55">
        <v>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0.75875000000000004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MELINA</v>
      </c>
      <c r="P56">
        <f>IF(DATA_ENERO_2026[[#This Row],[SUPERVISOR]]="","",VLOOKUP(DATA_ENERO_2026[[#This Row],[ASER_]],$B:$G,6,0))</f>
        <v>36420</v>
      </c>
      <c r="Q56">
        <f>VLOOKUP(DATA_ENERO_2026[[#This Row],[ASER_]],D1_ENERO_2026[[ASESOR_CRR]:[META]],2,0)</f>
        <v>48000</v>
      </c>
      <c r="R56" t="s">
        <v>75</v>
      </c>
      <c r="S56">
        <v>0</v>
      </c>
      <c r="T56">
        <v>3500</v>
      </c>
      <c r="U56">
        <v>0</v>
      </c>
      <c r="V56">
        <v>0</v>
      </c>
      <c r="W56">
        <v>0</v>
      </c>
      <c r="X56">
        <v>10000</v>
      </c>
      <c r="Y56">
        <v>800</v>
      </c>
      <c r="Z56">
        <v>0</v>
      </c>
      <c r="AA56">
        <v>2000</v>
      </c>
      <c r="AB56">
        <v>3500</v>
      </c>
      <c r="AC56">
        <v>5600</v>
      </c>
      <c r="AD56">
        <v>5500</v>
      </c>
      <c r="AE56">
        <v>0</v>
      </c>
      <c r="AF56">
        <v>5520</v>
      </c>
      <c r="AG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0.30122916666666666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&gt;0%</v>
      </c>
      <c r="O57" s="5" t="str">
        <f>IFERROR(VLOOKUP(DATA_ENERO_2026[[#This Row],[ASER_]],$B:$G,4,0),"")</f>
        <v>MELINA</v>
      </c>
      <c r="P57">
        <f>IF(DATA_ENERO_2026[[#This Row],[SUPERVISOR]]="","",VLOOKUP(DATA_ENERO_2026[[#This Row],[ASER_]],$B:$G,6,0))</f>
        <v>14459</v>
      </c>
      <c r="Q57">
        <f>VLOOKUP(DATA_ENERO_2026[[#This Row],[ASER_]],D1_ENERO_2026[[ASESOR_CRR]:[META]],2,0)</f>
        <v>48000</v>
      </c>
      <c r="R57" t="s">
        <v>208</v>
      </c>
      <c r="S57">
        <v>0</v>
      </c>
      <c r="T57">
        <v>750</v>
      </c>
      <c r="U57">
        <v>0</v>
      </c>
      <c r="V57">
        <v>0</v>
      </c>
      <c r="W57">
        <v>0</v>
      </c>
      <c r="X57">
        <v>4400</v>
      </c>
      <c r="Y57">
        <v>0</v>
      </c>
      <c r="Z57">
        <v>300</v>
      </c>
      <c r="AA57">
        <v>0</v>
      </c>
      <c r="AB57">
        <v>5000</v>
      </c>
      <c r="AC57">
        <v>700</v>
      </c>
      <c r="AD57">
        <v>1090</v>
      </c>
      <c r="AE57">
        <v>219</v>
      </c>
      <c r="AF57">
        <v>2000</v>
      </c>
      <c r="AG57">
        <v>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0.93845833333333328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&gt;70%</v>
      </c>
      <c r="O58" s="5" t="str">
        <f>IFERROR(VLOOKUP(DATA_ENERO_2026[[#This Row],[ASER_]],$B:$G,4,0),"")</f>
        <v>MELINA</v>
      </c>
      <c r="P58">
        <f>IF(DATA_ENERO_2026[[#This Row],[SUPERVISOR]]="","",VLOOKUP(DATA_ENERO_2026[[#This Row],[ASER_]],$B:$G,6,0))</f>
        <v>45046</v>
      </c>
      <c r="Q58">
        <f>VLOOKUP(DATA_ENERO_2026[[#This Row],[ASER_]],D1_ENERO_2026[[ASESOR_CRR]:[META]],2,0)</f>
        <v>48000</v>
      </c>
      <c r="R58" t="s">
        <v>59</v>
      </c>
      <c r="S58">
        <v>10000</v>
      </c>
      <c r="T58">
        <v>2700</v>
      </c>
      <c r="U58">
        <v>1650</v>
      </c>
      <c r="V58">
        <v>0</v>
      </c>
      <c r="W58">
        <v>0</v>
      </c>
      <c r="X58">
        <v>10596</v>
      </c>
      <c r="Y58">
        <v>1000</v>
      </c>
      <c r="Z58">
        <v>0</v>
      </c>
      <c r="AA58">
        <v>0</v>
      </c>
      <c r="AB58">
        <v>5200</v>
      </c>
      <c r="AC58">
        <v>2500</v>
      </c>
      <c r="AD58">
        <v>0</v>
      </c>
      <c r="AE58">
        <v>11400</v>
      </c>
      <c r="AF58">
        <v>0</v>
      </c>
      <c r="AG58">
        <v>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0.75439583333333338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&gt;70%</v>
      </c>
      <c r="O59" s="5" t="str">
        <f>IFERROR(VLOOKUP(DATA_ENERO_2026[[#This Row],[ASER_]],$B:$G,4,0),"")</f>
        <v>MELINA</v>
      </c>
      <c r="P59">
        <f>IF(DATA_ENERO_2026[[#This Row],[SUPERVISOR]]="","",VLOOKUP(DATA_ENERO_2026[[#This Row],[ASER_]],$B:$G,6,0))</f>
        <v>36211</v>
      </c>
      <c r="Q59">
        <f>VLOOKUP(DATA_ENERO_2026[[#This Row],[ASER_]],D1_ENERO_2026[[ASESOR_CRR]:[META]],2,0)</f>
        <v>48000</v>
      </c>
      <c r="R59" t="s">
        <v>10</v>
      </c>
      <c r="S59">
        <v>700</v>
      </c>
      <c r="T59">
        <v>8751</v>
      </c>
      <c r="U59">
        <v>0</v>
      </c>
      <c r="V59">
        <v>7000</v>
      </c>
      <c r="W59">
        <v>0</v>
      </c>
      <c r="X59">
        <v>1300</v>
      </c>
      <c r="Y59">
        <v>16100</v>
      </c>
      <c r="Z59">
        <v>0</v>
      </c>
      <c r="AA59">
        <v>0</v>
      </c>
      <c r="AB59">
        <v>2000</v>
      </c>
      <c r="AC59">
        <v>360</v>
      </c>
      <c r="AD59">
        <v>0</v>
      </c>
      <c r="AE59">
        <v>0</v>
      </c>
      <c r="AF59">
        <v>0</v>
      </c>
      <c r="AG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3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F1" sqref="F1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45673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45676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5588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20485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33605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16937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8910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21700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53657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32245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28811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19273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12250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23506.13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14973.9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23345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45046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25245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36211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31900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52590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59745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2026-01-23T16:07:44Z</dcterms:modified>
</cp:coreProperties>
</file>