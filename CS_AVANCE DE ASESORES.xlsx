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queryTables/queryTable1.xml" ContentType="application/vnd.openxmlformats-officedocument.spreadsheetml.queryTable+xml"/>
  <Override PartName="/xl/tables/table81.xml" ContentType="application/vnd.openxmlformats-officedocument.spreadsheetml.table+xml"/>
  <Override PartName="/xl/queryTables/queryTable2.xml" ContentType="application/vnd.openxmlformats-officedocument.spreadsheetml.queryTable+xml"/>
  <Override PartName="/xl/tables/table8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8489CB9F-95A5-4937-93EC-FA28F97C0339}" xr6:coauthVersionLast="47" xr6:coauthVersionMax="47" xr10:uidLastSave="{00000000-0000-0000-0000-000000000000}"/>
  <bookViews>
    <workbookView xWindow="-120" yWindow="-120" windowWidth="20730" windowHeight="11040" firstSheet="18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DIM!$A$1:$J$588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" i="17" l="1" a="1"/>
  <c r="A209" i="22"/>
  <c r="A210" i="22"/>
  <c r="A211" i="22"/>
  <c r="A212" i="22"/>
  <c r="A213" i="22"/>
  <c r="A214" i="22"/>
  <c r="B54" i="17" a="1"/>
  <c r="B53" i="17" a="1"/>
  <c r="B52" i="17" a="1"/>
  <c r="B51" i="17" a="1"/>
  <c r="B7" i="17" a="1"/>
  <c r="A6" i="30"/>
  <c r="B39" i="17" a="1"/>
  <c r="B3" i="17" a="1"/>
  <c r="B4" i="17" a="1"/>
  <c r="B5" i="17" a="1"/>
  <c r="B6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7" i="17" a="1"/>
  <c r="B38" i="17" a="1"/>
  <c r="B40" i="17" a="1"/>
  <c r="B41" i="17" a="1"/>
  <c r="B42" i="17" a="1"/>
  <c r="B43" i="17" a="1"/>
  <c r="B44" i="17" a="1"/>
  <c r="B45" i="17" a="1"/>
  <c r="B46" i="17" a="1"/>
  <c r="K46" i="17" s="1" a="1"/>
  <c r="B47" i="17" a="1"/>
  <c r="B48" i="17" a="1"/>
  <c r="B49" i="17" a="1"/>
  <c r="B50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O9" i="35" a="1"/>
  <c r="AO10" i="35" a="1"/>
  <c r="AO11" i="35" a="1"/>
  <c r="AO12" i="35" a="1"/>
  <c r="AO13" i="35" a="1"/>
  <c r="AO14" i="35" a="1"/>
  <c r="AO15" i="35" a="1"/>
  <c r="AO16" i="35" a="1"/>
  <c r="AO17" i="35" a="1"/>
  <c r="AO18" i="35" a="1"/>
  <c r="AO19" i="35" a="1"/>
  <c r="AO20" i="35" a="1"/>
  <c r="AO21" i="35" a="1"/>
  <c r="AO22" i="35" a="1"/>
  <c r="AO23" i="35" a="1"/>
  <c r="AO24" i="35" a="1"/>
  <c r="AO25" i="35" a="1"/>
  <c r="AO26" i="35" a="1"/>
  <c r="AO27" i="35" a="1"/>
  <c r="AO28" i="35" a="1"/>
  <c r="AO29" i="35" a="1"/>
  <c r="AO30" i="35" a="1"/>
  <c r="AO31" i="35" a="1"/>
  <c r="AO32" i="35" a="1"/>
  <c r="AO33" i="35" a="1"/>
  <c r="AO34" i="35" a="1"/>
  <c r="AO35" i="35" a="1"/>
  <c r="AO36" i="35" a="1"/>
  <c r="AO37" i="35" a="1"/>
  <c r="AO38" i="35" a="1"/>
  <c r="AO39" i="35" a="1"/>
  <c r="AO40" i="35" a="1"/>
  <c r="AO41" i="35" a="1"/>
  <c r="AO42" i="35" a="1"/>
  <c r="AO43" i="35" a="1"/>
  <c r="AO44" i="35" a="1"/>
  <c r="AO45" i="35" a="1"/>
  <c r="AO46" i="35" a="1"/>
  <c r="AO47" i="35" a="1"/>
  <c r="AO48" i="35" a="1"/>
  <c r="AO49" i="35" a="1"/>
  <c r="AO50" i="35" a="1"/>
  <c r="AO51" i="35" a="1"/>
  <c r="AO52" i="35" a="1"/>
  <c r="AO53" i="35" a="1"/>
  <c r="AO54" i="35" a="1"/>
  <c r="AO55" i="35" a="1"/>
  <c r="AO56" i="35" a="1"/>
  <c r="AO57" i="35" a="1"/>
  <c r="AO58" i="35" a="1"/>
  <c r="AO59" i="35" a="1"/>
  <c r="AO60" i="35" a="1"/>
  <c r="AO61" i="35" a="1"/>
  <c r="AM9" i="36" a="1"/>
  <c r="AM10" i="36" a="1"/>
  <c r="AM11" i="36" a="1"/>
  <c r="AM12" i="36" a="1"/>
  <c r="AM13" i="36" a="1"/>
  <c r="AM14" i="36" a="1"/>
  <c r="AM15" i="36" a="1"/>
  <c r="AM16" i="36" a="1"/>
  <c r="AM17" i="36" a="1"/>
  <c r="AM18" i="36" a="1"/>
  <c r="AM19" i="36" a="1"/>
  <c r="AM20" i="36" a="1"/>
  <c r="AM21" i="36" a="1"/>
  <c r="AM22" i="36" a="1"/>
  <c r="AM23" i="36" a="1"/>
  <c r="AM24" i="36" a="1"/>
  <c r="AM25" i="36" a="1"/>
  <c r="AM26" i="36" a="1"/>
  <c r="AM27" i="36" a="1"/>
  <c r="AM28" i="36" a="1"/>
  <c r="AM29" i="36" a="1"/>
  <c r="AM30" i="36" a="1"/>
  <c r="AM31" i="36" a="1"/>
  <c r="AM32" i="36" a="1"/>
  <c r="AM33" i="36" a="1"/>
  <c r="AM34" i="36" a="1"/>
  <c r="AM35" i="36" a="1"/>
  <c r="AM36" i="36" a="1"/>
  <c r="AM37" i="36" a="1"/>
  <c r="AM38" i="36" a="1"/>
  <c r="AM39" i="36" a="1"/>
  <c r="AM40" i="36" a="1"/>
  <c r="AM41" i="36" a="1"/>
  <c r="AM42" i="36" a="1"/>
  <c r="AM43" i="36" a="1"/>
  <c r="AM44" i="36" a="1"/>
  <c r="AM45" i="36" a="1"/>
  <c r="AM46" i="36" a="1"/>
  <c r="AM47" i="36" a="1"/>
  <c r="AM48" i="36" a="1"/>
  <c r="AM49" i="36" a="1"/>
  <c r="AM50" i="36" a="1"/>
  <c r="AM51" i="36" a="1"/>
  <c r="AM52" i="36" a="1"/>
  <c r="AM53" i="36" a="1"/>
  <c r="AM54" i="36" a="1"/>
  <c r="AM55" i="36" a="1"/>
  <c r="AM56" i="36" a="1"/>
  <c r="AM57" i="36" a="1"/>
  <c r="AM58" i="36" a="1"/>
  <c r="AM59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M13" i="36" a="1"/>
  <c r="AP13" i="36" s="1"/>
  <c r="B13" i="36" a="1"/>
  <c r="BM12" i="36" a="1"/>
  <c r="AP12" i="36" s="1"/>
  <c r="B12" i="36" a="1"/>
  <c r="BM11" i="36" a="1"/>
  <c r="AP11" i="36" s="1"/>
  <c r="B11" i="36" a="1"/>
  <c r="BM10" i="36" a="1"/>
  <c r="AP10" i="36" s="1"/>
  <c r="B10" i="36" a="1"/>
  <c r="BM9" i="36" a="1"/>
  <c r="AP9" i="36" s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Q13" i="35" a="1"/>
  <c r="AR13" i="35" s="1"/>
  <c r="B13" i="35" a="1"/>
  <c r="BQ12" i="35" a="1"/>
  <c r="AR12" i="35" s="1"/>
  <c r="B12" i="35" a="1"/>
  <c r="BQ11" i="35" a="1"/>
  <c r="AR11" i="35" s="1"/>
  <c r="B11" i="35" a="1"/>
  <c r="BQ10" i="35" a="1"/>
  <c r="AR10" i="35" s="1"/>
  <c r="B10" i="35" a="1"/>
  <c r="BQ9" i="35" a="1"/>
  <c r="AR9" i="35" s="1"/>
  <c r="B9" i="35" a="1"/>
  <c r="B8" i="35" a="1"/>
  <c r="B7" i="35" a="1"/>
  <c r="B6" i="35" a="1"/>
  <c r="B5" i="35" a="1"/>
  <c r="B4" i="35" a="1"/>
  <c r="B3" i="35" a="1"/>
  <c r="P50" i="17" l="1"/>
  <c r="P51" i="17"/>
  <c r="P52" i="17"/>
  <c r="P53" i="17"/>
  <c r="P54" i="17"/>
  <c r="P55" i="17"/>
  <c r="P56" i="17"/>
  <c r="H55" i="17" a="1"/>
  <c r="I55" i="17" a="1"/>
  <c r="J55" i="17" a="1"/>
  <c r="K55" i="17" a="1"/>
  <c r="A55" i="17" a="1"/>
  <c r="H54" i="17" a="1"/>
  <c r="J54" i="17" a="1"/>
  <c r="K54" i="17" a="1"/>
  <c r="I54" i="17" a="1"/>
  <c r="A54" i="17" a="1"/>
  <c r="K53" i="17" a="1"/>
  <c r="I53" i="17" a="1"/>
  <c r="H53" i="17" a="1"/>
  <c r="J53" i="17" a="1"/>
  <c r="A53" i="17" a="1"/>
  <c r="I52" i="17" a="1"/>
  <c r="K52" i="17" a="1"/>
  <c r="J52" i="17" a="1"/>
  <c r="A52" i="17" a="1"/>
  <c r="H52" i="17" a="1"/>
  <c r="K51" i="17" a="1"/>
  <c r="H51" i="17" a="1"/>
  <c r="I51" i="17" a="1"/>
  <c r="J51" i="17" a="1"/>
  <c r="A51" i="17" a="1"/>
  <c r="K7" i="17" a="1"/>
  <c r="J7" i="17" a="1"/>
  <c r="I7" i="17" a="1"/>
  <c r="H7" i="17" a="1"/>
  <c r="A7" i="17" a="1"/>
  <c r="J39" i="17" a="1"/>
  <c r="A39" i="17" a="1"/>
  <c r="K39" i="17" a="1"/>
  <c r="I39" i="17" a="1"/>
  <c r="H39" i="17" a="1"/>
  <c r="P49" i="17"/>
  <c r="K50" i="17" a="1"/>
  <c r="J50" i="17" a="1"/>
  <c r="I50" i="17" a="1"/>
  <c r="H50" i="17" a="1"/>
  <c r="A50" i="17" a="1"/>
  <c r="E50" i="17" s="1"/>
  <c r="P48" i="17"/>
  <c r="P48" i="36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3" i="36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J3" i="36" a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H3" i="35" a="1"/>
  <c r="I3" i="35" a="1"/>
  <c r="J3" i="35" a="1"/>
  <c r="K3" i="35" a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49" i="17" a="1"/>
  <c r="J49" i="17" a="1"/>
  <c r="K49" i="17" a="1"/>
  <c r="H49" i="17" a="1"/>
  <c r="I49" i="17" a="1"/>
  <c r="A48" i="17" a="1"/>
  <c r="J48" i="17" a="1"/>
  <c r="K48" i="17" a="1"/>
  <c r="H48" i="17" a="1"/>
  <c r="I48" i="17" a="1"/>
  <c r="K47" i="17" a="1"/>
  <c r="H47" i="17" a="1"/>
  <c r="J47" i="17" a="1"/>
  <c r="I47" i="17" a="1"/>
  <c r="A47" i="17" a="1"/>
  <c r="A46" i="17" a="1"/>
  <c r="J46" i="17" a="1"/>
  <c r="I46" i="17" a="1"/>
  <c r="H46" i="17" a="1"/>
  <c r="O56" i="17" l="1"/>
  <c r="E55" i="17"/>
  <c r="O53" i="17" s="1"/>
  <c r="C55" i="17" a="1"/>
  <c r="E54" i="17"/>
  <c r="O51" i="17" s="1"/>
  <c r="E53" i="17"/>
  <c r="O54" i="17" s="1"/>
  <c r="E52" i="17"/>
  <c r="O50" i="17" s="1"/>
  <c r="E51" i="17"/>
  <c r="O52" i="17" s="1"/>
  <c r="E7" i="17"/>
  <c r="E39" i="17"/>
  <c r="E52" i="36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49" i="17"/>
  <c r="O55" i="17" s="1"/>
  <c r="E48" i="17"/>
  <c r="E47" i="17"/>
  <c r="E46" i="17"/>
  <c r="D55" i="17" l="1"/>
  <c r="Q53" i="17"/>
  <c r="M53" i="17" s="1"/>
  <c r="N53" i="17" s="1" a="1"/>
  <c r="O37" i="36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45" i="17" l="1" a="1"/>
  <c r="E45" i="17" s="1"/>
  <c r="H45" i="17" a="1"/>
  <c r="I45" i="17" a="1"/>
  <c r="J45" i="17" a="1"/>
  <c r="K45" i="17" a="1"/>
  <c r="BO9" i="17" a="1"/>
  <c r="BO10" i="17" a="1"/>
  <c r="BO11" i="17" a="1"/>
  <c r="BO13" i="17" a="1"/>
  <c r="A194" i="22"/>
  <c r="A195" i="22"/>
  <c r="A196" i="22"/>
  <c r="P47" i="17" l="1"/>
  <c r="K38" i="17" a="1"/>
  <c r="J38" i="17" a="1"/>
  <c r="H38" i="17" a="1"/>
  <c r="I38" i="17" a="1"/>
  <c r="K37" i="17" a="1"/>
  <c r="H37" i="17" a="1"/>
  <c r="I37" i="17" a="1"/>
  <c r="J37" i="17" a="1"/>
  <c r="J34" i="17" a="1"/>
  <c r="I34" i="17" a="1"/>
  <c r="K34" i="17" a="1"/>
  <c r="H34" i="17" a="1"/>
  <c r="K33" i="17" a="1"/>
  <c r="J33" i="17" a="1"/>
  <c r="H33" i="17" a="1"/>
  <c r="I33" i="17" a="1"/>
  <c r="H32" i="17" a="1"/>
  <c r="I32" i="17" a="1"/>
  <c r="J32" i="17" a="1"/>
  <c r="K32" i="17" a="1"/>
  <c r="P34" i="17"/>
  <c r="P38" i="17"/>
  <c r="P37" i="17"/>
  <c r="P39" i="17"/>
  <c r="P40" i="17"/>
  <c r="P35" i="17"/>
  <c r="P41" i="17"/>
  <c r="P36" i="17"/>
  <c r="H36" i="17" a="1"/>
  <c r="I36" i="17" a="1"/>
  <c r="J36" i="17" a="1"/>
  <c r="K36" i="17" a="1"/>
  <c r="H35" i="17" a="1"/>
  <c r="I35" i="17" a="1"/>
  <c r="J35" i="17" a="1"/>
  <c r="K35" i="17" a="1"/>
  <c r="P46" i="17"/>
  <c r="P45" i="17"/>
  <c r="P44" i="17"/>
  <c r="P43" i="17"/>
  <c r="A44" i="17" a="1"/>
  <c r="J44" i="17" a="1"/>
  <c r="H44" i="17" a="1"/>
  <c r="I44" i="17" a="1"/>
  <c r="K44" i="17" a="1"/>
  <c r="H43" i="17" a="1"/>
  <c r="P42" i="17"/>
  <c r="K43" i="17" a="1"/>
  <c r="J43" i="17" a="1"/>
  <c r="A43" i="17" a="1"/>
  <c r="I43" i="17" a="1"/>
  <c r="A42" i="17" a="1"/>
  <c r="E42" i="17" s="1"/>
  <c r="H42" i="17" a="1"/>
  <c r="I42" i="17" a="1"/>
  <c r="K42" i="17" a="1"/>
  <c r="J42" i="17" a="1"/>
  <c r="A41" i="17" a="1"/>
  <c r="E41" i="17" s="1"/>
  <c r="H41" i="17" a="1"/>
  <c r="I41" i="17" a="1"/>
  <c r="K41" i="17" a="1"/>
  <c r="J41" i="17" a="1"/>
  <c r="A40" i="17" a="1"/>
  <c r="E40" i="17" s="1"/>
  <c r="H40" i="17" a="1"/>
  <c r="I40" i="17" a="1"/>
  <c r="K40" i="17" a="1"/>
  <c r="J40" i="17" a="1"/>
  <c r="A38" i="17" a="1"/>
  <c r="H8" i="17" a="1"/>
  <c r="J8" i="17" a="1"/>
  <c r="K8" i="17" a="1"/>
  <c r="I8" i="17" a="1"/>
  <c r="A8" i="17" a="1"/>
  <c r="E8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10" i="17" a="1"/>
  <c r="I10" i="17" a="1"/>
  <c r="H10" i="17" a="1"/>
  <c r="J10" i="17" a="1"/>
  <c r="A10" i="17" a="1"/>
  <c r="E10" i="17" s="1"/>
  <c r="A35" i="17" a="1"/>
  <c r="H28" i="17" a="1"/>
  <c r="K28" i="17" a="1"/>
  <c r="A28" i="17" a="1"/>
  <c r="I28" i="17" a="1"/>
  <c r="J28" i="17" a="1"/>
  <c r="I14" i="17" a="1"/>
  <c r="H14" i="17" a="1"/>
  <c r="K14" i="17" a="1"/>
  <c r="J14" i="17" a="1"/>
  <c r="A14" i="17" a="1"/>
  <c r="E14" i="17" s="1"/>
  <c r="I21" i="17" a="1"/>
  <c r="A21" i="17" a="1"/>
  <c r="K21" i="17" a="1"/>
  <c r="H21" i="17" a="1"/>
  <c r="J21" i="17" a="1"/>
  <c r="A13" i="17" a="1"/>
  <c r="E13" i="17" s="1"/>
  <c r="J13" i="17" a="1"/>
  <c r="H13" i="17" a="1"/>
  <c r="K13" i="17" a="1"/>
  <c r="I13" i="17" a="1"/>
  <c r="A34" i="17" a="1"/>
  <c r="I20" i="17" a="1"/>
  <c r="A20" i="17" a="1"/>
  <c r="K20" i="17" a="1"/>
  <c r="H20" i="17" a="1"/>
  <c r="J20" i="17" a="1"/>
  <c r="A12" i="17" a="1"/>
  <c r="E12" i="17" s="1"/>
  <c r="J12" i="17" a="1"/>
  <c r="H12" i="17" a="1"/>
  <c r="K12" i="17" a="1"/>
  <c r="I12" i="17" a="1"/>
  <c r="A33" i="17" a="1"/>
  <c r="I19" i="17" a="1"/>
  <c r="A19" i="17" a="1"/>
  <c r="K19" i="17" a="1"/>
  <c r="H19" i="17" a="1"/>
  <c r="J19" i="17" a="1"/>
  <c r="J11" i="17" a="1"/>
  <c r="A11" i="17" a="1"/>
  <c r="E11" i="17" s="1"/>
  <c r="H11" i="17" a="1"/>
  <c r="K11" i="17" a="1"/>
  <c r="I11" i="17" a="1"/>
  <c r="K27" i="17" a="1"/>
  <c r="J27" i="17" a="1"/>
  <c r="H27" i="17" a="1"/>
  <c r="A27" i="17" a="1"/>
  <c r="I27" i="17" a="1"/>
  <c r="K18" i="17" a="1"/>
  <c r="J18" i="17" a="1"/>
  <c r="I18" i="17" a="1"/>
  <c r="H18" i="17" a="1"/>
  <c r="A18" i="17" a="1"/>
  <c r="A32" i="17" a="1"/>
  <c r="K26" i="17" a="1"/>
  <c r="H26" i="17" a="1"/>
  <c r="J26" i="17" a="1"/>
  <c r="A26" i="17" a="1"/>
  <c r="I26" i="17" a="1"/>
  <c r="H25" i="17" a="1"/>
  <c r="I25" i="17" a="1"/>
  <c r="K25" i="17" a="1"/>
  <c r="J25" i="17" a="1"/>
  <c r="A25" i="17" a="1"/>
  <c r="H17" i="17" a="1"/>
  <c r="J17" i="17" a="1"/>
  <c r="I17" i="17" a="1"/>
  <c r="K17" i="17" a="1"/>
  <c r="A17" i="17" a="1"/>
  <c r="K24" i="17" a="1"/>
  <c r="J24" i="17" a="1"/>
  <c r="H24" i="17" a="1"/>
  <c r="I24" i="17" a="1"/>
  <c r="A24" i="17" a="1"/>
  <c r="K23" i="17" a="1"/>
  <c r="J23" i="17" a="1"/>
  <c r="H23" i="17" a="1"/>
  <c r="I23" i="17" a="1"/>
  <c r="A23" i="17" a="1"/>
  <c r="J16" i="17" a="1"/>
  <c r="I16" i="17" a="1"/>
  <c r="H16" i="17" a="1"/>
  <c r="K16" i="17" a="1"/>
  <c r="A16" i="17" a="1"/>
  <c r="A37" i="17" a="1"/>
  <c r="A31" i="17" a="1"/>
  <c r="J31" i="17" a="1"/>
  <c r="K31" i="17" a="1"/>
  <c r="I31" i="17" a="1"/>
  <c r="H31" i="17" a="1"/>
  <c r="A36" i="17" a="1"/>
  <c r="A30" i="17" a="1"/>
  <c r="K30" i="17" a="1"/>
  <c r="J30" i="17" a="1"/>
  <c r="I30" i="17" a="1"/>
  <c r="H30" i="17" a="1"/>
  <c r="A22" i="17" a="1"/>
  <c r="K22" i="17" a="1"/>
  <c r="I22" i="17" a="1"/>
  <c r="H22" i="17" a="1"/>
  <c r="J22" i="17" a="1"/>
  <c r="K29" i="17" a="1"/>
  <c r="A29" i="17" a="1"/>
  <c r="H29" i="17" a="1"/>
  <c r="I29" i="17" a="1"/>
  <c r="J29" i="17" a="1"/>
  <c r="K15" i="17" a="1"/>
  <c r="I15" i="17" a="1"/>
  <c r="A15" i="17" a="1"/>
  <c r="E15" i="17" s="1"/>
  <c r="J15" i="17" a="1"/>
  <c r="H15" i="17" a="1"/>
  <c r="K9" i="17" a="1"/>
  <c r="J9" i="17" a="1"/>
  <c r="H9" i="17" a="1"/>
  <c r="I9" i="17" a="1"/>
  <c r="A9" i="17" a="1"/>
  <c r="E9" i="17" s="1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P60" i="32"/>
  <c r="M60" i="32" s="1"/>
  <c r="N60" i="32" s="1" a="1"/>
  <c r="P61" i="32"/>
  <c r="M61" i="32" s="1"/>
  <c r="N61" i="32" s="1" a="1"/>
  <c r="P62" i="32"/>
  <c r="P63" i="32"/>
  <c r="P64" i="32"/>
  <c r="P65" i="32"/>
  <c r="P66" i="32"/>
  <c r="P67" i="32"/>
  <c r="P68" i="32"/>
  <c r="P69" i="32"/>
  <c r="M69" i="32" s="1"/>
  <c r="N69" i="32" s="1" a="1"/>
  <c r="P70" i="32"/>
  <c r="M70" i="32" s="1"/>
  <c r="N70" i="32" s="1" a="1"/>
  <c r="P71" i="32"/>
  <c r="M71" i="32" s="1"/>
  <c r="N71" i="32" s="1" a="1"/>
  <c r="P72" i="32"/>
  <c r="M72" i="32" s="1"/>
  <c r="N72" i="32" s="1" a="1"/>
  <c r="P73" i="32"/>
  <c r="M73" i="32" s="1"/>
  <c r="N73" i="32" s="1" a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P61" i="31"/>
  <c r="M61" i="31" s="1"/>
  <c r="N61" i="31" s="1" a="1"/>
  <c r="P62" i="31"/>
  <c r="P63" i="31"/>
  <c r="P64" i="31"/>
  <c r="M64" i="31" s="1"/>
  <c r="N64" i="31" s="1" a="1"/>
  <c r="P65" i="31"/>
  <c r="M65" i="31" s="1"/>
  <c r="N65" i="31" s="1" a="1"/>
  <c r="P66" i="31"/>
  <c r="M66" i="31" s="1"/>
  <c r="N66" i="31" s="1" a="1"/>
  <c r="P67" i="31"/>
  <c r="P68" i="31"/>
  <c r="P69" i="31"/>
  <c r="M69" i="31" s="1"/>
  <c r="N69" i="31" s="1" a="1"/>
  <c r="P70" i="31"/>
  <c r="P71" i="31"/>
  <c r="P72" i="31"/>
  <c r="M72" i="31" s="1"/>
  <c r="N72" i="31" s="1" a="1"/>
  <c r="P73" i="31"/>
  <c r="M73" i="31" s="1"/>
  <c r="N73" i="31" s="1" a="1"/>
  <c r="P74" i="31"/>
  <c r="P75" i="31"/>
  <c r="P76" i="31"/>
  <c r="M76" i="31" s="1"/>
  <c r="N76" i="31" s="1" a="1"/>
  <c r="P77" i="31"/>
  <c r="M77" i="31" s="1"/>
  <c r="N77" i="31" s="1" a="1"/>
  <c r="P78" i="31"/>
  <c r="M78" i="31" s="1"/>
  <c r="N78" i="31" s="1" a="1"/>
  <c r="P79" i="31"/>
  <c r="P80" i="31"/>
  <c r="P81" i="31"/>
  <c r="M81" i="31" s="1"/>
  <c r="N81" i="31" s="1" a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P56" i="32"/>
  <c r="P55" i="32"/>
  <c r="P54" i="32"/>
  <c r="P53" i="32"/>
  <c r="P52" i="32"/>
  <c r="P51" i="32"/>
  <c r="M51" i="32" s="1"/>
  <c r="N51" i="32" s="1" a="1"/>
  <c r="P50" i="32"/>
  <c r="M50" i="32" s="1"/>
  <c r="N50" i="32" s="1" a="1"/>
  <c r="P49" i="32"/>
  <c r="M49" i="32" s="1"/>
  <c r="N49" i="32" s="1" a="1"/>
  <c r="P48" i="32"/>
  <c r="M48" i="32" s="1"/>
  <c r="N48" i="32" s="1" a="1"/>
  <c r="P47" i="32"/>
  <c r="M47" i="32" s="1"/>
  <c r="N47" i="32" s="1" a="1"/>
  <c r="P46" i="32"/>
  <c r="P45" i="32"/>
  <c r="M45" i="32" s="1"/>
  <c r="N45" i="32" s="1" a="1"/>
  <c r="P44" i="32"/>
  <c r="P43" i="32"/>
  <c r="P42" i="32"/>
  <c r="P41" i="32"/>
  <c r="P40" i="32"/>
  <c r="P39" i="32"/>
  <c r="M39" i="32" s="1"/>
  <c r="N39" i="32" s="1" a="1"/>
  <c r="P38" i="32"/>
  <c r="M38" i="32" s="1"/>
  <c r="N38" i="32" s="1" a="1"/>
  <c r="P37" i="32"/>
  <c r="M37" i="32" s="1"/>
  <c r="N37" i="32" s="1" a="1"/>
  <c r="P36" i="32"/>
  <c r="M36" i="32" s="1"/>
  <c r="N36" i="32" s="1" a="1"/>
  <c r="P35" i="32"/>
  <c r="M35" i="32" s="1"/>
  <c r="N35" i="32" s="1" a="1"/>
  <c r="P34" i="32"/>
  <c r="P33" i="32"/>
  <c r="M33" i="32" s="1"/>
  <c r="N33" i="32" s="1" a="1"/>
  <c r="P32" i="32"/>
  <c r="P31" i="32"/>
  <c r="P30" i="32"/>
  <c r="P29" i="32"/>
  <c r="P28" i="32"/>
  <c r="P27" i="32"/>
  <c r="M27" i="32" s="1"/>
  <c r="N27" i="32" s="1" a="1"/>
  <c r="P26" i="32"/>
  <c r="M26" i="32" s="1"/>
  <c r="N26" i="32" s="1" a="1"/>
  <c r="P25" i="32"/>
  <c r="M25" i="32" s="1"/>
  <c r="N25" i="32" s="1" a="1"/>
  <c r="P24" i="32"/>
  <c r="M24" i="32" s="1"/>
  <c r="N24" i="32" s="1" a="1"/>
  <c r="P23" i="32"/>
  <c r="M23" i="32" s="1"/>
  <c r="N23" i="32" s="1" a="1"/>
  <c r="P22" i="32"/>
  <c r="M22" i="32"/>
  <c r="N22" i="32" s="1" a="1"/>
  <c r="P21" i="32"/>
  <c r="M21" i="32" s="1"/>
  <c r="N21" i="32" s="1" a="1"/>
  <c r="P20" i="32"/>
  <c r="P19" i="32"/>
  <c r="P18" i="32"/>
  <c r="P17" i="32"/>
  <c r="P16" i="32"/>
  <c r="M16" i="32" s="1"/>
  <c r="N16" i="32" s="1" a="1"/>
  <c r="P15" i="32"/>
  <c r="M15" i="32" s="1"/>
  <c r="N15" i="32" s="1" a="1"/>
  <c r="P14" i="32"/>
  <c r="M14" i="32" s="1"/>
  <c r="N14" i="32" s="1" a="1"/>
  <c r="BA13" i="32"/>
  <c r="BB13" i="32" s="1"/>
  <c r="P13" i="32"/>
  <c r="M13" i="32" s="1"/>
  <c r="N13" i="32" s="1" a="1"/>
  <c r="BA12" i="32"/>
  <c r="BB12" i="32" s="1"/>
  <c r="P12" i="32"/>
  <c r="BA11" i="32"/>
  <c r="BB11" i="32" s="1"/>
  <c r="P11" i="32"/>
  <c r="M11" i="32" s="1"/>
  <c r="N11" i="32" s="1" a="1"/>
  <c r="BA10" i="32"/>
  <c r="BB10" i="32" s="1"/>
  <c r="P10" i="32"/>
  <c r="M10" i="32" s="1"/>
  <c r="N10" i="32" s="1" a="1"/>
  <c r="BA9" i="32"/>
  <c r="BB9" i="32" s="1"/>
  <c r="P9" i="32"/>
  <c r="M9" i="32" s="1"/>
  <c r="N9" i="32" s="1" a="1"/>
  <c r="P58" i="31"/>
  <c r="M58" i="31" s="1"/>
  <c r="N58" i="31" s="1" a="1"/>
  <c r="P57" i="31"/>
  <c r="M57" i="31" s="1"/>
  <c r="N57" i="31" s="1" a="1"/>
  <c r="P56" i="31"/>
  <c r="P55" i="31"/>
  <c r="P54" i="31"/>
  <c r="P53" i="31"/>
  <c r="M53" i="31" s="1"/>
  <c r="N53" i="31" s="1" a="1"/>
  <c r="P52" i="31"/>
  <c r="M52" i="31" s="1"/>
  <c r="N52" i="31" s="1" a="1"/>
  <c r="P51" i="31"/>
  <c r="M51" i="31" s="1"/>
  <c r="N51" i="31" s="1" a="1"/>
  <c r="P50" i="31"/>
  <c r="M50" i="31" s="1"/>
  <c r="N50" i="31" s="1" a="1"/>
  <c r="P49" i="31"/>
  <c r="M49" i="31" s="1"/>
  <c r="N49" i="31" s="1" a="1"/>
  <c r="P48" i="31"/>
  <c r="M48" i="31" s="1"/>
  <c r="N48" i="31" s="1" a="1"/>
  <c r="P47" i="31"/>
  <c r="M47" i="31" s="1"/>
  <c r="N47" i="31" s="1" a="1"/>
  <c r="P46" i="31"/>
  <c r="M46" i="31" s="1"/>
  <c r="N46" i="31" s="1" a="1"/>
  <c r="P45" i="31"/>
  <c r="M45" i="31" s="1"/>
  <c r="N45" i="31" s="1" a="1"/>
  <c r="P44" i="31"/>
  <c r="P43" i="31"/>
  <c r="P42" i="31"/>
  <c r="P41" i="31"/>
  <c r="M41" i="31" s="1"/>
  <c r="N41" i="31" s="1" a="1"/>
  <c r="P40" i="31"/>
  <c r="M40" i="31" s="1"/>
  <c r="N40" i="31" s="1" a="1"/>
  <c r="P39" i="31"/>
  <c r="M39" i="31" s="1"/>
  <c r="N39" i="31" s="1" a="1"/>
  <c r="P38" i="31"/>
  <c r="M38" i="31" s="1"/>
  <c r="N38" i="31" s="1" a="1"/>
  <c r="P37" i="31"/>
  <c r="M37" i="31" s="1"/>
  <c r="N37" i="31" s="1" a="1"/>
  <c r="P36" i="31"/>
  <c r="M36" i="31" s="1"/>
  <c r="N36" i="31" s="1" a="1"/>
  <c r="P35" i="31"/>
  <c r="M35" i="31" s="1"/>
  <c r="N35" i="31" s="1" a="1"/>
  <c r="P34" i="31"/>
  <c r="M34" i="31" s="1"/>
  <c r="N34" i="31" s="1" a="1"/>
  <c r="P33" i="31"/>
  <c r="M33" i="31" s="1"/>
  <c r="N33" i="31" s="1" a="1"/>
  <c r="P32" i="31"/>
  <c r="P31" i="31"/>
  <c r="P30" i="31"/>
  <c r="P29" i="31"/>
  <c r="M29" i="31" s="1"/>
  <c r="N29" i="31" s="1" a="1"/>
  <c r="P28" i="31"/>
  <c r="M28" i="31" s="1"/>
  <c r="N28" i="31" s="1" a="1"/>
  <c r="P27" i="31"/>
  <c r="P26" i="31"/>
  <c r="P25" i="31"/>
  <c r="M25" i="31" s="1"/>
  <c r="N25" i="31" s="1" a="1"/>
  <c r="P24" i="31"/>
  <c r="M24" i="31" s="1"/>
  <c r="N24" i="31" s="1" a="1"/>
  <c r="P23" i="31"/>
  <c r="M23" i="31" s="1"/>
  <c r="N23" i="31" s="1" a="1"/>
  <c r="P22" i="31"/>
  <c r="M22" i="31" s="1"/>
  <c r="N22" i="31" s="1" a="1"/>
  <c r="P21" i="31"/>
  <c r="M21" i="31" s="1"/>
  <c r="N21" i="31" s="1" a="1"/>
  <c r="P20" i="31"/>
  <c r="P19" i="31"/>
  <c r="M19" i="31" s="1"/>
  <c r="N19" i="31" s="1" a="1"/>
  <c r="P18" i="31"/>
  <c r="M18" i="31" s="1"/>
  <c r="N18" i="31" s="1" a="1"/>
  <c r="P17" i="31"/>
  <c r="M17" i="31" s="1"/>
  <c r="N17" i="31" s="1" a="1"/>
  <c r="P16" i="31"/>
  <c r="M16" i="31" s="1"/>
  <c r="N16" i="31" s="1" a="1"/>
  <c r="P15" i="31"/>
  <c r="P14" i="31"/>
  <c r="BA14" i="31"/>
  <c r="BB14" i="31" s="1"/>
  <c r="P13" i="31"/>
  <c r="M13" i="31" s="1"/>
  <c r="N13" i="31" s="1" a="1"/>
  <c r="BA10" i="31"/>
  <c r="BB10" i="31" s="1"/>
  <c r="P12" i="31"/>
  <c r="M12" i="31" s="1"/>
  <c r="N12" i="31" s="1" a="1"/>
  <c r="BA9" i="31"/>
  <c r="BB9" i="31" s="1"/>
  <c r="P11" i="31"/>
  <c r="M11" i="31" s="1"/>
  <c r="N11" i="31" s="1" a="1"/>
  <c r="BA13" i="31"/>
  <c r="BB13" i="31" s="1"/>
  <c r="P10" i="31"/>
  <c r="M10" i="31" s="1"/>
  <c r="N10" i="31" s="1" a="1"/>
  <c r="BA15" i="31"/>
  <c r="BB15" i="31" s="1"/>
  <c r="P9" i="31"/>
  <c r="M9" i="31" s="1"/>
  <c r="N9" i="31" s="1" a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P58" i="30"/>
  <c r="M58" i="30" s="1"/>
  <c r="N58" i="30" s="1" a="1"/>
  <c r="P59" i="30"/>
  <c r="M59" i="30" s="1"/>
  <c r="N59" i="30" s="1" a="1"/>
  <c r="P54" i="30"/>
  <c r="M54" i="30" s="1"/>
  <c r="N54" i="30" s="1" a="1"/>
  <c r="P55" i="30"/>
  <c r="M55" i="30" s="1"/>
  <c r="N55" i="30" s="1" a="1"/>
  <c r="P56" i="30"/>
  <c r="M56" i="30" s="1"/>
  <c r="N56" i="30" s="1" a="1"/>
  <c r="P51" i="30"/>
  <c r="M51" i="30" s="1"/>
  <c r="N51" i="30" s="1" a="1"/>
  <c r="P52" i="30"/>
  <c r="M52" i="30" s="1"/>
  <c r="N52" i="30" s="1" a="1"/>
  <c r="P53" i="30"/>
  <c r="M53" i="30" s="1"/>
  <c r="N53" i="30" s="1" a="1"/>
  <c r="P49" i="30"/>
  <c r="M49" i="30" s="1"/>
  <c r="N49" i="30" s="1" a="1"/>
  <c r="P50" i="30"/>
  <c r="M50" i="30" s="1"/>
  <c r="N50" i="30" s="1" a="1"/>
  <c r="P47" i="30"/>
  <c r="M47" i="30" s="1"/>
  <c r="N47" i="30" s="1" a="1"/>
  <c r="P48" i="30"/>
  <c r="M48" i="30" s="1"/>
  <c r="N48" i="30" s="1" a="1"/>
  <c r="P45" i="30"/>
  <c r="M45" i="30" s="1"/>
  <c r="N45" i="30" s="1" a="1"/>
  <c r="P46" i="30"/>
  <c r="M46" i="30" s="1"/>
  <c r="N46" i="30" s="1" a="1"/>
  <c r="P43" i="30"/>
  <c r="M43" i="30" s="1"/>
  <c r="N43" i="30" s="1" a="1"/>
  <c r="P44" i="30"/>
  <c r="M44" i="30" s="1"/>
  <c r="N44" i="30" s="1" a="1"/>
  <c r="P41" i="30"/>
  <c r="M41" i="30" s="1"/>
  <c r="N41" i="30" s="1" a="1"/>
  <c r="P42" i="30"/>
  <c r="M42" i="30" s="1"/>
  <c r="N42" i="30" s="1" a="1"/>
  <c r="P39" i="30"/>
  <c r="M39" i="30" s="1"/>
  <c r="N39" i="30" s="1" a="1"/>
  <c r="P40" i="30"/>
  <c r="M40" i="30" s="1"/>
  <c r="N40" i="30" s="1" a="1"/>
  <c r="P37" i="30"/>
  <c r="M37" i="30" s="1"/>
  <c r="N37" i="30" s="1" a="1"/>
  <c r="P38" i="30"/>
  <c r="M38" i="30" s="1"/>
  <c r="N38" i="30" s="1" a="1"/>
  <c r="P34" i="30"/>
  <c r="M34" i="30" s="1"/>
  <c r="N34" i="30" s="1" a="1"/>
  <c r="P35" i="30"/>
  <c r="M35" i="30" s="1"/>
  <c r="N35" i="30" s="1" a="1"/>
  <c r="P36" i="30"/>
  <c r="M36" i="30" s="1"/>
  <c r="N36" i="30" s="1" a="1"/>
  <c r="P31" i="30"/>
  <c r="M31" i="30" s="1"/>
  <c r="N31" i="30" s="1" a="1"/>
  <c r="P32" i="30"/>
  <c r="M32" i="30" s="1"/>
  <c r="N32" i="30" s="1" a="1"/>
  <c r="P33" i="30"/>
  <c r="M33" i="30" s="1"/>
  <c r="N33" i="30" s="1" a="1"/>
  <c r="P28" i="30"/>
  <c r="M28" i="30" s="1"/>
  <c r="N28" i="30" s="1" a="1"/>
  <c r="P29" i="30"/>
  <c r="M29" i="30" s="1"/>
  <c r="N29" i="30" s="1" a="1"/>
  <c r="P30" i="30"/>
  <c r="M30" i="30" s="1"/>
  <c r="N30" i="30" s="1" a="1"/>
  <c r="P23" i="30"/>
  <c r="M23" i="30" s="1"/>
  <c r="N23" i="30" s="1" a="1"/>
  <c r="P24" i="30"/>
  <c r="M24" i="30" s="1"/>
  <c r="N24" i="30" s="1" a="1"/>
  <c r="P25" i="30"/>
  <c r="M25" i="30" s="1"/>
  <c r="N25" i="30" s="1" a="1"/>
  <c r="P26" i="30"/>
  <c r="M26" i="30" s="1"/>
  <c r="N26" i="30" s="1" a="1"/>
  <c r="P27" i="30"/>
  <c r="M27" i="30" s="1"/>
  <c r="N27" i="30" s="1" a="1"/>
  <c r="P15" i="30"/>
  <c r="M15" i="30" s="1"/>
  <c r="N15" i="30" s="1" a="1"/>
  <c r="P16" i="30"/>
  <c r="M16" i="30" s="1"/>
  <c r="N16" i="30" s="1" a="1"/>
  <c r="P17" i="30"/>
  <c r="M17" i="30" s="1"/>
  <c r="N17" i="30" s="1" a="1"/>
  <c r="P18" i="30"/>
  <c r="M18" i="30" s="1"/>
  <c r="N18" i="30" s="1" a="1"/>
  <c r="P19" i="30"/>
  <c r="M19" i="30" s="1"/>
  <c r="N19" i="30" s="1" a="1"/>
  <c r="P20" i="30"/>
  <c r="M20" i="30" s="1"/>
  <c r="N20" i="30" s="1" a="1"/>
  <c r="P21" i="30"/>
  <c r="M21" i="30" s="1"/>
  <c r="N21" i="30" s="1" a="1"/>
  <c r="P22" i="30"/>
  <c r="M22" i="30" s="1"/>
  <c r="N22" i="30" s="1" a="1"/>
  <c r="P10" i="30"/>
  <c r="M10" i="30" s="1"/>
  <c r="N10" i="30" s="1" a="1"/>
  <c r="P11" i="30"/>
  <c r="M11" i="30" s="1"/>
  <c r="N11" i="30" s="1" a="1"/>
  <c r="P12" i="30"/>
  <c r="M12" i="30" s="1"/>
  <c r="N12" i="30" s="1" a="1"/>
  <c r="P13" i="30"/>
  <c r="M13" i="30" s="1"/>
  <c r="N13" i="30" s="1" a="1"/>
  <c r="P14" i="30"/>
  <c r="M14" i="30" s="1"/>
  <c r="N14" i="30" s="1" a="1"/>
  <c r="P9" i="30"/>
  <c r="M9" i="30" s="1"/>
  <c r="N9" i="30" s="1" a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P16" i="16"/>
  <c r="M16" i="16" s="1"/>
  <c r="N16" i="16" s="1" a="1"/>
  <c r="P17" i="16"/>
  <c r="M17" i="16" s="1"/>
  <c r="N17" i="16" s="1" a="1"/>
  <c r="P18" i="16"/>
  <c r="M18" i="16" s="1"/>
  <c r="N18" i="16" s="1" a="1"/>
  <c r="P19" i="16"/>
  <c r="M19" i="16" s="1"/>
  <c r="N19" i="16" s="1" a="1"/>
  <c r="P20" i="16"/>
  <c r="M20" i="16" s="1"/>
  <c r="N20" i="16" s="1" a="1"/>
  <c r="P25" i="16"/>
  <c r="M25" i="16" s="1"/>
  <c r="N25" i="16" s="1" a="1"/>
  <c r="P26" i="16"/>
  <c r="M26" i="16" s="1"/>
  <c r="N26" i="16" s="1" a="1"/>
  <c r="P27" i="16"/>
  <c r="M27" i="16" s="1"/>
  <c r="N27" i="16" s="1" a="1"/>
  <c r="P28" i="16"/>
  <c r="M28" i="16" s="1"/>
  <c r="N28" i="16" s="1" a="1"/>
  <c r="P29" i="16"/>
  <c r="M29" i="16" s="1"/>
  <c r="N29" i="16" s="1" a="1"/>
  <c r="P30" i="16"/>
  <c r="M30" i="16" s="1"/>
  <c r="N30" i="16" s="1" a="1"/>
  <c r="P31" i="16"/>
  <c r="M31" i="16" s="1"/>
  <c r="N31" i="16" s="1" a="1"/>
  <c r="P32" i="16"/>
  <c r="M32" i="16" s="1"/>
  <c r="N32" i="16" s="1" a="1"/>
  <c r="P35" i="16"/>
  <c r="M35" i="16" s="1"/>
  <c r="N35" i="16" s="1" a="1"/>
  <c r="P40" i="16"/>
  <c r="M40" i="16" s="1"/>
  <c r="N40" i="16" s="1" a="1"/>
  <c r="P41" i="16"/>
  <c r="M41" i="16" s="1"/>
  <c r="N41" i="16" s="1" a="1"/>
  <c r="P42" i="16"/>
  <c r="M42" i="16" s="1"/>
  <c r="N42" i="16" s="1" a="1"/>
  <c r="P43" i="16"/>
  <c r="M43" i="16" s="1"/>
  <c r="N43" i="16" s="1" a="1"/>
  <c r="P44" i="16"/>
  <c r="M44" i="16" s="1"/>
  <c r="N44" i="16" s="1" a="1"/>
  <c r="P47" i="16"/>
  <c r="M47" i="16" s="1"/>
  <c r="N47" i="16" s="1" a="1"/>
  <c r="P65" i="16"/>
  <c r="M65" i="16" s="1"/>
  <c r="N65" i="16" s="1" a="1"/>
  <c r="P66" i="16"/>
  <c r="M66" i="16" s="1"/>
  <c r="N66" i="16" s="1" a="1"/>
  <c r="P67" i="16"/>
  <c r="M67" i="16" s="1"/>
  <c r="N67" i="16" s="1" a="1"/>
  <c r="P68" i="16"/>
  <c r="M68" i="16" s="1"/>
  <c r="N68" i="16" s="1" a="1"/>
  <c r="P70" i="16"/>
  <c r="M70" i="16" s="1"/>
  <c r="N70" i="16" s="1" a="1"/>
  <c r="P71" i="16"/>
  <c r="M71" i="16" s="1"/>
  <c r="N71" i="16" s="1" a="1"/>
  <c r="P74" i="16"/>
  <c r="M74" i="16" s="1"/>
  <c r="N74" i="16" s="1" a="1"/>
  <c r="P75" i="16"/>
  <c r="M75" i="16" s="1"/>
  <c r="N75" i="16" s="1" a="1"/>
  <c r="P76" i="16"/>
  <c r="M76" i="16" s="1"/>
  <c r="N76" i="16" s="1" a="1"/>
  <c r="P77" i="16"/>
  <c r="M77" i="16" s="1"/>
  <c r="N77" i="16" s="1" a="1"/>
  <c r="P78" i="16"/>
  <c r="M78" i="16" s="1"/>
  <c r="N78" i="16" s="1" a="1"/>
  <c r="P79" i="16"/>
  <c r="M79" i="16" s="1"/>
  <c r="N79" i="16" s="1" a="1"/>
  <c r="P80" i="16"/>
  <c r="M80" i="16" s="1"/>
  <c r="N80" i="16" s="1" a="1"/>
  <c r="P14" i="16"/>
  <c r="M14" i="16" s="1"/>
  <c r="N14" i="16" s="1" a="1"/>
  <c r="P22" i="16"/>
  <c r="M22" i="16" s="1"/>
  <c r="N22" i="16" s="1" a="1"/>
  <c r="P23" i="16"/>
  <c r="M23" i="16" s="1"/>
  <c r="N23" i="16" s="1" a="1"/>
  <c r="P24" i="16"/>
  <c r="M24" i="16" s="1"/>
  <c r="N24" i="16" s="1" a="1"/>
  <c r="P36" i="16"/>
  <c r="M36" i="16" s="1"/>
  <c r="N36" i="16" s="1" a="1"/>
  <c r="P37" i="16"/>
  <c r="M37" i="16" s="1"/>
  <c r="N37" i="16" s="1" a="1"/>
  <c r="P38" i="16"/>
  <c r="M38" i="16" s="1"/>
  <c r="N38" i="16" s="1" a="1"/>
  <c r="P39" i="16"/>
  <c r="M39" i="16" s="1"/>
  <c r="N39" i="16" s="1" a="1"/>
  <c r="P49" i="16"/>
  <c r="M49" i="16" s="1"/>
  <c r="N49" i="16" s="1" a="1"/>
  <c r="P50" i="16"/>
  <c r="M50" i="16" s="1"/>
  <c r="N50" i="16" s="1" a="1"/>
  <c r="P51" i="16"/>
  <c r="M51" i="16" s="1"/>
  <c r="N51" i="16" s="1" a="1"/>
  <c r="P52" i="16"/>
  <c r="M52" i="16" s="1"/>
  <c r="N52" i="16" s="1" a="1"/>
  <c r="P53" i="16"/>
  <c r="M53" i="16" s="1"/>
  <c r="N53" i="16" s="1" a="1"/>
  <c r="P55" i="16"/>
  <c r="M55" i="16" s="1"/>
  <c r="N55" i="16" s="1" a="1"/>
  <c r="P56" i="16"/>
  <c r="M56" i="16" s="1"/>
  <c r="N56" i="16" s="1" a="1"/>
  <c r="P57" i="16"/>
  <c r="M57" i="16" s="1"/>
  <c r="N57" i="16" s="1" a="1"/>
  <c r="P58" i="16"/>
  <c r="M58" i="16" s="1"/>
  <c r="N58" i="16" s="1" a="1"/>
  <c r="P59" i="16"/>
  <c r="M59" i="16" s="1"/>
  <c r="N59" i="16" s="1" a="1"/>
  <c r="P60" i="16"/>
  <c r="M60" i="16" s="1"/>
  <c r="N60" i="16" s="1" a="1"/>
  <c r="P61" i="16"/>
  <c r="M61" i="16" s="1"/>
  <c r="N61" i="16" s="1" a="1"/>
  <c r="P62" i="16"/>
  <c r="M62" i="16" s="1"/>
  <c r="N62" i="16" s="1" a="1"/>
  <c r="P63" i="16"/>
  <c r="M63" i="16" s="1"/>
  <c r="N63" i="16" s="1" a="1"/>
  <c r="P69" i="16"/>
  <c r="M69" i="16" s="1"/>
  <c r="N69" i="16" s="1" a="1"/>
  <c r="P81" i="16"/>
  <c r="M81" i="16" s="1"/>
  <c r="N81" i="16" s="1" a="1"/>
  <c r="P82" i="16"/>
  <c r="P64" i="16"/>
  <c r="P54" i="16"/>
  <c r="M54" i="16" s="1"/>
  <c r="N54" i="16" s="1" a="1"/>
  <c r="C76" i="16"/>
  <c r="D76" i="16" s="1"/>
  <c r="P9" i="16"/>
  <c r="P10" i="16"/>
  <c r="M10" i="16" s="1"/>
  <c r="N10" i="16" s="1" a="1"/>
  <c r="P12" i="16"/>
  <c r="M12" i="16" s="1"/>
  <c r="N12" i="16" s="1" a="1"/>
  <c r="P13" i="16"/>
  <c r="M13" i="16" s="1"/>
  <c r="N13" i="16" s="1" a="1"/>
  <c r="P21" i="16"/>
  <c r="M21" i="16" s="1"/>
  <c r="N21" i="16" s="1" a="1"/>
  <c r="P33" i="16"/>
  <c r="M33" i="16" s="1"/>
  <c r="N33" i="16" s="1" a="1"/>
  <c r="P34" i="16"/>
  <c r="M34" i="16" s="1"/>
  <c r="N34" i="16" s="1" a="1"/>
  <c r="P45" i="16"/>
  <c r="M45" i="16" s="1"/>
  <c r="N45" i="16" s="1" a="1"/>
  <c r="P46" i="16"/>
  <c r="M46" i="16" s="1"/>
  <c r="N46" i="16" s="1" a="1"/>
  <c r="P48" i="16"/>
  <c r="M48" i="16" s="1"/>
  <c r="N48" i="16" s="1" a="1"/>
  <c r="P73" i="16"/>
  <c r="M73" i="16" s="1"/>
  <c r="N73" i="16" s="1" a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P11" i="12"/>
  <c r="M11" i="12" s="1"/>
  <c r="N11" i="12" s="1" a="1"/>
  <c r="P12" i="12"/>
  <c r="M12" i="12" s="1"/>
  <c r="N12" i="12" s="1" a="1"/>
  <c r="P13" i="12"/>
  <c r="M13" i="12" s="1"/>
  <c r="N13" i="12" s="1" a="1"/>
  <c r="P14" i="12"/>
  <c r="M14" i="12" s="1"/>
  <c r="N14" i="12" s="1" a="1"/>
  <c r="P15" i="12"/>
  <c r="M15" i="12" s="1"/>
  <c r="N15" i="12" s="1" a="1"/>
  <c r="P16" i="12"/>
  <c r="M16" i="12" s="1"/>
  <c r="N16" i="12" s="1" a="1"/>
  <c r="P17" i="12"/>
  <c r="M17" i="12" s="1"/>
  <c r="N17" i="12" s="1" a="1"/>
  <c r="P18" i="12"/>
  <c r="M18" i="12" s="1"/>
  <c r="N18" i="12" s="1" a="1"/>
  <c r="P19" i="12"/>
  <c r="M19" i="12" s="1"/>
  <c r="N19" i="12" s="1" a="1"/>
  <c r="P20" i="12"/>
  <c r="M20" i="12" s="1"/>
  <c r="N20" i="12" s="1" a="1"/>
  <c r="P21" i="12"/>
  <c r="M21" i="12" s="1"/>
  <c r="N21" i="12" s="1" a="1"/>
  <c r="P22" i="12"/>
  <c r="M22" i="12" s="1"/>
  <c r="N22" i="12" s="1" a="1"/>
  <c r="P23" i="12"/>
  <c r="M23" i="12" s="1"/>
  <c r="N23" i="12" s="1" a="1"/>
  <c r="P24" i="12"/>
  <c r="M24" i="12" s="1"/>
  <c r="N24" i="12" s="1" a="1"/>
  <c r="P25" i="12"/>
  <c r="M25" i="12" s="1"/>
  <c r="N25" i="12" s="1" a="1"/>
  <c r="P26" i="12"/>
  <c r="M26" i="12" s="1"/>
  <c r="N26" i="12" s="1" a="1"/>
  <c r="P27" i="12"/>
  <c r="M27" i="12" s="1"/>
  <c r="N27" i="12" s="1" a="1"/>
  <c r="P28" i="12"/>
  <c r="M28" i="12" s="1"/>
  <c r="N28" i="12" s="1" a="1"/>
  <c r="P29" i="12"/>
  <c r="M29" i="12" s="1"/>
  <c r="N29" i="12" s="1" a="1"/>
  <c r="P30" i="12"/>
  <c r="M30" i="12" s="1"/>
  <c r="N30" i="12" s="1" a="1"/>
  <c r="P31" i="12"/>
  <c r="M31" i="12" s="1"/>
  <c r="N31" i="12" s="1" a="1"/>
  <c r="P32" i="12"/>
  <c r="M32" i="12" s="1"/>
  <c r="N32" i="12" s="1" a="1"/>
  <c r="P33" i="12"/>
  <c r="M33" i="12" s="1"/>
  <c r="N33" i="12" s="1" a="1"/>
  <c r="P34" i="12"/>
  <c r="M34" i="12" s="1"/>
  <c r="N34" i="12" s="1" a="1"/>
  <c r="P35" i="12"/>
  <c r="M35" i="12" s="1"/>
  <c r="N35" i="12" s="1" a="1"/>
  <c r="P36" i="12"/>
  <c r="M36" i="12" s="1"/>
  <c r="N36" i="12" s="1" a="1"/>
  <c r="P37" i="12"/>
  <c r="M37" i="12" s="1"/>
  <c r="N37" i="12" s="1" a="1"/>
  <c r="P38" i="12"/>
  <c r="M38" i="12" s="1"/>
  <c r="N38" i="12" s="1" a="1"/>
  <c r="P39" i="12"/>
  <c r="M39" i="12" s="1"/>
  <c r="N39" i="12" s="1" a="1"/>
  <c r="P40" i="12"/>
  <c r="M40" i="12" s="1"/>
  <c r="N40" i="12" s="1" a="1"/>
  <c r="P41" i="12"/>
  <c r="M41" i="12" s="1"/>
  <c r="N41" i="12" s="1" a="1"/>
  <c r="P42" i="12"/>
  <c r="M42" i="12" s="1"/>
  <c r="N42" i="12" s="1" a="1"/>
  <c r="P43" i="12"/>
  <c r="M43" i="12" s="1"/>
  <c r="N43" i="12" s="1" a="1"/>
  <c r="P44" i="12"/>
  <c r="M44" i="12" s="1"/>
  <c r="N44" i="12" s="1" a="1"/>
  <c r="P45" i="12"/>
  <c r="M45" i="12" s="1"/>
  <c r="N45" i="12" s="1" a="1"/>
  <c r="P46" i="12"/>
  <c r="M46" i="12" s="1"/>
  <c r="N46" i="12" s="1" a="1"/>
  <c r="P47" i="12"/>
  <c r="M47" i="12" s="1"/>
  <c r="N47" i="12" s="1" a="1"/>
  <c r="P48" i="12"/>
  <c r="M48" i="12" s="1"/>
  <c r="N48" i="12" s="1" a="1"/>
  <c r="P49" i="12"/>
  <c r="M49" i="12" s="1"/>
  <c r="N49" i="12" s="1" a="1"/>
  <c r="P50" i="12"/>
  <c r="M50" i="12" s="1"/>
  <c r="N50" i="12" s="1" a="1"/>
  <c r="P51" i="12"/>
  <c r="M51" i="12" s="1"/>
  <c r="N51" i="12" s="1" a="1"/>
  <c r="P52" i="12"/>
  <c r="M52" i="12" s="1"/>
  <c r="N52" i="12" s="1" a="1"/>
  <c r="P53" i="12"/>
  <c r="M53" i="12" s="1"/>
  <c r="N53" i="12" s="1" a="1"/>
  <c r="P54" i="12"/>
  <c r="M54" i="12" s="1"/>
  <c r="N54" i="12" s="1" a="1"/>
  <c r="P55" i="12"/>
  <c r="M55" i="12" s="1"/>
  <c r="N55" i="12" s="1" a="1"/>
  <c r="P56" i="12"/>
  <c r="M56" i="12" s="1"/>
  <c r="N56" i="12" s="1" a="1"/>
  <c r="P57" i="12"/>
  <c r="M57" i="12" s="1"/>
  <c r="N57" i="12" s="1" a="1"/>
  <c r="P58" i="12"/>
  <c r="M58" i="12" s="1"/>
  <c r="N58" i="12" s="1" a="1"/>
  <c r="P59" i="12"/>
  <c r="M59" i="12" s="1"/>
  <c r="N59" i="12" s="1" a="1"/>
  <c r="P60" i="12"/>
  <c r="M60" i="12" s="1"/>
  <c r="N60" i="12" s="1" a="1"/>
  <c r="P61" i="12"/>
  <c r="M61" i="12" s="1"/>
  <c r="N61" i="12" s="1" a="1"/>
  <c r="P62" i="12"/>
  <c r="M62" i="12" s="1"/>
  <c r="N62" i="12" s="1" a="1"/>
  <c r="P63" i="12"/>
  <c r="M63" i="12" s="1"/>
  <c r="N63" i="12" s="1" a="1"/>
  <c r="P64" i="12"/>
  <c r="M64" i="12" s="1"/>
  <c r="N64" i="12" s="1" a="1"/>
  <c r="P65" i="12"/>
  <c r="M65" i="12" s="1"/>
  <c r="N65" i="12" s="1" a="1"/>
  <c r="P66" i="12"/>
  <c r="M66" i="12" s="1"/>
  <c r="N66" i="12" s="1" a="1"/>
  <c r="P67" i="12"/>
  <c r="M67" i="12" s="1"/>
  <c r="N67" i="12" s="1" a="1"/>
  <c r="P68" i="12"/>
  <c r="M68" i="12" s="1"/>
  <c r="N68" i="12" s="1" a="1"/>
  <c r="P69" i="12"/>
  <c r="M69" i="12" s="1"/>
  <c r="N69" i="12" s="1" a="1"/>
  <c r="P70" i="12"/>
  <c r="M70" i="12" s="1"/>
  <c r="N70" i="12" s="1" a="1"/>
  <c r="P71" i="12"/>
  <c r="M71" i="12" s="1"/>
  <c r="N71" i="12" s="1" a="1"/>
  <c r="P72" i="12"/>
  <c r="M72" i="12" s="1"/>
  <c r="N72" i="12" s="1" a="1"/>
  <c r="P73" i="12"/>
  <c r="M73" i="12" s="1"/>
  <c r="N73" i="12" s="1" a="1"/>
  <c r="P74" i="12"/>
  <c r="M74" i="12" s="1"/>
  <c r="N74" i="12" s="1" a="1"/>
  <c r="P75" i="12"/>
  <c r="M75" i="12" s="1"/>
  <c r="N75" i="12" s="1" a="1"/>
  <c r="P76" i="12"/>
  <c r="M76" i="12" s="1"/>
  <c r="N76" i="12" s="1" a="1"/>
  <c r="P77" i="12"/>
  <c r="M77" i="12" s="1"/>
  <c r="N77" i="12" s="1" a="1"/>
  <c r="P78" i="12"/>
  <c r="M78" i="12" s="1"/>
  <c r="N78" i="12" s="1" a="1"/>
  <c r="P9" i="12"/>
  <c r="M9" i="12" s="1"/>
  <c r="N9" i="12" s="1" a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P11" i="13"/>
  <c r="M11" i="13" s="1"/>
  <c r="N11" i="13" s="1" a="1"/>
  <c r="P12" i="13"/>
  <c r="M12" i="13" s="1"/>
  <c r="N12" i="13" s="1" a="1"/>
  <c r="P13" i="13"/>
  <c r="M13" i="13" s="1"/>
  <c r="N13" i="13" s="1" a="1"/>
  <c r="P14" i="13"/>
  <c r="M14" i="13" s="1"/>
  <c r="N14" i="13" s="1" a="1"/>
  <c r="P15" i="13"/>
  <c r="P16" i="13"/>
  <c r="M16" i="13" s="1"/>
  <c r="N16" i="13" s="1" a="1"/>
  <c r="P17" i="13"/>
  <c r="P18" i="13"/>
  <c r="M18" i="13" s="1"/>
  <c r="N18" i="13" s="1" a="1"/>
  <c r="P19" i="13"/>
  <c r="M19" i="13" s="1"/>
  <c r="N19" i="13" s="1" a="1"/>
  <c r="P20" i="13"/>
  <c r="M20" i="13" s="1"/>
  <c r="N20" i="13" s="1" a="1"/>
  <c r="P21" i="13"/>
  <c r="M21" i="13" s="1"/>
  <c r="N21" i="13" s="1" a="1"/>
  <c r="P22" i="13"/>
  <c r="M22" i="13" s="1"/>
  <c r="N22" i="13" s="1" a="1"/>
  <c r="P23" i="13"/>
  <c r="M23" i="13" s="1"/>
  <c r="N23" i="13" s="1" a="1"/>
  <c r="P24" i="13"/>
  <c r="M24" i="13" s="1"/>
  <c r="N24" i="13" s="1" a="1"/>
  <c r="P25" i="13"/>
  <c r="M25" i="13" s="1"/>
  <c r="N25" i="13" s="1" a="1"/>
  <c r="P26" i="13"/>
  <c r="M26" i="13" s="1"/>
  <c r="N26" i="13" s="1" a="1"/>
  <c r="P27" i="13"/>
  <c r="M27" i="13" s="1"/>
  <c r="N27" i="13" s="1" a="1"/>
  <c r="P28" i="13"/>
  <c r="M28" i="13" s="1"/>
  <c r="N28" i="13" s="1" a="1"/>
  <c r="P29" i="13"/>
  <c r="M29" i="13" s="1"/>
  <c r="N29" i="13" s="1" a="1"/>
  <c r="P30" i="13"/>
  <c r="M30" i="13" s="1"/>
  <c r="N30" i="13" s="1" a="1"/>
  <c r="P31" i="13"/>
  <c r="M31" i="13" s="1"/>
  <c r="N31" i="13" s="1" a="1"/>
  <c r="P32" i="13"/>
  <c r="M32" i="13" s="1"/>
  <c r="N32" i="13" s="1" a="1"/>
  <c r="P33" i="13"/>
  <c r="M33" i="13" s="1"/>
  <c r="N33" i="13" s="1" a="1"/>
  <c r="P34" i="13"/>
  <c r="M34" i="13" s="1"/>
  <c r="N34" i="13" s="1" a="1"/>
  <c r="P35" i="13"/>
  <c r="M35" i="13" s="1"/>
  <c r="N35" i="13" s="1" a="1"/>
  <c r="P36" i="13"/>
  <c r="M36" i="13" s="1"/>
  <c r="N36" i="13" s="1" a="1"/>
  <c r="P37" i="13"/>
  <c r="M37" i="13" s="1"/>
  <c r="N37" i="13" s="1" a="1"/>
  <c r="P38" i="13"/>
  <c r="M38" i="13" s="1"/>
  <c r="N38" i="13" s="1" a="1"/>
  <c r="P39" i="13"/>
  <c r="M39" i="13" s="1"/>
  <c r="N39" i="13" s="1" a="1"/>
  <c r="P40" i="13"/>
  <c r="M40" i="13" s="1"/>
  <c r="N40" i="13" s="1" a="1"/>
  <c r="P41" i="13"/>
  <c r="M41" i="13" s="1"/>
  <c r="N41" i="13" s="1" a="1"/>
  <c r="P42" i="13"/>
  <c r="M42" i="13" s="1"/>
  <c r="N42" i="13" s="1" a="1"/>
  <c r="P43" i="13"/>
  <c r="M43" i="13" s="1"/>
  <c r="N43" i="13" s="1" a="1"/>
  <c r="P44" i="13"/>
  <c r="M44" i="13" s="1"/>
  <c r="N44" i="13" s="1" a="1"/>
  <c r="P45" i="13"/>
  <c r="M45" i="13" s="1"/>
  <c r="N45" i="13" s="1" a="1"/>
  <c r="P46" i="13"/>
  <c r="M46" i="13" s="1"/>
  <c r="N46" i="13" s="1" a="1"/>
  <c r="P47" i="13"/>
  <c r="P48" i="13"/>
  <c r="M48" i="13" s="1"/>
  <c r="N48" i="13" s="1" a="1"/>
  <c r="P49" i="13"/>
  <c r="P50" i="13"/>
  <c r="M50" i="13" s="1"/>
  <c r="N50" i="13" s="1" a="1"/>
  <c r="P51" i="13"/>
  <c r="M51" i="13" s="1"/>
  <c r="N51" i="13" s="1" a="1"/>
  <c r="P52" i="13"/>
  <c r="M52" i="13" s="1"/>
  <c r="N52" i="13" s="1" a="1"/>
  <c r="P53" i="13"/>
  <c r="M53" i="13" s="1"/>
  <c r="N53" i="13" s="1" a="1"/>
  <c r="P54" i="13"/>
  <c r="M54" i="13" s="1"/>
  <c r="N54" i="13" s="1" a="1"/>
  <c r="P55" i="13"/>
  <c r="M55" i="13" s="1"/>
  <c r="N55" i="13" s="1" a="1"/>
  <c r="P56" i="13"/>
  <c r="M56" i="13" s="1"/>
  <c r="N56" i="13" s="1" a="1"/>
  <c r="P57" i="13"/>
  <c r="M57" i="13" s="1"/>
  <c r="N57" i="13" s="1" a="1"/>
  <c r="P58" i="13"/>
  <c r="M58" i="13" s="1"/>
  <c r="N58" i="13" s="1" a="1"/>
  <c r="P59" i="13"/>
  <c r="M59" i="13" s="1"/>
  <c r="N59" i="13" s="1" a="1"/>
  <c r="P60" i="13"/>
  <c r="M60" i="13" s="1"/>
  <c r="N60" i="13" s="1" a="1"/>
  <c r="P61" i="13"/>
  <c r="M61" i="13" s="1"/>
  <c r="N61" i="13" s="1" a="1"/>
  <c r="P62" i="13"/>
  <c r="M62" i="13" s="1"/>
  <c r="N62" i="13" s="1" a="1"/>
  <c r="P63" i="13"/>
  <c r="M63" i="13" s="1"/>
  <c r="N63" i="13" s="1" a="1"/>
  <c r="P64" i="13"/>
  <c r="M64" i="13" s="1"/>
  <c r="N64" i="13" s="1" a="1"/>
  <c r="P65" i="13"/>
  <c r="M65" i="13" s="1"/>
  <c r="N65" i="13" s="1" a="1"/>
  <c r="P66" i="13"/>
  <c r="M66" i="13" s="1"/>
  <c r="N66" i="13" s="1" a="1"/>
  <c r="P67" i="13"/>
  <c r="M67" i="13" s="1"/>
  <c r="N67" i="13" s="1" a="1"/>
  <c r="P68" i="13"/>
  <c r="M68" i="13" s="1"/>
  <c r="N68" i="13" s="1" a="1"/>
  <c r="P69" i="13"/>
  <c r="M69" i="13" s="1"/>
  <c r="N69" i="13" s="1" a="1"/>
  <c r="P70" i="13"/>
  <c r="M70" i="13" s="1"/>
  <c r="N70" i="13" s="1" a="1"/>
  <c r="P71" i="13"/>
  <c r="M71" i="13" s="1"/>
  <c r="N71" i="13" s="1" a="1"/>
  <c r="P72" i="13"/>
  <c r="M72" i="13" s="1"/>
  <c r="N72" i="13" s="1" a="1"/>
  <c r="P73" i="13"/>
  <c r="M73" i="13" s="1"/>
  <c r="N73" i="13" s="1" a="1"/>
  <c r="P74" i="13"/>
  <c r="M74" i="13" s="1"/>
  <c r="N74" i="13" s="1" a="1"/>
  <c r="P75" i="13"/>
  <c r="M75" i="13" s="1"/>
  <c r="N75" i="13" s="1" a="1"/>
  <c r="P76" i="13"/>
  <c r="M76" i="13" s="1"/>
  <c r="N76" i="13" s="1" a="1"/>
  <c r="P77" i="13"/>
  <c r="M77" i="13" s="1"/>
  <c r="N77" i="13" s="1" a="1"/>
  <c r="P78" i="13"/>
  <c r="M78" i="13" s="1"/>
  <c r="N78" i="13" s="1" a="1"/>
  <c r="P79" i="13"/>
  <c r="M79" i="13" s="1"/>
  <c r="N79" i="13" s="1" a="1"/>
  <c r="P80" i="13"/>
  <c r="M80" i="13" s="1"/>
  <c r="N80" i="13" s="1" a="1"/>
  <c r="P81" i="13"/>
  <c r="M81" i="13" s="1"/>
  <c r="N81" i="13" s="1" a="1"/>
  <c r="P82" i="13"/>
  <c r="M82" i="13" s="1"/>
  <c r="N82" i="13" s="1" a="1"/>
  <c r="P83" i="13"/>
  <c r="M83" i="13" s="1"/>
  <c r="N83" i="13" s="1" a="1"/>
  <c r="P84" i="13"/>
  <c r="M84" i="13" s="1"/>
  <c r="N84" i="13" s="1" a="1"/>
  <c r="P85" i="13"/>
  <c r="M85" i="13" s="1"/>
  <c r="N85" i="13" s="1" a="1"/>
  <c r="P9" i="13"/>
  <c r="M9" i="13" s="1"/>
  <c r="N9" i="13" s="1" a="1"/>
  <c r="M15" i="13"/>
  <c r="N15" i="13" s="1" a="1"/>
  <c r="M17" i="13"/>
  <c r="N17" i="13" s="1" a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B75" i="13"/>
  <c r="C75" i="13"/>
  <c r="D75" i="13" s="1"/>
  <c r="M49" i="13"/>
  <c r="N49" i="13" s="1" a="1"/>
  <c r="M14" i="15"/>
  <c r="N14" i="15" s="1" a="1"/>
  <c r="M15" i="15"/>
  <c r="N15" i="15" s="1" a="1"/>
  <c r="M16" i="15"/>
  <c r="N16" i="15" s="1" a="1"/>
  <c r="M17" i="15"/>
  <c r="N17" i="15" s="1" a="1"/>
  <c r="M18" i="15"/>
  <c r="N18" i="15" s="1" a="1"/>
  <c r="M38" i="15"/>
  <c r="N38" i="15" s="1" a="1"/>
  <c r="M39" i="15"/>
  <c r="N39" i="15" s="1" a="1"/>
  <c r="M40" i="15"/>
  <c r="N40" i="15" s="1" a="1"/>
  <c r="M41" i="15"/>
  <c r="N41" i="15" s="1" a="1"/>
  <c r="M62" i="15"/>
  <c r="N62" i="15" s="1" a="1"/>
  <c r="M63" i="15"/>
  <c r="N63" i="15" s="1" a="1"/>
  <c r="M64" i="15"/>
  <c r="N64" i="15" s="1" a="1"/>
  <c r="M65" i="15"/>
  <c r="N65" i="15" s="1" a="1"/>
  <c r="N11" i="15" a="1"/>
  <c r="N12" i="15" a="1"/>
  <c r="N13" i="15" a="1"/>
  <c r="N71" i="15" a="1"/>
  <c r="N72" i="15" a="1"/>
  <c r="N75" i="15" a="1"/>
  <c r="P9" i="15"/>
  <c r="M9" i="15" s="1"/>
  <c r="N9" i="15" s="1" a="1"/>
  <c r="P10" i="15"/>
  <c r="M10" i="15" s="1"/>
  <c r="N10" i="15" s="1" a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P20" i="15"/>
  <c r="M20" i="15" s="1"/>
  <c r="N20" i="15" s="1" a="1"/>
  <c r="P21" i="15"/>
  <c r="M21" i="15" s="1"/>
  <c r="N21" i="15" s="1" a="1"/>
  <c r="P22" i="15"/>
  <c r="M22" i="15" s="1"/>
  <c r="N22" i="15" s="1" a="1"/>
  <c r="P23" i="15"/>
  <c r="M23" i="15" s="1"/>
  <c r="N23" i="15" s="1" a="1"/>
  <c r="P24" i="15"/>
  <c r="M24" i="15" s="1"/>
  <c r="N24" i="15" s="1" a="1"/>
  <c r="P25" i="15"/>
  <c r="M25" i="15" s="1"/>
  <c r="N25" i="15" s="1" a="1"/>
  <c r="P26" i="15"/>
  <c r="M26" i="15" s="1"/>
  <c r="N26" i="15" s="1" a="1"/>
  <c r="P27" i="15"/>
  <c r="M27" i="15" s="1"/>
  <c r="N27" i="15" s="1" a="1"/>
  <c r="P28" i="15"/>
  <c r="M28" i="15" s="1"/>
  <c r="N28" i="15" s="1" a="1"/>
  <c r="P29" i="15"/>
  <c r="M29" i="15" s="1"/>
  <c r="N29" i="15" s="1" a="1"/>
  <c r="P30" i="15"/>
  <c r="M30" i="15" s="1"/>
  <c r="N30" i="15" s="1" a="1"/>
  <c r="P31" i="15"/>
  <c r="M31" i="15" s="1"/>
  <c r="N31" i="15" s="1" a="1"/>
  <c r="P32" i="15"/>
  <c r="M32" i="15" s="1"/>
  <c r="N32" i="15" s="1" a="1"/>
  <c r="P33" i="15"/>
  <c r="M33" i="15" s="1"/>
  <c r="N33" i="15" s="1" a="1"/>
  <c r="P34" i="15"/>
  <c r="M34" i="15" s="1"/>
  <c r="N34" i="15" s="1" a="1"/>
  <c r="P35" i="15"/>
  <c r="M35" i="15" s="1"/>
  <c r="N35" i="15" s="1" a="1"/>
  <c r="P36" i="15"/>
  <c r="M36" i="15" s="1"/>
  <c r="N36" i="15" s="1" a="1"/>
  <c r="P37" i="15"/>
  <c r="M37" i="15" s="1"/>
  <c r="N37" i="15" s="1" a="1"/>
  <c r="P38" i="15"/>
  <c r="P39" i="15"/>
  <c r="P40" i="15"/>
  <c r="P41" i="15"/>
  <c r="P42" i="15"/>
  <c r="M42" i="15" s="1"/>
  <c r="N42" i="15" s="1" a="1"/>
  <c r="P43" i="15"/>
  <c r="M43" i="15" s="1"/>
  <c r="N43" i="15" s="1" a="1"/>
  <c r="P44" i="15"/>
  <c r="M44" i="15" s="1"/>
  <c r="N44" i="15" s="1" a="1"/>
  <c r="P45" i="15"/>
  <c r="M45" i="15" s="1"/>
  <c r="N45" i="15" s="1" a="1"/>
  <c r="P46" i="15"/>
  <c r="M46" i="15" s="1"/>
  <c r="N46" i="15" s="1" a="1"/>
  <c r="P47" i="15"/>
  <c r="M47" i="15" s="1"/>
  <c r="N47" i="15" s="1" a="1"/>
  <c r="P48" i="15"/>
  <c r="M48" i="15" s="1"/>
  <c r="N48" i="15" s="1" a="1"/>
  <c r="P49" i="15"/>
  <c r="M49" i="15" s="1"/>
  <c r="N49" i="15" s="1" a="1"/>
  <c r="P50" i="15"/>
  <c r="M50" i="15" s="1"/>
  <c r="N50" i="15" s="1" a="1"/>
  <c r="P51" i="15"/>
  <c r="M51" i="15" s="1"/>
  <c r="N51" i="15" s="1" a="1"/>
  <c r="P52" i="15"/>
  <c r="M52" i="15" s="1"/>
  <c r="N52" i="15" s="1" a="1"/>
  <c r="P53" i="15"/>
  <c r="M53" i="15" s="1"/>
  <c r="N53" i="15" s="1" a="1"/>
  <c r="P54" i="15"/>
  <c r="M54" i="15" s="1"/>
  <c r="N54" i="15" s="1" a="1"/>
  <c r="P55" i="15"/>
  <c r="M55" i="15" s="1"/>
  <c r="N55" i="15" s="1" a="1"/>
  <c r="P56" i="15"/>
  <c r="M56" i="15" s="1"/>
  <c r="N56" i="15" s="1" a="1"/>
  <c r="P57" i="15"/>
  <c r="M57" i="15" s="1"/>
  <c r="N57" i="15" s="1" a="1"/>
  <c r="P58" i="15"/>
  <c r="M58" i="15" s="1"/>
  <c r="N58" i="15" s="1" a="1"/>
  <c r="P59" i="15"/>
  <c r="M59" i="15" s="1"/>
  <c r="N59" i="15" s="1" a="1"/>
  <c r="P60" i="15"/>
  <c r="M60" i="15" s="1"/>
  <c r="N60" i="15" s="1" a="1"/>
  <c r="P61" i="15"/>
  <c r="M61" i="15" s="1"/>
  <c r="N61" i="15" s="1" a="1"/>
  <c r="P62" i="15"/>
  <c r="P63" i="15"/>
  <c r="P64" i="15"/>
  <c r="P65" i="15"/>
  <c r="P66" i="15"/>
  <c r="M66" i="15" s="1"/>
  <c r="N66" i="15" s="1" a="1"/>
  <c r="P67" i="15"/>
  <c r="M67" i="15" s="1"/>
  <c r="N67" i="15" s="1" a="1"/>
  <c r="P68" i="15"/>
  <c r="M68" i="15" s="1"/>
  <c r="N68" i="15" s="1" a="1"/>
  <c r="P69" i="15"/>
  <c r="M69" i="15" s="1"/>
  <c r="N69" i="15" s="1" a="1"/>
  <c r="P70" i="15"/>
  <c r="M70" i="15" s="1"/>
  <c r="N70" i="15" s="1" a="1"/>
  <c r="P71" i="15"/>
  <c r="M71" i="15" s="1"/>
  <c r="P72" i="15"/>
  <c r="M72" i="15" s="1"/>
  <c r="P73" i="15"/>
  <c r="M73" i="15" s="1"/>
  <c r="N73" i="15" s="1" a="1"/>
  <c r="P74" i="15"/>
  <c r="M74" i="15" s="1"/>
  <c r="N74" i="15" s="1" a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4" i="17" l="1"/>
  <c r="E43" i="17"/>
  <c r="E38" i="17"/>
  <c r="E16" i="17"/>
  <c r="E17" i="17"/>
  <c r="E34" i="17"/>
  <c r="E35" i="17"/>
  <c r="E37" i="17"/>
  <c r="E36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M28" i="32"/>
  <c r="N28" i="32" s="1" a="1"/>
  <c r="M40" i="32"/>
  <c r="N40" i="32" s="1" a="1"/>
  <c r="M52" i="32"/>
  <c r="N52" i="32" s="1" a="1"/>
  <c r="M68" i="32"/>
  <c r="N68" i="32" s="1" a="1"/>
  <c r="M18" i="32"/>
  <c r="N18" i="32" s="1" a="1"/>
  <c r="M29" i="32"/>
  <c r="N29" i="32" s="1" a="1"/>
  <c r="M41" i="32"/>
  <c r="N41" i="32" s="1" a="1"/>
  <c r="M53" i="32"/>
  <c r="N53" i="32" s="1" a="1"/>
  <c r="M67" i="32"/>
  <c r="N67" i="32" s="1" a="1"/>
  <c r="M19" i="32"/>
  <c r="N19" i="32" s="1" a="1"/>
  <c r="M30" i="32"/>
  <c r="N30" i="32" s="1" a="1"/>
  <c r="M42" i="32"/>
  <c r="N42" i="32" s="1" a="1"/>
  <c r="M54" i="32"/>
  <c r="N54" i="32" s="1" a="1"/>
  <c r="M78" i="32"/>
  <c r="N78" i="32" s="1" a="1"/>
  <c r="M66" i="32"/>
  <c r="N66" i="32" s="1" a="1"/>
  <c r="M20" i="32"/>
  <c r="N20" i="32" s="1" a="1"/>
  <c r="M31" i="32"/>
  <c r="N31" i="32" s="1" a="1"/>
  <c r="M43" i="32"/>
  <c r="N43" i="32" s="1" a="1"/>
  <c r="M55" i="32"/>
  <c r="N55" i="32" s="1" a="1"/>
  <c r="M77" i="32"/>
  <c r="N77" i="32" s="1" a="1"/>
  <c r="M65" i="32"/>
  <c r="N65" i="32" s="1" a="1"/>
  <c r="M32" i="32"/>
  <c r="N32" i="32" s="1" a="1"/>
  <c r="M44" i="32"/>
  <c r="N44" i="32" s="1" a="1"/>
  <c r="M56" i="32"/>
  <c r="N56" i="32" s="1" a="1"/>
  <c r="M76" i="32"/>
  <c r="N76" i="32" s="1" a="1"/>
  <c r="M64" i="32"/>
  <c r="N64" i="32" s="1" a="1"/>
  <c r="M12" i="32"/>
  <c r="N12" i="32" s="1" a="1"/>
  <c r="M75" i="32"/>
  <c r="N75" i="32" s="1" a="1"/>
  <c r="M63" i="32"/>
  <c r="N63" i="32" s="1" a="1"/>
  <c r="M34" i="32"/>
  <c r="N34" i="32" s="1" a="1"/>
  <c r="M46" i="32"/>
  <c r="N46" i="32" s="1" a="1"/>
  <c r="M58" i="32"/>
  <c r="N58" i="32" s="1" a="1"/>
  <c r="M74" i="32"/>
  <c r="N74" i="32" s="1" a="1"/>
  <c r="M62" i="32"/>
  <c r="N62" i="32" s="1" a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M75" i="31"/>
  <c r="N75" i="31" s="1" a="1"/>
  <c r="M63" i="31"/>
  <c r="N63" i="31" s="1" a="1"/>
  <c r="M20" i="31"/>
  <c r="N20" i="31" s="1" a="1"/>
  <c r="M42" i="31"/>
  <c r="N42" i="31" s="1" a="1"/>
  <c r="M54" i="31"/>
  <c r="N54" i="31" s="1" a="1"/>
  <c r="M74" i="31"/>
  <c r="N74" i="31" s="1" a="1"/>
  <c r="M62" i="31"/>
  <c r="N62" i="31" s="1" a="1"/>
  <c r="M71" i="31"/>
  <c r="N71" i="31" s="1" a="1"/>
  <c r="M59" i="31"/>
  <c r="N59" i="31" s="1" a="1"/>
  <c r="M31" i="31"/>
  <c r="N31" i="31" s="1" a="1"/>
  <c r="M43" i="31"/>
  <c r="N43" i="31" s="1" a="1"/>
  <c r="M55" i="31"/>
  <c r="N55" i="31" s="1" a="1"/>
  <c r="M32" i="31"/>
  <c r="N32" i="31" s="1" a="1"/>
  <c r="M44" i="31"/>
  <c r="N44" i="31" s="1" a="1"/>
  <c r="M56" i="31"/>
  <c r="N56" i="31" s="1" a="1"/>
  <c r="M14" i="31"/>
  <c r="N14" i="31" s="1" a="1"/>
  <c r="M82" i="31"/>
  <c r="N82" i="31" s="1" a="1"/>
  <c r="M70" i="31"/>
  <c r="N70" i="31" s="1" a="1"/>
  <c r="C27" i="31"/>
  <c r="D27" i="31" s="1"/>
  <c r="M26" i="31"/>
  <c r="N26" i="31" s="1" a="1"/>
  <c r="M80" i="31"/>
  <c r="N80" i="31" s="1" a="1"/>
  <c r="M68" i="31"/>
  <c r="N68" i="31" s="1" a="1"/>
  <c r="M15" i="31"/>
  <c r="N15" i="31" s="1" a="1"/>
  <c r="M27" i="31"/>
  <c r="N27" i="31" s="1" a="1"/>
  <c r="M79" i="31"/>
  <c r="N79" i="31" s="1" a="1"/>
  <c r="M67" i="31"/>
  <c r="N67" i="31" s="1" a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M64" i="16"/>
  <c r="N64" i="16" s="1" a="1"/>
  <c r="M82" i="16"/>
  <c r="N82" i="16" s="1" a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M40" i="14"/>
  <c r="N40" i="14" s="1" a="1"/>
  <c r="M44" i="14"/>
  <c r="N44" i="14" s="1" a="1"/>
  <c r="M45" i="14"/>
  <c r="N45" i="14" s="1" a="1"/>
  <c r="M55" i="14"/>
  <c r="N55" i="14" s="1" a="1"/>
  <c r="P9" i="14"/>
  <c r="M9" i="14" s="1"/>
  <c r="N9" i="14" s="1" a="1"/>
  <c r="P10" i="14"/>
  <c r="M10" i="14" s="1"/>
  <c r="N10" i="14" s="1" a="1"/>
  <c r="P11" i="14"/>
  <c r="M11" i="14" s="1"/>
  <c r="N11" i="14" s="1" a="1"/>
  <c r="P12" i="14"/>
  <c r="M12" i="14" s="1"/>
  <c r="N12" i="14" s="1" a="1"/>
  <c r="P13" i="14"/>
  <c r="M13" i="14" s="1"/>
  <c r="N13" i="14" s="1" a="1"/>
  <c r="P14" i="14"/>
  <c r="M14" i="14" s="1"/>
  <c r="N14" i="14" s="1" a="1"/>
  <c r="P15" i="14"/>
  <c r="M15" i="14" s="1"/>
  <c r="N15" i="14" s="1" a="1"/>
  <c r="P16" i="14"/>
  <c r="M16" i="14" s="1"/>
  <c r="N16" i="14" s="1" a="1"/>
  <c r="P17" i="14"/>
  <c r="M17" i="14" s="1"/>
  <c r="N17" i="14" s="1" a="1"/>
  <c r="P18" i="14"/>
  <c r="P19" i="14"/>
  <c r="M19" i="14" s="1"/>
  <c r="N19" i="14" s="1" a="1"/>
  <c r="P20" i="14"/>
  <c r="M20" i="14" s="1"/>
  <c r="N20" i="14" s="1" a="1"/>
  <c r="P21" i="14"/>
  <c r="M21" i="14" s="1"/>
  <c r="N21" i="14" s="1" a="1"/>
  <c r="P22" i="14"/>
  <c r="M22" i="14" s="1"/>
  <c r="N22" i="14" s="1" a="1"/>
  <c r="P23" i="14"/>
  <c r="M23" i="14" s="1"/>
  <c r="N23" i="14" s="1" a="1"/>
  <c r="P24" i="14"/>
  <c r="M24" i="14" s="1"/>
  <c r="N24" i="14" s="1" a="1"/>
  <c r="P25" i="14"/>
  <c r="M25" i="14" s="1"/>
  <c r="N25" i="14" s="1" a="1"/>
  <c r="P26" i="14"/>
  <c r="M26" i="14" s="1"/>
  <c r="N26" i="14" s="1" a="1"/>
  <c r="P27" i="14"/>
  <c r="M27" i="14" s="1"/>
  <c r="N27" i="14" s="1" a="1"/>
  <c r="P28" i="14"/>
  <c r="M28" i="14" s="1"/>
  <c r="N28" i="14" s="1" a="1"/>
  <c r="P29" i="14"/>
  <c r="M29" i="14" s="1"/>
  <c r="N29" i="14" s="1" a="1"/>
  <c r="P30" i="14"/>
  <c r="M30" i="14" s="1"/>
  <c r="N30" i="14" s="1" a="1"/>
  <c r="P31" i="14"/>
  <c r="M31" i="14" s="1"/>
  <c r="N31" i="14" s="1" a="1"/>
  <c r="P32" i="14"/>
  <c r="M32" i="14" s="1"/>
  <c r="N32" i="14" s="1" a="1"/>
  <c r="P33" i="14"/>
  <c r="M33" i="14" s="1"/>
  <c r="N33" i="14" s="1" a="1"/>
  <c r="P34" i="14"/>
  <c r="M34" i="14" s="1"/>
  <c r="N34" i="14" s="1" a="1"/>
  <c r="P35" i="14"/>
  <c r="M35" i="14" s="1"/>
  <c r="N35" i="14" s="1" a="1"/>
  <c r="P36" i="14"/>
  <c r="M36" i="14" s="1"/>
  <c r="N36" i="14" s="1" a="1"/>
  <c r="P37" i="14"/>
  <c r="M37" i="14" s="1"/>
  <c r="N37" i="14" s="1" a="1"/>
  <c r="P38" i="14"/>
  <c r="M38" i="14" s="1"/>
  <c r="N38" i="14" s="1" a="1"/>
  <c r="P39" i="14"/>
  <c r="M39" i="14" s="1"/>
  <c r="N39" i="14" s="1" a="1"/>
  <c r="P40" i="14"/>
  <c r="P41" i="14"/>
  <c r="M41" i="14" s="1"/>
  <c r="N41" i="14" s="1" a="1"/>
  <c r="P42" i="14"/>
  <c r="M42" i="14" s="1"/>
  <c r="N42" i="14" s="1" a="1"/>
  <c r="P43" i="14"/>
  <c r="M43" i="14" s="1"/>
  <c r="N43" i="14" s="1" a="1"/>
  <c r="P44" i="14"/>
  <c r="P45" i="14"/>
  <c r="P46" i="14"/>
  <c r="M46" i="14" s="1"/>
  <c r="N46" i="14" s="1" a="1"/>
  <c r="P47" i="14"/>
  <c r="M47" i="14" s="1"/>
  <c r="N47" i="14" s="1" a="1"/>
  <c r="P48" i="14"/>
  <c r="M48" i="14" s="1"/>
  <c r="N48" i="14" s="1" a="1"/>
  <c r="P49" i="14"/>
  <c r="M49" i="14" s="1"/>
  <c r="N49" i="14" s="1" a="1"/>
  <c r="P50" i="14"/>
  <c r="M50" i="14" s="1"/>
  <c r="N50" i="14" s="1" a="1"/>
  <c r="P51" i="14"/>
  <c r="M51" i="14" s="1"/>
  <c r="N51" i="14" s="1" a="1"/>
  <c r="P52" i="14"/>
  <c r="M52" i="14" s="1"/>
  <c r="N52" i="14" s="1" a="1"/>
  <c r="P53" i="14"/>
  <c r="M53" i="14" s="1"/>
  <c r="N53" i="14" s="1" a="1"/>
  <c r="P54" i="14"/>
  <c r="M54" i="14" s="1"/>
  <c r="N54" i="14" s="1" a="1"/>
  <c r="P55" i="14"/>
  <c r="P56" i="14"/>
  <c r="M56" i="14" s="1"/>
  <c r="N56" i="14" s="1" a="1"/>
  <c r="P57" i="14"/>
  <c r="M57" i="14" s="1"/>
  <c r="N57" i="14" s="1" a="1"/>
  <c r="P58" i="14"/>
  <c r="M58" i="14" s="1"/>
  <c r="N58" i="14" s="1" a="1"/>
  <c r="P59" i="14"/>
  <c r="M59" i="14" s="1"/>
  <c r="N59" i="14" s="1" a="1"/>
  <c r="P60" i="14"/>
  <c r="M60" i="14" s="1"/>
  <c r="N60" i="14" s="1" a="1"/>
  <c r="P61" i="14"/>
  <c r="M61" i="14" s="1"/>
  <c r="N61" i="14" s="1" a="1"/>
  <c r="P62" i="14"/>
  <c r="M62" i="14" s="1"/>
  <c r="N62" i="14" s="1" a="1"/>
  <c r="P63" i="14"/>
  <c r="M63" i="14" s="1"/>
  <c r="N63" i="14" s="1" a="1"/>
  <c r="P64" i="14"/>
  <c r="M64" i="14" s="1"/>
  <c r="N64" i="14" s="1" a="1"/>
  <c r="P65" i="14"/>
  <c r="M65" i="14" s="1"/>
  <c r="N65" i="14" s="1" a="1"/>
  <c r="P66" i="14"/>
  <c r="M66" i="14" s="1"/>
  <c r="N66" i="14" s="1" a="1"/>
  <c r="P67" i="14"/>
  <c r="M67" i="14" s="1"/>
  <c r="N67" i="14" s="1" a="1"/>
  <c r="P68" i="14"/>
  <c r="M68" i="14" s="1"/>
  <c r="N68" i="14" s="1" a="1"/>
  <c r="P69" i="14"/>
  <c r="M69" i="14" s="1"/>
  <c r="N69" i="14" s="1" a="1"/>
  <c r="P70" i="14"/>
  <c r="M70" i="14" s="1"/>
  <c r="N70" i="14" s="1" a="1"/>
  <c r="P71" i="14"/>
  <c r="M71" i="14" s="1"/>
  <c r="N71" i="14" s="1" a="1"/>
  <c r="P72" i="14"/>
  <c r="M72" i="14" s="1"/>
  <c r="N72" i="14" s="1" a="1"/>
  <c r="P73" i="14"/>
  <c r="M73" i="14" s="1"/>
  <c r="N73" i="14" s="1" a="1"/>
  <c r="P74" i="14"/>
  <c r="M74" i="14" s="1"/>
  <c r="N74" i="14" s="1" a="1"/>
  <c r="P75" i="14"/>
  <c r="M75" i="14" s="1"/>
  <c r="N75" i="14" s="1" a="1"/>
  <c r="P76" i="14"/>
  <c r="M76" i="14" s="1"/>
  <c r="N76" i="14" s="1" a="1"/>
  <c r="P77" i="14"/>
  <c r="M77" i="14" s="1"/>
  <c r="N77" i="14" s="1" a="1"/>
  <c r="P78" i="14"/>
  <c r="M78" i="14" s="1"/>
  <c r="N78" i="14" s="1" a="1"/>
  <c r="P79" i="14"/>
  <c r="M79" i="14" s="1"/>
  <c r="N79" i="14" s="1" a="1"/>
  <c r="P80" i="14"/>
  <c r="M80" i="14" s="1"/>
  <c r="N80" i="14" s="1" a="1"/>
  <c r="P81" i="14"/>
  <c r="M81" i="14" s="1"/>
  <c r="N81" i="14" s="1" a="1"/>
  <c r="P82" i="14"/>
  <c r="M82" i="14" s="1"/>
  <c r="N82" i="14" s="1" a="1"/>
  <c r="P83" i="14"/>
  <c r="M83" i="14" s="1"/>
  <c r="N83" i="14" s="1" a="1"/>
  <c r="P84" i="14"/>
  <c r="M84" i="14" s="1"/>
  <c r="N84" i="14" s="1" a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P16" i="23"/>
  <c r="M16" i="23" s="1"/>
  <c r="N16" i="23" s="1" a="1"/>
  <c r="P17" i="23"/>
  <c r="M17" i="23" s="1"/>
  <c r="N17" i="23" s="1" a="1"/>
  <c r="P18" i="23"/>
  <c r="M18" i="23" s="1"/>
  <c r="N18" i="23" s="1" a="1"/>
  <c r="P19" i="23"/>
  <c r="M19" i="23" s="1"/>
  <c r="N19" i="23" s="1" a="1"/>
  <c r="P20" i="23"/>
  <c r="M20" i="23" s="1"/>
  <c r="N20" i="23" s="1" a="1"/>
  <c r="P28" i="23"/>
  <c r="M28" i="23" s="1"/>
  <c r="N28" i="23" s="1" a="1"/>
  <c r="P30" i="23"/>
  <c r="M30" i="23" s="1"/>
  <c r="N30" i="23" s="1" a="1"/>
  <c r="P31" i="23"/>
  <c r="M31" i="23" s="1"/>
  <c r="N31" i="23" s="1" a="1"/>
  <c r="P32" i="23"/>
  <c r="M32" i="23" s="1"/>
  <c r="N32" i="23" s="1" a="1"/>
  <c r="P36" i="23"/>
  <c r="M36" i="23" s="1"/>
  <c r="N36" i="23" s="1" a="1"/>
  <c r="P39" i="23"/>
  <c r="M39" i="23" s="1"/>
  <c r="N39" i="23" s="1" a="1"/>
  <c r="P40" i="23"/>
  <c r="M40" i="23" s="1"/>
  <c r="N40" i="23" s="1" a="1"/>
  <c r="P41" i="23"/>
  <c r="M41" i="23" s="1"/>
  <c r="N41" i="23" s="1" a="1"/>
  <c r="P42" i="23"/>
  <c r="M42" i="23" s="1"/>
  <c r="N42" i="23" s="1" a="1"/>
  <c r="P43" i="23"/>
  <c r="M43" i="23" s="1"/>
  <c r="N43" i="23" s="1" a="1"/>
  <c r="P44" i="23"/>
  <c r="M44" i="23" s="1"/>
  <c r="N44" i="23" s="1" a="1"/>
  <c r="P55" i="23"/>
  <c r="M55" i="23" s="1"/>
  <c r="N55" i="23" s="1" a="1"/>
  <c r="P56" i="23"/>
  <c r="M56" i="23" s="1"/>
  <c r="N56" i="23" s="1" a="1"/>
  <c r="P24" i="23"/>
  <c r="M24" i="23" s="1"/>
  <c r="N24" i="23" s="1" a="1"/>
  <c r="P25" i="23"/>
  <c r="M25" i="23" s="1"/>
  <c r="N25" i="23" s="1" a="1"/>
  <c r="P26" i="23"/>
  <c r="M26" i="23" s="1"/>
  <c r="N26" i="23" s="1" a="1"/>
  <c r="P27" i="23"/>
  <c r="M27" i="23" s="1"/>
  <c r="N27" i="23" s="1" a="1"/>
  <c r="P49" i="23"/>
  <c r="M49" i="23" s="1"/>
  <c r="N49" i="23" s="1" a="1"/>
  <c r="P50" i="23"/>
  <c r="M50" i="23" s="1"/>
  <c r="N50" i="23" s="1" a="1"/>
  <c r="P52" i="23"/>
  <c r="M52" i="23" s="1"/>
  <c r="N52" i="23" s="1" a="1"/>
  <c r="P54" i="23"/>
  <c r="M54" i="23" s="1"/>
  <c r="N54" i="23" s="1" a="1"/>
  <c r="P38" i="23"/>
  <c r="M38" i="23" s="1"/>
  <c r="N38" i="23" s="1" a="1"/>
  <c r="P15" i="23"/>
  <c r="M15" i="23" s="1"/>
  <c r="N15" i="23" s="1" a="1"/>
  <c r="P33" i="23"/>
  <c r="M33" i="23" s="1"/>
  <c r="N33" i="23" s="1" a="1"/>
  <c r="P53" i="23"/>
  <c r="M53" i="23" s="1"/>
  <c r="N53" i="23" s="1" a="1"/>
  <c r="P48" i="23"/>
  <c r="M48" i="23" s="1"/>
  <c r="N48" i="23" s="1" a="1"/>
  <c r="P9" i="23"/>
  <c r="M9" i="23" s="1"/>
  <c r="N9" i="23" s="1" a="1"/>
  <c r="P21" i="23"/>
  <c r="M21" i="23" s="1"/>
  <c r="N21" i="23" s="1" a="1"/>
  <c r="P58" i="23"/>
  <c r="M58" i="23" s="1"/>
  <c r="N58" i="23" s="1" a="1"/>
  <c r="P34" i="23"/>
  <c r="M34" i="23" s="1"/>
  <c r="N34" i="23" s="1" a="1"/>
  <c r="P23" i="23"/>
  <c r="M23" i="23" s="1"/>
  <c r="N23" i="23" s="1" a="1"/>
  <c r="P35" i="23"/>
  <c r="M35" i="23" s="1"/>
  <c r="N35" i="23" s="1" a="1"/>
  <c r="P46" i="23"/>
  <c r="M46" i="23" s="1"/>
  <c r="N46" i="23" s="1" a="1"/>
  <c r="P22" i="23"/>
  <c r="M22" i="23" s="1"/>
  <c r="N22" i="23" s="1" a="1"/>
  <c r="P47" i="23"/>
  <c r="M47" i="23" s="1"/>
  <c r="N47" i="23" s="1" a="1"/>
  <c r="P13" i="23"/>
  <c r="M13" i="23" s="1"/>
  <c r="N13" i="23" s="1" a="1"/>
  <c r="P45" i="23"/>
  <c r="M45" i="23" s="1"/>
  <c r="N45" i="23" s="1" a="1"/>
  <c r="P59" i="23"/>
  <c r="M59" i="23" s="1"/>
  <c r="N59" i="23" s="1" a="1"/>
  <c r="P51" i="23"/>
  <c r="M51" i="23" s="1"/>
  <c r="N51" i="23" s="1" a="1"/>
  <c r="P37" i="23"/>
  <c r="M37" i="23" s="1"/>
  <c r="N37" i="23" s="1" a="1"/>
  <c r="P57" i="23"/>
  <c r="M57" i="23" s="1"/>
  <c r="N57" i="23" s="1" a="1"/>
  <c r="P11" i="23"/>
  <c r="M11" i="23" s="1"/>
  <c r="N11" i="23" s="1" a="1"/>
  <c r="P10" i="23"/>
  <c r="M10" i="23" s="1"/>
  <c r="N10" i="23" s="1" a="1"/>
  <c r="P29" i="23"/>
  <c r="M29" i="23" s="1"/>
  <c r="N29" i="23" s="1" a="1"/>
  <c r="P14" i="23"/>
  <c r="M14" i="23" s="1"/>
  <c r="N14" i="23" s="1" a="1"/>
  <c r="P14" i="21"/>
  <c r="M14" i="21" s="1"/>
  <c r="N14" i="21" s="1" a="1"/>
  <c r="P15" i="21"/>
  <c r="M15" i="21" s="1"/>
  <c r="N15" i="21" s="1" a="1"/>
  <c r="P16" i="21"/>
  <c r="M16" i="21" s="1"/>
  <c r="N16" i="21" s="1" a="1"/>
  <c r="P17" i="21"/>
  <c r="M17" i="21" s="1"/>
  <c r="N17" i="21" s="1" a="1"/>
  <c r="P18" i="21"/>
  <c r="M18" i="21" s="1"/>
  <c r="N18" i="21" s="1" a="1"/>
  <c r="P19" i="21"/>
  <c r="M19" i="21" s="1"/>
  <c r="N19" i="21" s="1" a="1"/>
  <c r="P20" i="21"/>
  <c r="M20" i="21" s="1"/>
  <c r="N20" i="21" s="1" a="1"/>
  <c r="P30" i="21"/>
  <c r="M30" i="21" s="1"/>
  <c r="N30" i="21" s="1" a="1"/>
  <c r="P32" i="21"/>
  <c r="M32" i="21" s="1"/>
  <c r="N32" i="21" s="1" a="1"/>
  <c r="P38" i="21"/>
  <c r="M38" i="21" s="1"/>
  <c r="N38" i="21" s="1" a="1"/>
  <c r="P39" i="21"/>
  <c r="M39" i="21" s="1"/>
  <c r="N39" i="21" s="1" a="1"/>
  <c r="P40" i="21"/>
  <c r="M40" i="21" s="1"/>
  <c r="N40" i="21" s="1" a="1"/>
  <c r="P41" i="21"/>
  <c r="M41" i="21" s="1"/>
  <c r="N41" i="21" s="1" a="1"/>
  <c r="P42" i="21"/>
  <c r="M42" i="21" s="1"/>
  <c r="N42" i="21" s="1" a="1"/>
  <c r="P43" i="21"/>
  <c r="M43" i="21" s="1"/>
  <c r="N43" i="21" s="1" a="1"/>
  <c r="P44" i="21"/>
  <c r="M44" i="21" s="1"/>
  <c r="N44" i="21" s="1" a="1"/>
  <c r="P48" i="21"/>
  <c r="M48" i="21" s="1"/>
  <c r="N48" i="21" s="1" a="1"/>
  <c r="P49" i="21"/>
  <c r="M49" i="21" s="1"/>
  <c r="N49" i="21" s="1" a="1"/>
  <c r="P50" i="21"/>
  <c r="M50" i="21" s="1"/>
  <c r="N50" i="21" s="1" a="1"/>
  <c r="P51" i="21"/>
  <c r="M51" i="21" s="1"/>
  <c r="N51" i="21" s="1" a="1"/>
  <c r="P53" i="21"/>
  <c r="M53" i="21" s="1"/>
  <c r="N53" i="21" s="1" a="1"/>
  <c r="P54" i="21"/>
  <c r="M54" i="21" s="1"/>
  <c r="N54" i="21" s="1" a="1"/>
  <c r="P55" i="21"/>
  <c r="M55" i="21" s="1"/>
  <c r="N55" i="21" s="1" a="1"/>
  <c r="P56" i="21"/>
  <c r="M56" i="21" s="1"/>
  <c r="N56" i="21" s="1" a="1"/>
  <c r="P64" i="21"/>
  <c r="M64" i="21" s="1"/>
  <c r="N64" i="21" s="1" a="1"/>
  <c r="P66" i="21"/>
  <c r="M66" i="21" s="1"/>
  <c r="N66" i="21" s="1" a="1"/>
  <c r="P25" i="21"/>
  <c r="M25" i="21" s="1"/>
  <c r="N25" i="21" s="1" a="1"/>
  <c r="P26" i="21"/>
  <c r="M26" i="21" s="1"/>
  <c r="N26" i="21" s="1" a="1"/>
  <c r="P28" i="21"/>
  <c r="M28" i="21" s="1"/>
  <c r="N28" i="21" s="1" a="1"/>
  <c r="P29" i="21"/>
  <c r="M29" i="21" s="1"/>
  <c r="N29" i="21" s="1" a="1"/>
  <c r="P31" i="21"/>
  <c r="M31" i="21" s="1"/>
  <c r="N31" i="21" s="1" a="1"/>
  <c r="P67" i="21"/>
  <c r="M67" i="21" s="1"/>
  <c r="N67" i="21" s="1" a="1"/>
  <c r="P68" i="21"/>
  <c r="M68" i="21" s="1"/>
  <c r="N68" i="21" s="1" a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P47" i="21"/>
  <c r="M47" i="21" s="1"/>
  <c r="N47" i="21" s="1" a="1"/>
  <c r="P57" i="21"/>
  <c r="M57" i="21" s="1"/>
  <c r="N57" i="21" s="1" a="1"/>
  <c r="P12" i="21"/>
  <c r="M12" i="21" s="1"/>
  <c r="N12" i="21" s="1" a="1"/>
  <c r="P58" i="21"/>
  <c r="M58" i="21" s="1"/>
  <c r="N58" i="21" s="1" a="1"/>
  <c r="P36" i="21"/>
  <c r="M36" i="21" s="1"/>
  <c r="N36" i="21" s="1" a="1"/>
  <c r="P10" i="21"/>
  <c r="M10" i="21" s="1"/>
  <c r="N10" i="21" s="1" a="1"/>
  <c r="P60" i="21"/>
  <c r="M60" i="21" s="1"/>
  <c r="N60" i="21" s="1" a="1"/>
  <c r="P45" i="21"/>
  <c r="M45" i="21" s="1"/>
  <c r="N45" i="21" s="1" a="1"/>
  <c r="P37" i="21"/>
  <c r="M37" i="21" s="1"/>
  <c r="N37" i="21" s="1" a="1"/>
  <c r="P9" i="21"/>
  <c r="M9" i="21" s="1"/>
  <c r="N9" i="21" s="1" a="1"/>
  <c r="P27" i="21"/>
  <c r="M27" i="21" s="1"/>
  <c r="N27" i="21" s="1" a="1"/>
  <c r="P21" i="21"/>
  <c r="M21" i="21" s="1"/>
  <c r="N21" i="21" s="1" a="1"/>
  <c r="P65" i="21"/>
  <c r="M65" i="21" s="1"/>
  <c r="N65" i="21" s="1" a="1"/>
  <c r="P59" i="21"/>
  <c r="M59" i="21" s="1"/>
  <c r="N59" i="21" s="1" a="1"/>
  <c r="P24" i="21"/>
  <c r="M24" i="21" s="1"/>
  <c r="N24" i="21" s="1" a="1"/>
  <c r="P13" i="21"/>
  <c r="M13" i="21" s="1"/>
  <c r="N13" i="21" s="1" a="1"/>
  <c r="P63" i="21"/>
  <c r="M63" i="21" s="1"/>
  <c r="N63" i="21" s="1" a="1"/>
  <c r="P22" i="21"/>
  <c r="M22" i="21" s="1"/>
  <c r="N22" i="21" s="1" a="1"/>
  <c r="P11" i="21"/>
  <c r="M11" i="21" s="1"/>
  <c r="N11" i="21" s="1" a="1"/>
  <c r="P23" i="21"/>
  <c r="M23" i="21" s="1"/>
  <c r="N23" i="21" s="1" a="1"/>
  <c r="P46" i="21"/>
  <c r="M46" i="21" s="1"/>
  <c r="N46" i="21" s="1" a="1"/>
  <c r="P52" i="21"/>
  <c r="M52" i="21" s="1"/>
  <c r="N52" i="21" s="1" a="1"/>
  <c r="P34" i="21"/>
  <c r="M34" i="21" s="1"/>
  <c r="N34" i="21" s="1" a="1"/>
  <c r="P33" i="21"/>
  <c r="M33" i="21" s="1"/>
  <c r="N33" i="21" s="1" a="1"/>
  <c r="P35" i="21"/>
  <c r="M35" i="21" s="1"/>
  <c r="N35" i="21" s="1" a="1"/>
  <c r="P62" i="21"/>
  <c r="M62" i="21" s="1"/>
  <c r="N62" i="21" s="1" a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C89" i="10"/>
  <c r="D89" i="10" s="1"/>
  <c r="P88" i="10"/>
  <c r="M88" i="10" s="1"/>
  <c r="N88" i="10" s="1" a="1"/>
  <c r="C88" i="10"/>
  <c r="D88" i="10" s="1"/>
  <c r="P87" i="10"/>
  <c r="M87" i="10" s="1"/>
  <c r="N87" i="10" s="1" a="1"/>
  <c r="C87" i="10"/>
  <c r="D87" i="10" s="1"/>
  <c r="P86" i="10"/>
  <c r="M86" i="10" s="1"/>
  <c r="N86" i="10" s="1" a="1"/>
  <c r="C86" i="10"/>
  <c r="D86" i="10" s="1"/>
  <c r="P85" i="10"/>
  <c r="M85" i="10" s="1"/>
  <c r="N85" i="10" s="1" a="1"/>
  <c r="C85" i="10"/>
  <c r="D85" i="10" s="1"/>
  <c r="P84" i="10"/>
  <c r="M84" i="10" s="1"/>
  <c r="N84" i="10" s="1" a="1"/>
  <c r="C84" i="10"/>
  <c r="D84" i="10" s="1"/>
  <c r="P83" i="10"/>
  <c r="M83" i="10"/>
  <c r="N83" i="10" s="1" a="1"/>
  <c r="C83" i="10"/>
  <c r="D83" i="10" s="1"/>
  <c r="P82" i="10"/>
  <c r="M82" i="10" s="1"/>
  <c r="N82" i="10" s="1" a="1"/>
  <c r="C82" i="10"/>
  <c r="D82" i="10" s="1"/>
  <c r="P81" i="10"/>
  <c r="M81" i="10" s="1"/>
  <c r="N81" i="10" s="1" a="1"/>
  <c r="C81" i="10"/>
  <c r="D81" i="10" s="1"/>
  <c r="P80" i="10"/>
  <c r="M80" i="10" s="1"/>
  <c r="N80" i="10" s="1" a="1"/>
  <c r="C80" i="10"/>
  <c r="D80" i="10" s="1"/>
  <c r="P79" i="10"/>
  <c r="M79" i="10" s="1"/>
  <c r="N79" i="10" s="1" a="1"/>
  <c r="C79" i="10"/>
  <c r="D79" i="10" s="1"/>
  <c r="P78" i="10"/>
  <c r="M78" i="10" s="1"/>
  <c r="N78" i="10" s="1" a="1"/>
  <c r="C78" i="10"/>
  <c r="D78" i="10" s="1"/>
  <c r="P77" i="10"/>
  <c r="M77" i="10" s="1"/>
  <c r="N77" i="10" s="1" a="1"/>
  <c r="C77" i="10"/>
  <c r="D77" i="10" s="1"/>
  <c r="P76" i="10"/>
  <c r="M76" i="10" s="1"/>
  <c r="N76" i="10" s="1" a="1"/>
  <c r="C76" i="10"/>
  <c r="D76" i="10" s="1"/>
  <c r="P75" i="10"/>
  <c r="M75" i="10" s="1"/>
  <c r="N75" i="10" s="1" a="1"/>
  <c r="C75" i="10"/>
  <c r="D75" i="10" s="1"/>
  <c r="P74" i="10"/>
  <c r="M74" i="10" s="1"/>
  <c r="N74" i="10" s="1" a="1"/>
  <c r="C74" i="10"/>
  <c r="D74" i="10" s="1"/>
  <c r="P73" i="10"/>
  <c r="M73" i="10" s="1"/>
  <c r="N73" i="10" s="1" a="1"/>
  <c r="C73" i="10"/>
  <c r="D73" i="10" s="1"/>
  <c r="P72" i="10"/>
  <c r="M72" i="10" s="1"/>
  <c r="N72" i="10" s="1" a="1"/>
  <c r="C72" i="10"/>
  <c r="D72" i="10" s="1"/>
  <c r="P71" i="10"/>
  <c r="M71" i="10" s="1"/>
  <c r="N71" i="10" s="1" a="1"/>
  <c r="C71" i="10"/>
  <c r="D71" i="10" s="1"/>
  <c r="P70" i="10"/>
  <c r="M70" i="10" s="1"/>
  <c r="N70" i="10" s="1" a="1"/>
  <c r="C70" i="10"/>
  <c r="D70" i="10" s="1"/>
  <c r="P69" i="10"/>
  <c r="M69" i="10" s="1"/>
  <c r="N69" i="10" s="1" a="1"/>
  <c r="C69" i="10"/>
  <c r="D69" i="10" s="1"/>
  <c r="P68" i="10"/>
  <c r="M68" i="10" s="1"/>
  <c r="N68" i="10" s="1" a="1"/>
  <c r="C68" i="10"/>
  <c r="D68" i="10" s="1"/>
  <c r="P67" i="10"/>
  <c r="M67" i="10" s="1"/>
  <c r="N67" i="10" s="1" a="1"/>
  <c r="C67" i="10"/>
  <c r="D67" i="10" s="1"/>
  <c r="P66" i="10"/>
  <c r="M66" i="10" s="1"/>
  <c r="N66" i="10" s="1" a="1"/>
  <c r="C66" i="10"/>
  <c r="D66" i="10" s="1"/>
  <c r="P65" i="10"/>
  <c r="M65" i="10" s="1"/>
  <c r="N65" i="10" s="1" a="1"/>
  <c r="C65" i="10"/>
  <c r="D65" i="10" s="1"/>
  <c r="P64" i="10"/>
  <c r="M64" i="10" s="1"/>
  <c r="N64" i="10" s="1" a="1"/>
  <c r="C64" i="10"/>
  <c r="D64" i="10" s="1"/>
  <c r="P63" i="10"/>
  <c r="M63" i="10" s="1"/>
  <c r="N63" i="10" s="1" a="1"/>
  <c r="C63" i="10"/>
  <c r="D63" i="10" s="1"/>
  <c r="P62" i="10"/>
  <c r="M62" i="10" s="1"/>
  <c r="N62" i="10" s="1" a="1"/>
  <c r="C62" i="10"/>
  <c r="D62" i="10" s="1"/>
  <c r="P61" i="10"/>
  <c r="M61" i="10" s="1"/>
  <c r="N61" i="10" s="1" a="1"/>
  <c r="C61" i="10"/>
  <c r="D61" i="10" s="1"/>
  <c r="P60" i="10"/>
  <c r="M60" i="10" s="1"/>
  <c r="N60" i="10" s="1" a="1"/>
  <c r="C60" i="10"/>
  <c r="D60" i="10" s="1"/>
  <c r="P59" i="10"/>
  <c r="M59" i="10" s="1"/>
  <c r="N59" i="10" s="1" a="1"/>
  <c r="C59" i="10"/>
  <c r="D59" i="10" s="1"/>
  <c r="P58" i="10"/>
  <c r="M58" i="10" s="1"/>
  <c r="N58" i="10" s="1" a="1"/>
  <c r="C58" i="10"/>
  <c r="D58" i="10" s="1"/>
  <c r="P57" i="10"/>
  <c r="M57" i="10" s="1"/>
  <c r="N57" i="10" s="1" a="1"/>
  <c r="C57" i="10"/>
  <c r="D57" i="10" s="1"/>
  <c r="P56" i="10"/>
  <c r="M56" i="10" s="1"/>
  <c r="N56" i="10" s="1" a="1"/>
  <c r="C56" i="10"/>
  <c r="D56" i="10" s="1"/>
  <c r="P55" i="10"/>
  <c r="M55" i="10" s="1"/>
  <c r="N55" i="10" s="1" a="1"/>
  <c r="C55" i="10"/>
  <c r="D55" i="10" s="1"/>
  <c r="P54" i="10"/>
  <c r="M54" i="10" s="1"/>
  <c r="N54" i="10" s="1" a="1"/>
  <c r="C54" i="10"/>
  <c r="D54" i="10" s="1"/>
  <c r="P53" i="10"/>
  <c r="M53" i="10" s="1"/>
  <c r="N53" i="10" s="1" a="1"/>
  <c r="C53" i="10"/>
  <c r="D53" i="10" s="1"/>
  <c r="P52" i="10"/>
  <c r="M52" i="10" s="1"/>
  <c r="N52" i="10" s="1" a="1"/>
  <c r="C52" i="10"/>
  <c r="D52" i="10" s="1"/>
  <c r="P51" i="10"/>
  <c r="M51" i="10"/>
  <c r="N51" i="10" s="1" a="1"/>
  <c r="C51" i="10"/>
  <c r="D51" i="10" s="1"/>
  <c r="P50" i="10"/>
  <c r="M50" i="10" s="1"/>
  <c r="N50" i="10" s="1" a="1"/>
  <c r="C50" i="10"/>
  <c r="D50" i="10" s="1"/>
  <c r="P49" i="10"/>
  <c r="M49" i="10" s="1"/>
  <c r="N49" i="10" s="1" a="1"/>
  <c r="C49" i="10"/>
  <c r="D49" i="10" s="1"/>
  <c r="P48" i="10"/>
  <c r="M48" i="10" s="1"/>
  <c r="N48" i="10" s="1" a="1"/>
  <c r="C48" i="10"/>
  <c r="D48" i="10" s="1"/>
  <c r="P47" i="10"/>
  <c r="M47" i="10" s="1"/>
  <c r="N47" i="10" s="1" a="1"/>
  <c r="C47" i="10"/>
  <c r="D47" i="10" s="1"/>
  <c r="P46" i="10"/>
  <c r="M46" i="10" s="1"/>
  <c r="N46" i="10" s="1" a="1"/>
  <c r="C46" i="10"/>
  <c r="D46" i="10" s="1"/>
  <c r="P45" i="10"/>
  <c r="M45" i="10" s="1"/>
  <c r="N45" i="10" s="1" a="1"/>
  <c r="C45" i="10"/>
  <c r="D45" i="10" s="1"/>
  <c r="P44" i="10"/>
  <c r="M44" i="10" s="1"/>
  <c r="N44" i="10" s="1" a="1"/>
  <c r="C44" i="10"/>
  <c r="D44" i="10" s="1"/>
  <c r="P43" i="10"/>
  <c r="M43" i="10" s="1"/>
  <c r="N43" i="10" s="1" a="1"/>
  <c r="C43" i="10"/>
  <c r="D43" i="10" s="1"/>
  <c r="P42" i="10"/>
  <c r="M42" i="10" s="1"/>
  <c r="N42" i="10" s="1" a="1"/>
  <c r="C42" i="10"/>
  <c r="D42" i="10" s="1"/>
  <c r="P41" i="10"/>
  <c r="M41" i="10" s="1"/>
  <c r="N41" i="10" s="1" a="1"/>
  <c r="C41" i="10"/>
  <c r="D41" i="10" s="1"/>
  <c r="P40" i="10"/>
  <c r="M40" i="10" s="1"/>
  <c r="N40" i="10" s="1" a="1"/>
  <c r="C40" i="10"/>
  <c r="D40" i="10" s="1"/>
  <c r="P39" i="10"/>
  <c r="M39" i="10" s="1"/>
  <c r="N39" i="10" s="1" a="1"/>
  <c r="C39" i="10"/>
  <c r="D39" i="10" s="1"/>
  <c r="P38" i="10"/>
  <c r="M38" i="10" s="1"/>
  <c r="N38" i="10" s="1" a="1"/>
  <c r="C38" i="10"/>
  <c r="D38" i="10" s="1"/>
  <c r="P37" i="10"/>
  <c r="M37" i="10" s="1"/>
  <c r="N37" i="10" s="1" a="1"/>
  <c r="C37" i="10"/>
  <c r="D37" i="10" s="1"/>
  <c r="P36" i="10"/>
  <c r="M36" i="10" s="1"/>
  <c r="N36" i="10" s="1" a="1"/>
  <c r="C36" i="10"/>
  <c r="D36" i="10" s="1"/>
  <c r="P35" i="10"/>
  <c r="M35" i="10" s="1"/>
  <c r="N35" i="10" s="1" a="1"/>
  <c r="C35" i="10"/>
  <c r="D35" i="10" s="1"/>
  <c r="P34" i="10"/>
  <c r="M34" i="10" s="1"/>
  <c r="N34" i="10" s="1" a="1"/>
  <c r="C34" i="10"/>
  <c r="D34" i="10" s="1"/>
  <c r="P33" i="10"/>
  <c r="M33" i="10" s="1"/>
  <c r="N33" i="10" s="1" a="1"/>
  <c r="C33" i="10"/>
  <c r="D33" i="10" s="1"/>
  <c r="P32" i="10"/>
  <c r="M32" i="10" s="1"/>
  <c r="N32" i="10" s="1" a="1"/>
  <c r="C32" i="10"/>
  <c r="D32" i="10" s="1"/>
  <c r="P31" i="10"/>
  <c r="M31" i="10" s="1"/>
  <c r="N31" i="10" s="1" a="1"/>
  <c r="C31" i="10"/>
  <c r="D31" i="10" s="1"/>
  <c r="P30" i="10"/>
  <c r="M30" i="10" s="1"/>
  <c r="N30" i="10" s="1" a="1"/>
  <c r="C30" i="10"/>
  <c r="D30" i="10" s="1"/>
  <c r="P29" i="10"/>
  <c r="M29" i="10" s="1"/>
  <c r="N29" i="10" s="1" a="1"/>
  <c r="C29" i="10"/>
  <c r="D29" i="10" s="1"/>
  <c r="P28" i="10"/>
  <c r="M28" i="10" s="1"/>
  <c r="N28" i="10" s="1" a="1"/>
  <c r="C28" i="10"/>
  <c r="D28" i="10" s="1"/>
  <c r="P27" i="10"/>
  <c r="M27" i="10" s="1"/>
  <c r="N27" i="10" s="1" a="1"/>
  <c r="C27" i="10"/>
  <c r="D27" i="10" s="1"/>
  <c r="P26" i="10"/>
  <c r="M26" i="10" s="1"/>
  <c r="N26" i="10" s="1" a="1"/>
  <c r="C26" i="10"/>
  <c r="D26" i="10" s="1"/>
  <c r="P25" i="10"/>
  <c r="M25" i="10" s="1"/>
  <c r="N25" i="10" s="1" a="1"/>
  <c r="C25" i="10"/>
  <c r="D25" i="10" s="1"/>
  <c r="P24" i="10"/>
  <c r="M24" i="10" s="1"/>
  <c r="N24" i="10" s="1" a="1"/>
  <c r="C24" i="10"/>
  <c r="D24" i="10" s="1"/>
  <c r="P23" i="10"/>
  <c r="M23" i="10" s="1"/>
  <c r="N23" i="10" s="1" a="1"/>
  <c r="C23" i="10"/>
  <c r="D23" i="10" s="1"/>
  <c r="P22" i="10"/>
  <c r="M22" i="10" s="1"/>
  <c r="N22" i="10" s="1" a="1"/>
  <c r="C22" i="10"/>
  <c r="D22" i="10" s="1"/>
  <c r="P21" i="10"/>
  <c r="M21" i="10" s="1"/>
  <c r="N21" i="10" s="1" a="1"/>
  <c r="C21" i="10"/>
  <c r="D21" i="10" s="1"/>
  <c r="P20" i="10"/>
  <c r="M20" i="10" s="1"/>
  <c r="N20" i="10" s="1" a="1"/>
  <c r="C20" i="10"/>
  <c r="D20" i="10" s="1"/>
  <c r="P19" i="10"/>
  <c r="M19" i="10" s="1"/>
  <c r="N19" i="10" s="1" a="1"/>
  <c r="C19" i="10"/>
  <c r="D19" i="10" s="1"/>
  <c r="P18" i="10"/>
  <c r="M18" i="10" s="1"/>
  <c r="N18" i="10" s="1" a="1"/>
  <c r="C18" i="10"/>
  <c r="D18" i="10" s="1"/>
  <c r="P17" i="10"/>
  <c r="M17" i="10" s="1"/>
  <c r="N17" i="10" s="1" a="1"/>
  <c r="C17" i="10"/>
  <c r="D17" i="10" s="1"/>
  <c r="BA16" i="10"/>
  <c r="BB16" i="10" s="1"/>
  <c r="P16" i="10"/>
  <c r="M16" i="10" s="1"/>
  <c r="N16" i="10" s="1" a="1"/>
  <c r="C16" i="10"/>
  <c r="D16" i="10" s="1"/>
  <c r="BA15" i="10"/>
  <c r="BB15" i="10" s="1"/>
  <c r="P15" i="10"/>
  <c r="M15" i="10" s="1"/>
  <c r="N15" i="10" s="1" a="1"/>
  <c r="C15" i="10"/>
  <c r="D15" i="10" s="1"/>
  <c r="BA14" i="10"/>
  <c r="BB14" i="10" s="1"/>
  <c r="P14" i="10"/>
  <c r="M14" i="10" s="1"/>
  <c r="N14" i="10" s="1" a="1"/>
  <c r="C14" i="10"/>
  <c r="D14" i="10" s="1"/>
  <c r="BA13" i="10"/>
  <c r="BB13" i="10" s="1"/>
  <c r="P13" i="10"/>
  <c r="M13" i="10" s="1"/>
  <c r="N13" i="10" s="1" a="1"/>
  <c r="C13" i="10"/>
  <c r="D13" i="10" s="1"/>
  <c r="BA12" i="10"/>
  <c r="BB12" i="10" s="1"/>
  <c r="P12" i="10"/>
  <c r="M12" i="10" s="1"/>
  <c r="N12" i="10" s="1" a="1"/>
  <c r="C12" i="10"/>
  <c r="D12" i="10" s="1"/>
  <c r="BA11" i="10"/>
  <c r="BB11" i="10" s="1"/>
  <c r="P11" i="10"/>
  <c r="M11" i="10"/>
  <c r="N11" i="10" s="1" a="1"/>
  <c r="C11" i="10"/>
  <c r="D11" i="10" s="1"/>
  <c r="BA10" i="10"/>
  <c r="BB10" i="10" s="1"/>
  <c r="P10" i="10"/>
  <c r="M10" i="10" s="1"/>
  <c r="N10" i="10" s="1" a="1"/>
  <c r="BA9" i="10"/>
  <c r="BB9" i="10" s="1"/>
  <c r="P9" i="10"/>
  <c r="M9" i="10" s="1"/>
  <c r="N9" i="10" s="1" a="1"/>
  <c r="P89" i="3"/>
  <c r="M89" i="3" s="1"/>
  <c r="N89" i="3" s="1" a="1"/>
  <c r="P88" i="3"/>
  <c r="M88" i="3" s="1"/>
  <c r="N88" i="3" s="1" a="1"/>
  <c r="P87" i="3"/>
  <c r="M87" i="3"/>
  <c r="N87" i="3" s="1" a="1"/>
  <c r="P86" i="3"/>
  <c r="M86" i="3"/>
  <c r="N86" i="3" s="1" a="1"/>
  <c r="P85" i="3"/>
  <c r="M85" i="3"/>
  <c r="N85" i="3" s="1" a="1"/>
  <c r="A85" i="3"/>
  <c r="C85" i="3" s="1"/>
  <c r="D85" i="3" s="1"/>
  <c r="P84" i="3"/>
  <c r="M84" i="3" s="1"/>
  <c r="N84" i="3" s="1" a="1"/>
  <c r="A84" i="3"/>
  <c r="C84" i="3" s="1"/>
  <c r="D84" i="3" s="1"/>
  <c r="P83" i="3"/>
  <c r="M83" i="3"/>
  <c r="N83" i="3" s="1" a="1"/>
  <c r="A83" i="3"/>
  <c r="C83" i="3" s="1"/>
  <c r="D83" i="3" s="1"/>
  <c r="P82" i="3"/>
  <c r="M82" i="3" s="1"/>
  <c r="N82" i="3" s="1" a="1"/>
  <c r="A82" i="3"/>
  <c r="C82" i="3" s="1"/>
  <c r="D82" i="3" s="1"/>
  <c r="P81" i="3"/>
  <c r="M81" i="3" s="1"/>
  <c r="N81" i="3" s="1" a="1"/>
  <c r="A81" i="3"/>
  <c r="C81" i="3" s="1"/>
  <c r="D81" i="3" s="1"/>
  <c r="P80" i="3"/>
  <c r="M80" i="3" s="1"/>
  <c r="N80" i="3" s="1" a="1"/>
  <c r="A80" i="3"/>
  <c r="C80" i="3" s="1"/>
  <c r="D80" i="3" s="1"/>
  <c r="P79" i="3"/>
  <c r="M79" i="3"/>
  <c r="N79" i="3" s="1" a="1"/>
  <c r="A79" i="3"/>
  <c r="C79" i="3" s="1"/>
  <c r="D79" i="3" s="1"/>
  <c r="P78" i="3"/>
  <c r="M78" i="3" s="1"/>
  <c r="N78" i="3" s="1" a="1"/>
  <c r="A78" i="3"/>
  <c r="C78" i="3" s="1"/>
  <c r="D78" i="3" s="1"/>
  <c r="P77" i="3"/>
  <c r="M77" i="3"/>
  <c r="N77" i="3" s="1" a="1"/>
  <c r="A77" i="3"/>
  <c r="C77" i="3" s="1"/>
  <c r="D77" i="3" s="1"/>
  <c r="P76" i="3"/>
  <c r="M76" i="3" s="1"/>
  <c r="N76" i="3" s="1" a="1"/>
  <c r="A76" i="3"/>
  <c r="C76" i="3" s="1"/>
  <c r="D76" i="3" s="1"/>
  <c r="P75" i="3"/>
  <c r="M75" i="3" s="1"/>
  <c r="N75" i="3" s="1" a="1"/>
  <c r="A75" i="3"/>
  <c r="C75" i="3" s="1"/>
  <c r="D75" i="3" s="1"/>
  <c r="P74" i="3"/>
  <c r="M74" i="3" s="1"/>
  <c r="N74" i="3" s="1" a="1"/>
  <c r="A74" i="3"/>
  <c r="C74" i="3" s="1"/>
  <c r="D74" i="3" s="1"/>
  <c r="P73" i="3"/>
  <c r="M73" i="3"/>
  <c r="N73" i="3" s="1" a="1"/>
  <c r="A73" i="3"/>
  <c r="C73" i="3" s="1"/>
  <c r="D73" i="3" s="1"/>
  <c r="P72" i="3"/>
  <c r="M72" i="3" s="1"/>
  <c r="N72" i="3" s="1" a="1"/>
  <c r="A72" i="3"/>
  <c r="C72" i="3" s="1"/>
  <c r="D72" i="3" s="1"/>
  <c r="P71" i="3"/>
  <c r="M71" i="3"/>
  <c r="N71" i="3" s="1" a="1"/>
  <c r="A71" i="3"/>
  <c r="C71" i="3" s="1"/>
  <c r="D71" i="3" s="1"/>
  <c r="P70" i="3"/>
  <c r="M70" i="3" s="1"/>
  <c r="N70" i="3" s="1" a="1"/>
  <c r="A70" i="3"/>
  <c r="C70" i="3" s="1"/>
  <c r="D70" i="3" s="1"/>
  <c r="P69" i="3"/>
  <c r="M69" i="3" s="1"/>
  <c r="N69" i="3" s="1" a="1"/>
  <c r="A69" i="3"/>
  <c r="C69" i="3" s="1"/>
  <c r="D69" i="3" s="1"/>
  <c r="P68" i="3"/>
  <c r="M68" i="3" s="1"/>
  <c r="N68" i="3" s="1" a="1"/>
  <c r="A68" i="3"/>
  <c r="C68" i="3" s="1"/>
  <c r="D68" i="3" s="1"/>
  <c r="P67" i="3"/>
  <c r="M67" i="3"/>
  <c r="N67" i="3" s="1" a="1"/>
  <c r="A67" i="3"/>
  <c r="C67" i="3" s="1"/>
  <c r="D67" i="3" s="1"/>
  <c r="P66" i="3"/>
  <c r="M66" i="3" s="1"/>
  <c r="N66" i="3" s="1" a="1"/>
  <c r="A66" i="3"/>
  <c r="C66" i="3" s="1"/>
  <c r="D66" i="3" s="1"/>
  <c r="P65" i="3"/>
  <c r="M65" i="3"/>
  <c r="N65" i="3" s="1" a="1"/>
  <c r="A65" i="3"/>
  <c r="C65" i="3" s="1"/>
  <c r="D65" i="3" s="1"/>
  <c r="P64" i="3"/>
  <c r="M64" i="3" s="1"/>
  <c r="N64" i="3" s="1" a="1"/>
  <c r="A64" i="3"/>
  <c r="C64" i="3" s="1"/>
  <c r="D64" i="3" s="1"/>
  <c r="P63" i="3"/>
  <c r="M63" i="3" s="1"/>
  <c r="N63" i="3" s="1" a="1"/>
  <c r="A63" i="3"/>
  <c r="C63" i="3" s="1"/>
  <c r="D63" i="3" s="1"/>
  <c r="P62" i="3"/>
  <c r="M62" i="3" s="1"/>
  <c r="N62" i="3" s="1" a="1"/>
  <c r="A62" i="3"/>
  <c r="C62" i="3" s="1"/>
  <c r="D62" i="3" s="1"/>
  <c r="P61" i="3"/>
  <c r="M61" i="3"/>
  <c r="N61" i="3" s="1" a="1"/>
  <c r="A61" i="3"/>
  <c r="C61" i="3" s="1"/>
  <c r="D61" i="3" s="1"/>
  <c r="P60" i="3"/>
  <c r="M60" i="3" s="1"/>
  <c r="N60" i="3" s="1" a="1"/>
  <c r="A60" i="3"/>
  <c r="C60" i="3" s="1"/>
  <c r="D60" i="3" s="1"/>
  <c r="P59" i="3"/>
  <c r="M59" i="3"/>
  <c r="N59" i="3" s="1" a="1"/>
  <c r="A59" i="3"/>
  <c r="C59" i="3" s="1"/>
  <c r="D59" i="3" s="1"/>
  <c r="P58" i="3"/>
  <c r="M58" i="3" s="1"/>
  <c r="N58" i="3" s="1" a="1"/>
  <c r="A58" i="3"/>
  <c r="C58" i="3" s="1"/>
  <c r="D58" i="3" s="1"/>
  <c r="P57" i="3"/>
  <c r="M57" i="3" s="1"/>
  <c r="N57" i="3" s="1" a="1"/>
  <c r="A57" i="3"/>
  <c r="C57" i="3" s="1"/>
  <c r="D57" i="3" s="1"/>
  <c r="P56" i="3"/>
  <c r="M56" i="3" s="1"/>
  <c r="N56" i="3" s="1" a="1"/>
  <c r="A56" i="3"/>
  <c r="C56" i="3" s="1"/>
  <c r="D56" i="3" s="1"/>
  <c r="P55" i="3"/>
  <c r="M55" i="3"/>
  <c r="N55" i="3" s="1" a="1"/>
  <c r="A55" i="3"/>
  <c r="C55" i="3" s="1"/>
  <c r="D55" i="3" s="1"/>
  <c r="P54" i="3"/>
  <c r="M54" i="3" s="1"/>
  <c r="N54" i="3" s="1" a="1"/>
  <c r="A54" i="3"/>
  <c r="C54" i="3" s="1"/>
  <c r="D54" i="3" s="1"/>
  <c r="P53" i="3"/>
  <c r="M53" i="3"/>
  <c r="N53" i="3" s="1" a="1"/>
  <c r="A53" i="3"/>
  <c r="C53" i="3" s="1"/>
  <c r="D53" i="3" s="1"/>
  <c r="P52" i="3"/>
  <c r="M52" i="3" s="1"/>
  <c r="N52" i="3" s="1" a="1"/>
  <c r="A52" i="3"/>
  <c r="C52" i="3" s="1"/>
  <c r="D52" i="3" s="1"/>
  <c r="P51" i="3"/>
  <c r="M51" i="3" s="1"/>
  <c r="N51" i="3" s="1" a="1"/>
  <c r="A51" i="3"/>
  <c r="C51" i="3" s="1"/>
  <c r="D51" i="3" s="1"/>
  <c r="P50" i="3"/>
  <c r="M50" i="3" s="1"/>
  <c r="N50" i="3" s="1" a="1"/>
  <c r="A50" i="3"/>
  <c r="C50" i="3" s="1"/>
  <c r="D50" i="3" s="1"/>
  <c r="P49" i="3"/>
  <c r="M49" i="3"/>
  <c r="N49" i="3" s="1" a="1"/>
  <c r="A49" i="3"/>
  <c r="C49" i="3" s="1"/>
  <c r="D49" i="3" s="1"/>
  <c r="P48" i="3"/>
  <c r="M48" i="3" s="1"/>
  <c r="N48" i="3" s="1" a="1"/>
  <c r="A48" i="3"/>
  <c r="C48" i="3" s="1"/>
  <c r="D48" i="3" s="1"/>
  <c r="P47" i="3"/>
  <c r="M47" i="3"/>
  <c r="N47" i="3" s="1" a="1"/>
  <c r="A47" i="3"/>
  <c r="C47" i="3" s="1"/>
  <c r="D47" i="3" s="1"/>
  <c r="P46" i="3"/>
  <c r="M46" i="3" s="1"/>
  <c r="N46" i="3" s="1" a="1"/>
  <c r="A46" i="3"/>
  <c r="C46" i="3" s="1"/>
  <c r="D46" i="3" s="1"/>
  <c r="P45" i="3"/>
  <c r="M45" i="3" s="1"/>
  <c r="N45" i="3" s="1" a="1"/>
  <c r="A45" i="3"/>
  <c r="C45" i="3" s="1"/>
  <c r="D45" i="3" s="1"/>
  <c r="P44" i="3"/>
  <c r="M44" i="3" s="1"/>
  <c r="N44" i="3" s="1" a="1"/>
  <c r="A44" i="3"/>
  <c r="C44" i="3" s="1"/>
  <c r="D44" i="3" s="1"/>
  <c r="P43" i="3"/>
  <c r="M43" i="3"/>
  <c r="N43" i="3" s="1" a="1"/>
  <c r="A43" i="3"/>
  <c r="C43" i="3" s="1"/>
  <c r="D43" i="3" s="1"/>
  <c r="P42" i="3"/>
  <c r="M42" i="3" s="1"/>
  <c r="N42" i="3" s="1" a="1"/>
  <c r="A42" i="3"/>
  <c r="C42" i="3" s="1"/>
  <c r="D42" i="3" s="1"/>
  <c r="P41" i="3"/>
  <c r="M41" i="3"/>
  <c r="N41" i="3" s="1" a="1"/>
  <c r="A41" i="3"/>
  <c r="C41" i="3" s="1"/>
  <c r="D41" i="3" s="1"/>
  <c r="P40" i="3"/>
  <c r="M40" i="3" s="1"/>
  <c r="N40" i="3" s="1" a="1"/>
  <c r="A40" i="3"/>
  <c r="C40" i="3" s="1"/>
  <c r="D40" i="3" s="1"/>
  <c r="P39" i="3"/>
  <c r="M39" i="3" s="1"/>
  <c r="N39" i="3" s="1" a="1"/>
  <c r="A39" i="3"/>
  <c r="C39" i="3" s="1"/>
  <c r="D39" i="3" s="1"/>
  <c r="P38" i="3"/>
  <c r="M38" i="3" s="1"/>
  <c r="N38" i="3" s="1" a="1"/>
  <c r="A38" i="3"/>
  <c r="C38" i="3" s="1"/>
  <c r="D38" i="3" s="1"/>
  <c r="P37" i="3"/>
  <c r="M37" i="3"/>
  <c r="N37" i="3" s="1" a="1"/>
  <c r="A37" i="3"/>
  <c r="C37" i="3" s="1"/>
  <c r="D37" i="3" s="1"/>
  <c r="P36" i="3"/>
  <c r="M36" i="3" s="1"/>
  <c r="N36" i="3" s="1" a="1"/>
  <c r="A36" i="3"/>
  <c r="C36" i="3" s="1"/>
  <c r="D36" i="3" s="1"/>
  <c r="P35" i="3"/>
  <c r="M35" i="3" s="1"/>
  <c r="N35" i="3" s="1" a="1"/>
  <c r="A35" i="3"/>
  <c r="C35" i="3" s="1"/>
  <c r="D35" i="3" s="1"/>
  <c r="P34" i="3"/>
  <c r="M34" i="3" s="1"/>
  <c r="N34" i="3" s="1" a="1"/>
  <c r="A34" i="3"/>
  <c r="C34" i="3" s="1"/>
  <c r="D34" i="3" s="1"/>
  <c r="P33" i="3"/>
  <c r="M33" i="3" s="1"/>
  <c r="N33" i="3" s="1" a="1"/>
  <c r="A33" i="3"/>
  <c r="C33" i="3" s="1"/>
  <c r="D33" i="3" s="1"/>
  <c r="P32" i="3"/>
  <c r="M32" i="3" s="1"/>
  <c r="N32" i="3" s="1" a="1"/>
  <c r="A32" i="3"/>
  <c r="C32" i="3" s="1"/>
  <c r="D32" i="3" s="1"/>
  <c r="P31" i="3"/>
  <c r="M31" i="3"/>
  <c r="N31" i="3" s="1" a="1"/>
  <c r="A31" i="3"/>
  <c r="C31" i="3" s="1"/>
  <c r="D31" i="3" s="1"/>
  <c r="P30" i="3"/>
  <c r="M30" i="3" s="1"/>
  <c r="N30" i="3" s="1" a="1"/>
  <c r="A30" i="3"/>
  <c r="C30" i="3" s="1"/>
  <c r="D30" i="3" s="1"/>
  <c r="P29" i="3"/>
  <c r="M29" i="3"/>
  <c r="N29" i="3" s="1" a="1"/>
  <c r="A29" i="3"/>
  <c r="C29" i="3" s="1"/>
  <c r="D29" i="3" s="1"/>
  <c r="P28" i="3"/>
  <c r="M28" i="3" s="1"/>
  <c r="N28" i="3" s="1" a="1"/>
  <c r="A28" i="3"/>
  <c r="C28" i="3" s="1"/>
  <c r="D28" i="3" s="1"/>
  <c r="P27" i="3"/>
  <c r="M27" i="3" s="1"/>
  <c r="N27" i="3" s="1" a="1"/>
  <c r="A27" i="3"/>
  <c r="C27" i="3" s="1"/>
  <c r="D27" i="3" s="1"/>
  <c r="P26" i="3"/>
  <c r="M26" i="3" s="1"/>
  <c r="N26" i="3" s="1" a="1"/>
  <c r="A26" i="3"/>
  <c r="C26" i="3" s="1"/>
  <c r="D26" i="3" s="1"/>
  <c r="P25" i="3"/>
  <c r="M25" i="3"/>
  <c r="N25" i="3" s="1" a="1"/>
  <c r="A25" i="3"/>
  <c r="C25" i="3" s="1"/>
  <c r="D25" i="3" s="1"/>
  <c r="P24" i="3"/>
  <c r="M24" i="3" s="1"/>
  <c r="N24" i="3" s="1" a="1"/>
  <c r="A24" i="3"/>
  <c r="C24" i="3" s="1"/>
  <c r="D24" i="3" s="1"/>
  <c r="P23" i="3"/>
  <c r="M23" i="3"/>
  <c r="N23" i="3" s="1" a="1"/>
  <c r="A23" i="3"/>
  <c r="C23" i="3" s="1"/>
  <c r="D23" i="3" s="1"/>
  <c r="P22" i="3"/>
  <c r="M22" i="3" s="1"/>
  <c r="N22" i="3" s="1" a="1"/>
  <c r="A22" i="3"/>
  <c r="C22" i="3" s="1"/>
  <c r="D22" i="3" s="1"/>
  <c r="P21" i="3"/>
  <c r="M21" i="3" s="1"/>
  <c r="N21" i="3" s="1" a="1"/>
  <c r="A21" i="3"/>
  <c r="C21" i="3" s="1"/>
  <c r="D21" i="3" s="1"/>
  <c r="P20" i="3"/>
  <c r="M20" i="3" s="1"/>
  <c r="N20" i="3" s="1" a="1"/>
  <c r="A20" i="3"/>
  <c r="C20" i="3" s="1"/>
  <c r="D20" i="3" s="1"/>
  <c r="P19" i="3"/>
  <c r="M19" i="3"/>
  <c r="N19" i="3" s="1" a="1"/>
  <c r="A19" i="3"/>
  <c r="C19" i="3" s="1"/>
  <c r="D19" i="3" s="1"/>
  <c r="P18" i="3"/>
  <c r="M18" i="3" s="1"/>
  <c r="N18" i="3" s="1" a="1"/>
  <c r="A18" i="3"/>
  <c r="C18" i="3" s="1"/>
  <c r="D18" i="3" s="1"/>
  <c r="P17" i="3"/>
  <c r="M17" i="3"/>
  <c r="N17" i="3" s="1" a="1"/>
  <c r="A17" i="3"/>
  <c r="C17" i="3" s="1"/>
  <c r="D17" i="3" s="1"/>
  <c r="BB16" i="3"/>
  <c r="P16" i="3"/>
  <c r="M16" i="3" s="1"/>
  <c r="N16" i="3" s="1" a="1"/>
  <c r="A16" i="3"/>
  <c r="C16" i="3" s="1"/>
  <c r="D16" i="3" s="1"/>
  <c r="BB15" i="3"/>
  <c r="P15" i="3"/>
  <c r="M15" i="3" s="1"/>
  <c r="N15" i="3" s="1" a="1"/>
  <c r="A15" i="3"/>
  <c r="C15" i="3" s="1"/>
  <c r="D15" i="3" s="1"/>
  <c r="BB14" i="3"/>
  <c r="P14" i="3"/>
  <c r="M14" i="3"/>
  <c r="N14" i="3" s="1" a="1"/>
  <c r="A14" i="3"/>
  <c r="C14" i="3" s="1"/>
  <c r="D14" i="3" s="1"/>
  <c r="BB13" i="3"/>
  <c r="P13" i="3"/>
  <c r="M13" i="3" s="1"/>
  <c r="N13" i="3" s="1" a="1"/>
  <c r="A13" i="3"/>
  <c r="C13" i="3" s="1"/>
  <c r="D13" i="3" s="1"/>
  <c r="BB12" i="3"/>
  <c r="P12" i="3"/>
  <c r="M12" i="3" s="1"/>
  <c r="N12" i="3" s="1" a="1"/>
  <c r="A12" i="3"/>
  <c r="C12" i="3" s="1"/>
  <c r="D12" i="3" s="1"/>
  <c r="BB11" i="3"/>
  <c r="P11" i="3"/>
  <c r="M11" i="3" s="1"/>
  <c r="N11" i="3" s="1" a="1"/>
  <c r="A11" i="3"/>
  <c r="C11" i="3" s="1"/>
  <c r="D11" i="3" s="1"/>
  <c r="BB10" i="3"/>
  <c r="P10" i="3"/>
  <c r="M10" i="3"/>
  <c r="N10" i="3" s="1" a="1"/>
  <c r="A10" i="3"/>
  <c r="C10" i="3" s="1"/>
  <c r="D10" i="3" s="1"/>
  <c r="BB9" i="3"/>
  <c r="P9" i="3"/>
  <c r="M9" i="3"/>
  <c r="N9" i="3" s="1" a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C83" i="11"/>
  <c r="D83" i="11" s="1"/>
  <c r="P82" i="11"/>
  <c r="M82" i="11" s="1"/>
  <c r="N82" i="11" s="1" a="1"/>
  <c r="C82" i="11"/>
  <c r="D82" i="11" s="1"/>
  <c r="P81" i="11"/>
  <c r="M81" i="11" s="1"/>
  <c r="N81" i="11" s="1" a="1"/>
  <c r="C81" i="11"/>
  <c r="D81" i="11" s="1"/>
  <c r="P80" i="11"/>
  <c r="M80" i="11" s="1"/>
  <c r="N80" i="11" s="1" a="1"/>
  <c r="C80" i="11"/>
  <c r="D80" i="11" s="1"/>
  <c r="P79" i="11"/>
  <c r="M79" i="11"/>
  <c r="N79" i="11" s="1" a="1"/>
  <c r="C79" i="11"/>
  <c r="D79" i="11" s="1"/>
  <c r="P78" i="11"/>
  <c r="M78" i="11" s="1"/>
  <c r="N78" i="11" s="1" a="1"/>
  <c r="C78" i="11"/>
  <c r="D78" i="11" s="1"/>
  <c r="P77" i="11"/>
  <c r="M77" i="11"/>
  <c r="N77" i="11" s="1" a="1"/>
  <c r="C77" i="11"/>
  <c r="D77" i="11" s="1"/>
  <c r="P76" i="11"/>
  <c r="M76" i="11" s="1"/>
  <c r="N76" i="11" s="1" a="1"/>
  <c r="C76" i="11"/>
  <c r="D76" i="11" s="1"/>
  <c r="P75" i="11"/>
  <c r="M75" i="11" s="1"/>
  <c r="N75" i="11" s="1" a="1"/>
  <c r="C75" i="11"/>
  <c r="D75" i="11" s="1"/>
  <c r="P74" i="11"/>
  <c r="M74" i="11" s="1"/>
  <c r="N74" i="11" s="1" a="1"/>
  <c r="C74" i="11"/>
  <c r="D74" i="11" s="1"/>
  <c r="P73" i="11"/>
  <c r="M73" i="11" s="1"/>
  <c r="N73" i="11" s="1" a="1"/>
  <c r="C73" i="11"/>
  <c r="D73" i="11" s="1"/>
  <c r="P72" i="11"/>
  <c r="M72" i="11" s="1"/>
  <c r="N72" i="11" s="1" a="1"/>
  <c r="C72" i="11"/>
  <c r="D72" i="11" s="1"/>
  <c r="P71" i="11"/>
  <c r="M71" i="11" s="1"/>
  <c r="N71" i="11" s="1" a="1"/>
  <c r="C71" i="11"/>
  <c r="D71" i="11" s="1"/>
  <c r="P70" i="11"/>
  <c r="M70" i="11"/>
  <c r="N70" i="11" s="1" a="1"/>
  <c r="C70" i="11"/>
  <c r="D70" i="11" s="1"/>
  <c r="P69" i="11"/>
  <c r="M69" i="11" s="1"/>
  <c r="N69" i="11" s="1" a="1"/>
  <c r="C69" i="11"/>
  <c r="D69" i="11" s="1"/>
  <c r="P68" i="11"/>
  <c r="M68" i="11"/>
  <c r="N68" i="11" s="1" a="1"/>
  <c r="C68" i="11"/>
  <c r="D68" i="11" s="1"/>
  <c r="P67" i="11"/>
  <c r="M67" i="11" s="1"/>
  <c r="N67" i="11" s="1" a="1"/>
  <c r="C67" i="11"/>
  <c r="D67" i="11" s="1"/>
  <c r="P66" i="11"/>
  <c r="M66" i="11" s="1"/>
  <c r="N66" i="11" s="1" a="1"/>
  <c r="C66" i="11"/>
  <c r="D66" i="11" s="1"/>
  <c r="P65" i="11"/>
  <c r="M65" i="11" s="1"/>
  <c r="N65" i="11" s="1" a="1"/>
  <c r="C65" i="11"/>
  <c r="D65" i="11" s="1"/>
  <c r="P64" i="11"/>
  <c r="M64" i="11" s="1"/>
  <c r="N64" i="11" s="1" a="1"/>
  <c r="C64" i="11"/>
  <c r="D64" i="11" s="1"/>
  <c r="P63" i="11"/>
  <c r="M63" i="11" s="1"/>
  <c r="N63" i="11" s="1" a="1"/>
  <c r="C63" i="11"/>
  <c r="D63" i="11" s="1"/>
  <c r="P62" i="11"/>
  <c r="M62" i="11" s="1"/>
  <c r="N62" i="11" s="1" a="1"/>
  <c r="C62" i="11"/>
  <c r="D62" i="11" s="1"/>
  <c r="P61" i="11"/>
  <c r="M61" i="11"/>
  <c r="N61" i="11" s="1" a="1"/>
  <c r="C61" i="11"/>
  <c r="D61" i="11" s="1"/>
  <c r="P60" i="11"/>
  <c r="M60" i="11" s="1"/>
  <c r="N60" i="11" s="1" a="1"/>
  <c r="C60" i="11"/>
  <c r="D60" i="11" s="1"/>
  <c r="P59" i="11"/>
  <c r="M59" i="11"/>
  <c r="N59" i="11" s="1" a="1"/>
  <c r="C59" i="11"/>
  <c r="D59" i="11" s="1"/>
  <c r="P58" i="11"/>
  <c r="M58" i="11"/>
  <c r="N58" i="11" s="1" a="1"/>
  <c r="C58" i="11"/>
  <c r="D58" i="11" s="1"/>
  <c r="P57" i="11"/>
  <c r="M57" i="11" s="1"/>
  <c r="N57" i="11" s="1" a="1"/>
  <c r="C57" i="11"/>
  <c r="D57" i="11" s="1"/>
  <c r="P56" i="11"/>
  <c r="M56" i="11"/>
  <c r="N56" i="11" s="1" a="1"/>
  <c r="C56" i="11"/>
  <c r="D56" i="11" s="1"/>
  <c r="P55" i="11"/>
  <c r="M55" i="11"/>
  <c r="N55" i="11" s="1" a="1"/>
  <c r="C55" i="11"/>
  <c r="D55" i="11" s="1"/>
  <c r="P54" i="11"/>
  <c r="M54" i="11" s="1"/>
  <c r="N54" i="11" s="1" a="1"/>
  <c r="C54" i="11"/>
  <c r="D54" i="11" s="1"/>
  <c r="P53" i="11"/>
  <c r="M53" i="11" s="1"/>
  <c r="N53" i="11" s="1" a="1"/>
  <c r="C53" i="11"/>
  <c r="D53" i="11" s="1"/>
  <c r="P52" i="11"/>
  <c r="M52" i="11" s="1"/>
  <c r="N52" i="11" s="1" a="1"/>
  <c r="C52" i="11"/>
  <c r="D52" i="11" s="1"/>
  <c r="P51" i="11"/>
  <c r="M51" i="11" s="1"/>
  <c r="N51" i="11" s="1" a="1"/>
  <c r="C51" i="11"/>
  <c r="D51" i="11" s="1"/>
  <c r="P50" i="11"/>
  <c r="M50" i="11"/>
  <c r="N50" i="11" s="1" a="1"/>
  <c r="C50" i="11"/>
  <c r="D50" i="11" s="1"/>
  <c r="P49" i="11"/>
  <c r="M49" i="11" s="1"/>
  <c r="N49" i="11" s="1" a="1"/>
  <c r="C49" i="11"/>
  <c r="D49" i="11" s="1"/>
  <c r="P48" i="11"/>
  <c r="M48" i="11" s="1"/>
  <c r="N48" i="11" s="1" a="1"/>
  <c r="C48" i="11"/>
  <c r="D48" i="11" s="1"/>
  <c r="P47" i="11"/>
  <c r="M47" i="11" s="1"/>
  <c r="N47" i="11" s="1" a="1"/>
  <c r="C47" i="11"/>
  <c r="D47" i="11" s="1"/>
  <c r="P46" i="11"/>
  <c r="M46" i="11" s="1"/>
  <c r="N46" i="11" s="1" a="1"/>
  <c r="C46" i="11"/>
  <c r="D46" i="11" s="1"/>
  <c r="P45" i="11"/>
  <c r="M45" i="11" s="1"/>
  <c r="N45" i="11" s="1" a="1"/>
  <c r="C45" i="11"/>
  <c r="D45" i="11" s="1"/>
  <c r="P44" i="11"/>
  <c r="M44" i="11" s="1"/>
  <c r="N44" i="11" s="1" a="1"/>
  <c r="C44" i="11"/>
  <c r="D44" i="11" s="1"/>
  <c r="P43" i="11"/>
  <c r="M43" i="11" s="1"/>
  <c r="N43" i="11" s="1" a="1"/>
  <c r="C43" i="11"/>
  <c r="D43" i="11" s="1"/>
  <c r="P42" i="11"/>
  <c r="M42" i="11" s="1"/>
  <c r="N42" i="11" s="1" a="1"/>
  <c r="C42" i="11"/>
  <c r="D42" i="11" s="1"/>
  <c r="P41" i="11"/>
  <c r="M41" i="11"/>
  <c r="N41" i="11" s="1" a="1"/>
  <c r="C41" i="11"/>
  <c r="D41" i="11" s="1"/>
  <c r="P40" i="11"/>
  <c r="M40" i="11" s="1"/>
  <c r="N40" i="11" s="1" a="1"/>
  <c r="C40" i="11"/>
  <c r="D40" i="11" s="1"/>
  <c r="P39" i="11"/>
  <c r="M39" i="11" s="1"/>
  <c r="N39" i="11" s="1" a="1"/>
  <c r="C39" i="11"/>
  <c r="D39" i="11" s="1"/>
  <c r="P38" i="11"/>
  <c r="M38" i="11"/>
  <c r="N38" i="11" s="1" a="1"/>
  <c r="C38" i="11"/>
  <c r="D38" i="11" s="1"/>
  <c r="P37" i="11"/>
  <c r="M37" i="11" s="1"/>
  <c r="N37" i="11" s="1" a="1"/>
  <c r="C37" i="11"/>
  <c r="D37" i="11" s="1"/>
  <c r="P36" i="11"/>
  <c r="M36" i="11" s="1"/>
  <c r="N36" i="11" s="1" a="1"/>
  <c r="C36" i="11"/>
  <c r="D36" i="11" s="1"/>
  <c r="P35" i="11"/>
  <c r="M35" i="11" s="1"/>
  <c r="N35" i="11" s="1" a="1"/>
  <c r="C35" i="11"/>
  <c r="D35" i="11" s="1"/>
  <c r="P34" i="11"/>
  <c r="M34" i="11" s="1"/>
  <c r="N34" i="11" s="1" a="1"/>
  <c r="C34" i="11"/>
  <c r="D34" i="11" s="1"/>
  <c r="P33" i="11"/>
  <c r="M33" i="11" s="1"/>
  <c r="N33" i="11" s="1" a="1"/>
  <c r="C33" i="11"/>
  <c r="D33" i="11" s="1"/>
  <c r="P32" i="11"/>
  <c r="M32" i="11" s="1"/>
  <c r="N32" i="11" s="1" a="1"/>
  <c r="C32" i="11"/>
  <c r="D32" i="11" s="1"/>
  <c r="P31" i="11"/>
  <c r="M31" i="11"/>
  <c r="N31" i="11" s="1" a="1"/>
  <c r="C31" i="11"/>
  <c r="D31" i="11" s="1"/>
  <c r="P30" i="11"/>
  <c r="M30" i="11" s="1"/>
  <c r="N30" i="11" s="1" a="1"/>
  <c r="C30" i="11"/>
  <c r="D30" i="11" s="1"/>
  <c r="P29" i="11"/>
  <c r="M29" i="11"/>
  <c r="N29" i="11" s="1" a="1"/>
  <c r="C29" i="11"/>
  <c r="D29" i="11" s="1"/>
  <c r="P28" i="11"/>
  <c r="M28" i="11" s="1"/>
  <c r="N28" i="11" s="1" a="1"/>
  <c r="C28" i="11"/>
  <c r="D28" i="11" s="1"/>
  <c r="P27" i="11"/>
  <c r="M27" i="11" s="1"/>
  <c r="N27" i="11" s="1" a="1"/>
  <c r="C27" i="11"/>
  <c r="D27" i="11" s="1"/>
  <c r="P26" i="11"/>
  <c r="M26" i="11" s="1"/>
  <c r="N26" i="11" s="1" a="1"/>
  <c r="C26" i="11"/>
  <c r="D26" i="11" s="1"/>
  <c r="P25" i="11"/>
  <c r="M25" i="11" s="1"/>
  <c r="N25" i="11" s="1" a="1"/>
  <c r="C25" i="11"/>
  <c r="D25" i="11" s="1"/>
  <c r="P24" i="11"/>
  <c r="M24" i="11" s="1"/>
  <c r="N24" i="11" s="1" a="1"/>
  <c r="C24" i="11"/>
  <c r="D24" i="11" s="1"/>
  <c r="P23" i="11"/>
  <c r="M23" i="11"/>
  <c r="N23" i="11" s="1" a="1"/>
  <c r="C23" i="11"/>
  <c r="D23" i="11" s="1"/>
  <c r="P22" i="11"/>
  <c r="M22" i="11" s="1"/>
  <c r="N22" i="11" s="1" a="1"/>
  <c r="C22" i="11"/>
  <c r="D22" i="11" s="1"/>
  <c r="P21" i="11"/>
  <c r="M21" i="11" s="1"/>
  <c r="N21" i="11" s="1" a="1"/>
  <c r="C21" i="11"/>
  <c r="D21" i="11" s="1"/>
  <c r="P20" i="11"/>
  <c r="M20" i="11"/>
  <c r="N20" i="11" s="1" a="1"/>
  <c r="C20" i="11"/>
  <c r="D20" i="11" s="1"/>
  <c r="P19" i="11"/>
  <c r="M19" i="11"/>
  <c r="N19" i="11" s="1" a="1"/>
  <c r="C19" i="11"/>
  <c r="D19" i="11" s="1"/>
  <c r="P18" i="11"/>
  <c r="M18" i="11" s="1"/>
  <c r="N18" i="11" s="1" a="1"/>
  <c r="C18" i="11"/>
  <c r="D18" i="11" s="1"/>
  <c r="P17" i="11"/>
  <c r="M17" i="11" s="1"/>
  <c r="N17" i="11" s="1" a="1"/>
  <c r="C17" i="11"/>
  <c r="D17" i="11" s="1"/>
  <c r="BB16" i="11"/>
  <c r="P16" i="11"/>
  <c r="M16" i="11"/>
  <c r="N16" i="11" s="1" a="1"/>
  <c r="C16" i="11"/>
  <c r="D16" i="11" s="1"/>
  <c r="BB15" i="11"/>
  <c r="P15" i="11"/>
  <c r="M15" i="11" s="1"/>
  <c r="N15" i="11" s="1" a="1"/>
  <c r="C15" i="11"/>
  <c r="D15" i="11" s="1"/>
  <c r="BB14" i="11"/>
  <c r="P14" i="11"/>
  <c r="M14" i="11" s="1"/>
  <c r="N14" i="11" s="1" a="1"/>
  <c r="C14" i="11"/>
  <c r="D14" i="11" s="1"/>
  <c r="BB13" i="11"/>
  <c r="P13" i="11"/>
  <c r="M13" i="11" s="1"/>
  <c r="N13" i="11" s="1" a="1"/>
  <c r="C13" i="11"/>
  <c r="D13" i="11" s="1"/>
  <c r="BB12" i="11"/>
  <c r="P12" i="11"/>
  <c r="M12" i="11" s="1"/>
  <c r="N12" i="11" s="1" a="1"/>
  <c r="C12" i="11"/>
  <c r="D12" i="11" s="1"/>
  <c r="BB11" i="11"/>
  <c r="P11" i="11"/>
  <c r="M11" i="11" s="1"/>
  <c r="N11" i="11" s="1" a="1"/>
  <c r="C11" i="11"/>
  <c r="D11" i="11" s="1"/>
  <c r="BB10" i="11"/>
  <c r="P10" i="11"/>
  <c r="M10" i="11" s="1"/>
  <c r="N10" i="11" s="1" a="1"/>
  <c r="C10" i="11"/>
  <c r="D10" i="11" s="1"/>
  <c r="BB9" i="11"/>
  <c r="P9" i="11"/>
  <c r="M9" i="11" s="1"/>
  <c r="N9" i="11" s="1" a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3" i="17" l="1" a="1"/>
  <c r="C7" i="17" a="1"/>
  <c r="D7" i="17" s="1"/>
  <c r="C54" i="17" a="1"/>
  <c r="C52" i="17" a="1"/>
  <c r="C51" i="17" a="1"/>
  <c r="C39" i="17" a="1"/>
  <c r="D39" i="17" s="1"/>
  <c r="C50" i="17" a="1"/>
  <c r="Q56" i="17" s="1"/>
  <c r="M56" i="17" s="1"/>
  <c r="N56" i="17" s="1" a="1"/>
  <c r="C57" i="36" a="1"/>
  <c r="D57" i="36" s="1"/>
  <c r="C53" i="36" a="1"/>
  <c r="D53" i="36" s="1"/>
  <c r="C54" i="36" a="1"/>
  <c r="D54" i="36" s="1"/>
  <c r="C56" i="36" a="1"/>
  <c r="D56" i="36" s="1"/>
  <c r="C55" i="36" a="1"/>
  <c r="D55" i="36" s="1"/>
  <c r="C52" i="36" a="1"/>
  <c r="D52" i="36" s="1"/>
  <c r="C38" i="17" a="1"/>
  <c r="D38" i="17" s="1"/>
  <c r="C43" i="17" a="1"/>
  <c r="D43" i="17" s="1"/>
  <c r="C42" i="17" a="1"/>
  <c r="D42" i="17" s="1"/>
  <c r="C44" i="17" a="1"/>
  <c r="D44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46" i="17" a="1"/>
  <c r="D46" i="17" s="1"/>
  <c r="C47" i="36" a="1"/>
  <c r="C46" i="36" a="1"/>
  <c r="C45" i="36" a="1"/>
  <c r="C44" i="36" a="1"/>
  <c r="C43" i="36" a="1"/>
  <c r="C42" i="36" a="1"/>
  <c r="C41" i="36" a="1"/>
  <c r="C40" i="36" a="1"/>
  <c r="Q48" i="36" s="1"/>
  <c r="M48" i="36" s="1"/>
  <c r="N48" i="36" s="1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9" i="17" a="1"/>
  <c r="C48" i="17" a="1"/>
  <c r="D48" i="17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C7" i="35" a="1"/>
  <c r="C4" i="35" a="1"/>
  <c r="C47" i="17" a="1"/>
  <c r="D47" i="17" s="1"/>
  <c r="C51" i="36" a="1"/>
  <c r="C48" i="36" a="1"/>
  <c r="C45" i="17" a="1"/>
  <c r="D45" i="17" s="1"/>
  <c r="C32" i="17" a="1"/>
  <c r="C22" i="17" a="1"/>
  <c r="C11" i="17" a="1"/>
  <c r="C28" i="17" a="1"/>
  <c r="C5" i="17" a="1"/>
  <c r="C4" i="17" a="1"/>
  <c r="C21" i="17" a="1"/>
  <c r="C17" i="17" a="1"/>
  <c r="C3" i="17" a="1"/>
  <c r="C9" i="17" a="1"/>
  <c r="C27" i="17" a="1"/>
  <c r="C10" i="17" a="1"/>
  <c r="C34" i="17" a="1"/>
  <c r="D34" i="17" s="1"/>
  <c r="C40" i="17" a="1"/>
  <c r="D40" i="17" s="1"/>
  <c r="C12" i="17" a="1"/>
  <c r="C31" i="17" a="1"/>
  <c r="C25" i="17" a="1"/>
  <c r="C13" i="17" a="1"/>
  <c r="C23" i="17" a="1"/>
  <c r="C37" i="17" a="1"/>
  <c r="D37" i="17" s="1"/>
  <c r="C36" i="17" a="1"/>
  <c r="C16" i="17" a="1"/>
  <c r="D16" i="17" s="1"/>
  <c r="C29" i="17" a="1"/>
  <c r="C18" i="17" a="1"/>
  <c r="C26" i="17" a="1"/>
  <c r="C24" i="17" a="1"/>
  <c r="C33" i="17" a="1"/>
  <c r="D33" i="17" s="1"/>
  <c r="C19" i="17" a="1"/>
  <c r="C8" i="17" a="1"/>
  <c r="C14" i="17" a="1"/>
  <c r="C15" i="17" a="1"/>
  <c r="C30" i="17" a="1"/>
  <c r="C20" i="17" a="1"/>
  <c r="AP11" i="17"/>
  <c r="AP12" i="17"/>
  <c r="AP13" i="17"/>
  <c r="AP9" i="17"/>
  <c r="AP10" i="17"/>
  <c r="C35" i="17" a="1"/>
  <c r="C6" i="17" a="1"/>
  <c r="C41" i="17" a="1"/>
  <c r="D41" i="17" s="1"/>
  <c r="E33" i="17"/>
  <c r="E32" i="17"/>
  <c r="C8" i="33"/>
  <c r="D8" i="33" s="1"/>
  <c r="C52" i="33"/>
  <c r="D52" i="33" s="1"/>
  <c r="C32" i="33"/>
  <c r="Q33" i="33" s="1"/>
  <c r="M33" i="33" s="1"/>
  <c r="N33" i="33" s="1" a="1"/>
  <c r="C46" i="33"/>
  <c r="D46" i="33" s="1"/>
  <c r="C40" i="33"/>
  <c r="Q41" i="33" s="1"/>
  <c r="M41" i="33" s="1"/>
  <c r="N41" i="33" s="1" a="1"/>
  <c r="C21" i="33"/>
  <c r="D21" i="33" s="1"/>
  <c r="C39" i="33"/>
  <c r="Q40" i="33" s="1"/>
  <c r="M40" i="33" s="1"/>
  <c r="N40" i="33" s="1" a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C50" i="33"/>
  <c r="Q51" i="33" s="1"/>
  <c r="M51" i="33" s="1"/>
  <c r="N51" i="33" s="1" a="1"/>
  <c r="C17" i="33"/>
  <c r="D17" i="33" s="1"/>
  <c r="C9" i="33"/>
  <c r="D9" i="33" s="1"/>
  <c r="C48" i="33"/>
  <c r="D48" i="33" s="1"/>
  <c r="C16" i="33"/>
  <c r="Q17" i="33" s="1"/>
  <c r="M17" i="33" s="1"/>
  <c r="N17" i="33" s="1" a="1"/>
  <c r="C29" i="33"/>
  <c r="Q30" i="33" s="1"/>
  <c r="M30" i="33" s="1"/>
  <c r="N30" i="33" s="1" a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Q35" i="33"/>
  <c r="M35" i="33" s="1"/>
  <c r="N35" i="33" s="1" a="1"/>
  <c r="Q38" i="33"/>
  <c r="M38" i="33" s="1"/>
  <c r="N38" i="33" s="1" a="1"/>
  <c r="Q56" i="33"/>
  <c r="M56" i="33" s="1"/>
  <c r="N56" i="33" s="1" a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M15" i="18"/>
  <c r="N15" i="18" s="1" a="1"/>
  <c r="M31" i="18"/>
  <c r="N31" i="18" s="1" a="1"/>
  <c r="M39" i="18"/>
  <c r="N39" i="18" s="1" a="1"/>
  <c r="M77" i="18"/>
  <c r="N77" i="18" s="1" a="1"/>
  <c r="M26" i="18"/>
  <c r="N26" i="18" s="1" a="1"/>
  <c r="M59" i="18"/>
  <c r="N59" i="18" s="1" a="1"/>
  <c r="M10" i="18"/>
  <c r="N10" i="18" s="1" a="1"/>
  <c r="M22" i="18"/>
  <c r="N22" i="18" s="1" a="1"/>
  <c r="M48" i="18"/>
  <c r="N48" i="18" s="1" a="1"/>
  <c r="M40" i="18"/>
  <c r="N40" i="18" s="1" a="1"/>
  <c r="M29" i="18"/>
  <c r="N29" i="18" s="1" a="1"/>
  <c r="M54" i="18"/>
  <c r="N54" i="18" s="1" a="1"/>
  <c r="M66" i="18"/>
  <c r="N66" i="18" s="1" a="1"/>
  <c r="M67" i="18"/>
  <c r="N67" i="18" s="1" a="1"/>
  <c r="M25" i="18"/>
  <c r="N25" i="18" s="1" a="1"/>
  <c r="M51" i="18"/>
  <c r="N51" i="18" s="1" a="1"/>
  <c r="M71" i="18"/>
  <c r="N71" i="18" s="1" a="1"/>
  <c r="M50" i="18"/>
  <c r="N50" i="18" s="1" a="1"/>
  <c r="M43" i="18"/>
  <c r="N43" i="18" s="1" a="1"/>
  <c r="M62" i="18"/>
  <c r="N62" i="18" s="1" a="1"/>
  <c r="M70" i="18"/>
  <c r="N70" i="18" s="1" a="1"/>
  <c r="M63" i="18"/>
  <c r="N63" i="18" s="1" a="1"/>
  <c r="M58" i="18"/>
  <c r="N58" i="18" s="1" a="1"/>
  <c r="M11" i="18"/>
  <c r="N11" i="18" s="1" a="1"/>
  <c r="M60" i="18"/>
  <c r="N60" i="18" s="1" a="1"/>
  <c r="M64" i="18"/>
  <c r="N64" i="18" s="1" a="1"/>
  <c r="M18" i="18"/>
  <c r="N18" i="18" s="1" a="1"/>
  <c r="M33" i="18"/>
  <c r="N33" i="18" s="1" a="1"/>
  <c r="M45" i="18"/>
  <c r="N45" i="18" s="1" a="1"/>
  <c r="M79" i="18"/>
  <c r="N79" i="18" s="1" a="1"/>
  <c r="M23" i="18"/>
  <c r="N23" i="18" s="1" a="1"/>
  <c r="M20" i="18"/>
  <c r="N20" i="18" s="1" a="1"/>
  <c r="M28" i="18"/>
  <c r="N28" i="18" s="1" a="1"/>
  <c r="M56" i="18"/>
  <c r="N56" i="18" s="1" a="1"/>
  <c r="M30" i="18"/>
  <c r="N30" i="18" s="1" a="1"/>
  <c r="M49" i="18"/>
  <c r="N49" i="18" s="1" a="1"/>
  <c r="M37" i="18"/>
  <c r="N37" i="18" s="1" a="1"/>
  <c r="M38" i="18"/>
  <c r="N38" i="18" s="1" a="1"/>
  <c r="M46" i="18"/>
  <c r="N46" i="18" s="1" a="1"/>
  <c r="M74" i="18"/>
  <c r="N74" i="18" s="1" a="1"/>
  <c r="M44" i="18"/>
  <c r="N44" i="18" s="1" a="1"/>
  <c r="M78" i="18"/>
  <c r="N78" i="18" s="1" a="1"/>
  <c r="M19" i="18"/>
  <c r="N19" i="18" s="1" a="1"/>
  <c r="M27" i="18"/>
  <c r="N27" i="18" s="1" a="1"/>
  <c r="M36" i="18"/>
  <c r="N36" i="18" s="1" a="1"/>
  <c r="M52" i="18"/>
  <c r="N52" i="18" s="1" a="1"/>
  <c r="M35" i="18"/>
  <c r="N35" i="18" s="1" a="1"/>
  <c r="M14" i="18"/>
  <c r="N14" i="18" s="1" a="1"/>
  <c r="M55" i="18"/>
  <c r="N55" i="18" s="1" a="1"/>
  <c r="M61" i="18"/>
  <c r="N61" i="18" s="1" a="1"/>
  <c r="M65" i="18"/>
  <c r="N65" i="18" s="1" a="1"/>
  <c r="M42" i="18"/>
  <c r="N42" i="18" s="1" a="1"/>
  <c r="M53" i="18"/>
  <c r="N53" i="18" s="1" a="1"/>
  <c r="M76" i="18"/>
  <c r="N76" i="18" s="1" a="1"/>
  <c r="M16" i="18"/>
  <c r="N16" i="18" s="1" a="1"/>
  <c r="M9" i="18"/>
  <c r="N9" i="18" s="1" a="1"/>
  <c r="M12" i="18"/>
  <c r="N12" i="18" s="1" a="1"/>
  <c r="M69" i="18"/>
  <c r="N69" i="18" s="1" a="1"/>
  <c r="M68" i="18"/>
  <c r="N68" i="18" s="1" a="1"/>
  <c r="M21" i="18"/>
  <c r="N21" i="18" s="1" a="1"/>
  <c r="M32" i="18"/>
  <c r="N32" i="18" s="1" a="1"/>
  <c r="M75" i="18"/>
  <c r="N75" i="18" s="1" a="1"/>
  <c r="M72" i="18"/>
  <c r="N72" i="18" s="1" a="1"/>
  <c r="M73" i="18"/>
  <c r="N73" i="18" s="1" a="1"/>
  <c r="M17" i="18"/>
  <c r="N17" i="18" s="1" a="1"/>
  <c r="M13" i="18"/>
  <c r="N13" i="18" s="1" a="1"/>
  <c r="M47" i="18"/>
  <c r="N47" i="18" s="1" a="1"/>
  <c r="M41" i="18"/>
  <c r="N41" i="18" s="1" a="1"/>
  <c r="E3" i="17"/>
  <c r="E5" i="17"/>
  <c r="E4" i="17"/>
  <c r="E31" i="17"/>
  <c r="E30" i="17"/>
  <c r="E29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3" i="17" l="1"/>
  <c r="Q54" i="17"/>
  <c r="M54" i="17" s="1"/>
  <c r="N54" i="17" s="1" a="1"/>
  <c r="D54" i="17"/>
  <c r="Q51" i="17"/>
  <c r="M51" i="17" s="1"/>
  <c r="N51" i="17" s="1" a="1"/>
  <c r="D52" i="17"/>
  <c r="Q50" i="17"/>
  <c r="M50" i="17" s="1"/>
  <c r="N50" i="17" s="1" a="1"/>
  <c r="D51" i="17"/>
  <c r="Q52" i="17"/>
  <c r="M52" i="17" s="1"/>
  <c r="N52" i="17" s="1" a="1"/>
  <c r="D49" i="17"/>
  <c r="Q55" i="17"/>
  <c r="M55" i="17" s="1"/>
  <c r="N55" i="17" s="1" a="1"/>
  <c r="Q49" i="17"/>
  <c r="M49" i="17" s="1"/>
  <c r="N49" i="17" s="1" a="1"/>
  <c r="D50" i="17"/>
  <c r="Q48" i="17"/>
  <c r="M48" i="17" s="1"/>
  <c r="N48" i="17" s="1" a="1"/>
  <c r="Q46" i="17"/>
  <c r="M46" i="17" s="1"/>
  <c r="N46" i="17" s="1" a="1"/>
  <c r="Q11" i="36"/>
  <c r="M11" i="36" s="1"/>
  <c r="N11" i="36" s="1" a="1"/>
  <c r="D47" i="36"/>
  <c r="D46" i="36"/>
  <c r="Q28" i="36"/>
  <c r="M28" i="36" s="1"/>
  <c r="N28" i="36" s="1" a="1"/>
  <c r="D45" i="36"/>
  <c r="Q30" i="36"/>
  <c r="M30" i="36" s="1"/>
  <c r="N30" i="36" s="1" a="1"/>
  <c r="D44" i="36"/>
  <c r="Q27" i="36"/>
  <c r="M27" i="36" s="1"/>
  <c r="N27" i="36" s="1" a="1"/>
  <c r="Q26" i="36"/>
  <c r="M26" i="36" s="1"/>
  <c r="N26" i="36" s="1" a="1"/>
  <c r="D43" i="36"/>
  <c r="D42" i="36"/>
  <c r="Q24" i="36"/>
  <c r="M24" i="36" s="1"/>
  <c r="N24" i="36" s="1" a="1"/>
  <c r="Q25" i="36"/>
  <c r="M25" i="36" s="1"/>
  <c r="N25" i="36" s="1" a="1"/>
  <c r="D41" i="36"/>
  <c r="Q23" i="36"/>
  <c r="M23" i="36" s="1"/>
  <c r="N23" i="36" s="1" a="1"/>
  <c r="D40" i="36"/>
  <c r="Q22" i="36"/>
  <c r="M22" i="36" s="1"/>
  <c r="N22" i="36" s="1" a="1"/>
  <c r="Q21" i="36"/>
  <c r="M21" i="36" s="1"/>
  <c r="N21" i="36" s="1" a="1"/>
  <c r="D39" i="36"/>
  <c r="D38" i="36"/>
  <c r="Q29" i="36"/>
  <c r="M29" i="36" s="1"/>
  <c r="N29" i="36" s="1" a="1"/>
  <c r="Q20" i="36"/>
  <c r="M20" i="36" s="1"/>
  <c r="N20" i="36" s="1" a="1"/>
  <c r="D37" i="36"/>
  <c r="Q32" i="36"/>
  <c r="M32" i="36" s="1"/>
  <c r="N32" i="36" s="1" a="1"/>
  <c r="D36" i="36"/>
  <c r="Q35" i="36"/>
  <c r="M35" i="36" s="1"/>
  <c r="N35" i="36" s="1" a="1"/>
  <c r="Q33" i="36"/>
  <c r="M33" i="36" s="1"/>
  <c r="N33" i="36" s="1" a="1"/>
  <c r="D35" i="36"/>
  <c r="D34" i="36"/>
  <c r="Q31" i="36"/>
  <c r="M31" i="36" s="1"/>
  <c r="N31" i="36" s="1" a="1"/>
  <c r="D33" i="36"/>
  <c r="Q34" i="36"/>
  <c r="M34" i="36" s="1"/>
  <c r="N34" i="36" s="1" a="1"/>
  <c r="Q38" i="36"/>
  <c r="M38" i="36" s="1"/>
  <c r="N38" i="36" s="1" a="1"/>
  <c r="D32" i="36"/>
  <c r="D31" i="36"/>
  <c r="Q39" i="36"/>
  <c r="M39" i="36" s="1"/>
  <c r="N39" i="36" s="1" a="1"/>
  <c r="D30" i="36"/>
  <c r="Q40" i="36"/>
  <c r="M40" i="36" s="1"/>
  <c r="N40" i="36" s="1" a="1"/>
  <c r="D29" i="36"/>
  <c r="D28" i="36"/>
  <c r="Q37" i="36"/>
  <c r="M37" i="36" s="1"/>
  <c r="N37" i="36" s="1" a="1"/>
  <c r="D27" i="36"/>
  <c r="Q36" i="36"/>
  <c r="M36" i="36" s="1"/>
  <c r="N36" i="36" s="1" a="1"/>
  <c r="Q49" i="36"/>
  <c r="M49" i="36" s="1"/>
  <c r="N49" i="36" s="1" a="1"/>
  <c r="D26" i="36"/>
  <c r="D25" i="36"/>
  <c r="D24" i="36"/>
  <c r="Q47" i="36"/>
  <c r="M47" i="36" s="1"/>
  <c r="N47" i="36" s="1" a="1"/>
  <c r="D23" i="36"/>
  <c r="D22" i="36"/>
  <c r="Q45" i="36"/>
  <c r="M45" i="36" s="1"/>
  <c r="N45" i="36" s="1" a="1"/>
  <c r="Q41" i="36"/>
  <c r="M41" i="36" s="1"/>
  <c r="N41" i="36" s="1" a="1"/>
  <c r="D21" i="36"/>
  <c r="D20" i="36"/>
  <c r="Q44" i="36"/>
  <c r="M44" i="36" s="1"/>
  <c r="N44" i="36" s="1" a="1"/>
  <c r="D19" i="36"/>
  <c r="Q43" i="36"/>
  <c r="M43" i="36" s="1"/>
  <c r="N43" i="36" s="1" a="1"/>
  <c r="Q46" i="36"/>
  <c r="M46" i="36" s="1"/>
  <c r="N46" i="36" s="1" a="1"/>
  <c r="D18" i="36"/>
  <c r="D17" i="36"/>
  <c r="Q42" i="36"/>
  <c r="M42" i="36" s="1"/>
  <c r="N42" i="36" s="1" a="1"/>
  <c r="D16" i="36"/>
  <c r="Q58" i="36"/>
  <c r="M58" i="36" s="1"/>
  <c r="N58" i="36" s="1" a="1"/>
  <c r="Q54" i="36"/>
  <c r="M54" i="36" s="1"/>
  <c r="N54" i="36" s="1" a="1"/>
  <c r="D15" i="36"/>
  <c r="D14" i="36"/>
  <c r="Q53" i="36"/>
  <c r="M53" i="36" s="1"/>
  <c r="N53" i="36" s="1" a="1"/>
  <c r="Q57" i="36"/>
  <c r="M57" i="36" s="1"/>
  <c r="N57" i="36" s="1" a="1"/>
  <c r="D13" i="36"/>
  <c r="D12" i="36"/>
  <c r="Q56" i="36"/>
  <c r="M56" i="36" s="1"/>
  <c r="N56" i="36" s="1" a="1"/>
  <c r="Q55" i="36"/>
  <c r="M55" i="36" s="1"/>
  <c r="N55" i="36" s="1" a="1"/>
  <c r="D11" i="36"/>
  <c r="D10" i="36"/>
  <c r="Q59" i="36"/>
  <c r="M59" i="36" s="1"/>
  <c r="N59" i="36" s="1" a="1"/>
  <c r="D9" i="36"/>
  <c r="Q50" i="36"/>
  <c r="M50" i="36" s="1"/>
  <c r="N50" i="36" s="1" a="1"/>
  <c r="Q51" i="36"/>
  <c r="M51" i="36" s="1"/>
  <c r="N51" i="36" s="1" a="1"/>
  <c r="D8" i="36"/>
  <c r="D7" i="36"/>
  <c r="Q52" i="36"/>
  <c r="M52" i="36" s="1"/>
  <c r="N52" i="36" s="1" a="1"/>
  <c r="Q14" i="35"/>
  <c r="M14" i="35" s="1"/>
  <c r="N14" i="35" s="1" a="1"/>
  <c r="D59" i="35"/>
  <c r="D58" i="35"/>
  <c r="Q9" i="35"/>
  <c r="M9" i="35" s="1"/>
  <c r="N9" i="35" s="1" a="1"/>
  <c r="D57" i="35"/>
  <c r="Q19" i="35"/>
  <c r="M19" i="35" s="1"/>
  <c r="N19" i="35" s="1" a="1"/>
  <c r="D56" i="35"/>
  <c r="Q10" i="35"/>
  <c r="M10" i="35" s="1"/>
  <c r="N10" i="35" s="1" a="1"/>
  <c r="D55" i="35"/>
  <c r="Q12" i="35"/>
  <c r="M12" i="35" s="1"/>
  <c r="N12" i="35" s="1" a="1"/>
  <c r="D54" i="35"/>
  <c r="Q15" i="35"/>
  <c r="M15" i="35" s="1"/>
  <c r="N15" i="35" s="1" a="1"/>
  <c r="D53" i="35"/>
  <c r="Q17" i="35"/>
  <c r="M17" i="35" s="1"/>
  <c r="N17" i="35" s="1" a="1"/>
  <c r="D52" i="35"/>
  <c r="Q13" i="35"/>
  <c r="M13" i="35" s="1"/>
  <c r="N13" i="35" s="1" a="1"/>
  <c r="D51" i="35"/>
  <c r="Q16" i="35"/>
  <c r="M16" i="35" s="1"/>
  <c r="N16" i="35" s="1" a="1"/>
  <c r="D50" i="35"/>
  <c r="Q18" i="35"/>
  <c r="M18" i="35" s="1"/>
  <c r="N18" i="35" s="1" a="1"/>
  <c r="D49" i="35"/>
  <c r="Q11" i="35"/>
  <c r="M11" i="35" s="1"/>
  <c r="N11" i="35" s="1" a="1"/>
  <c r="D48" i="35"/>
  <c r="Q28" i="35"/>
  <c r="M28" i="35" s="1"/>
  <c r="N28" i="35" s="1" a="1"/>
  <c r="D47" i="35"/>
  <c r="Q30" i="35"/>
  <c r="M30" i="35" s="1"/>
  <c r="N30" i="35" s="1" a="1"/>
  <c r="D46" i="35"/>
  <c r="Q27" i="35"/>
  <c r="M27" i="35" s="1"/>
  <c r="N27" i="35" s="1" a="1"/>
  <c r="D45" i="35"/>
  <c r="Q26" i="35"/>
  <c r="M26" i="35" s="1"/>
  <c r="N26" i="35" s="1" a="1"/>
  <c r="D44" i="35"/>
  <c r="Q24" i="35"/>
  <c r="M24" i="35" s="1"/>
  <c r="N24" i="35" s="1" a="1"/>
  <c r="D43" i="35"/>
  <c r="Q25" i="35"/>
  <c r="M25" i="35" s="1"/>
  <c r="N25" i="35" s="1" a="1"/>
  <c r="D42" i="35"/>
  <c r="Q23" i="35"/>
  <c r="M23" i="35" s="1"/>
  <c r="N23" i="35" s="1" a="1"/>
  <c r="D41" i="35"/>
  <c r="Q22" i="35"/>
  <c r="M22" i="35" s="1"/>
  <c r="N22" i="35" s="1" a="1"/>
  <c r="D40" i="35"/>
  <c r="Q21" i="35"/>
  <c r="M21" i="35" s="1"/>
  <c r="N21" i="35" s="1" a="1"/>
  <c r="D39" i="35"/>
  <c r="Q29" i="35"/>
  <c r="M29" i="35" s="1"/>
  <c r="N29" i="35" s="1" a="1"/>
  <c r="D38" i="35"/>
  <c r="Q20" i="35"/>
  <c r="M20" i="35" s="1"/>
  <c r="N20" i="35" s="1" a="1"/>
  <c r="Q52" i="35"/>
  <c r="M52" i="35" s="1"/>
  <c r="N52" i="35" s="1" a="1"/>
  <c r="D9" i="35"/>
  <c r="D8" i="35"/>
  <c r="Q53" i="35"/>
  <c r="M53" i="35" s="1"/>
  <c r="N53" i="35" s="1" a="1"/>
  <c r="Q14" i="36"/>
  <c r="M14" i="36" s="1"/>
  <c r="N14" i="36" s="1" a="1"/>
  <c r="Q9" i="36"/>
  <c r="M9" i="36" s="1"/>
  <c r="N9" i="36" s="1" a="1"/>
  <c r="Q19" i="36"/>
  <c r="M19" i="36" s="1"/>
  <c r="N19" i="36" s="1" a="1"/>
  <c r="Q10" i="36"/>
  <c r="M10" i="36" s="1"/>
  <c r="N10" i="36" s="1" a="1"/>
  <c r="Q12" i="36"/>
  <c r="M12" i="36" s="1"/>
  <c r="N12" i="36" s="1" a="1"/>
  <c r="Q15" i="36"/>
  <c r="M15" i="36" s="1"/>
  <c r="N15" i="36" s="1" a="1"/>
  <c r="D50" i="36"/>
  <c r="Q13" i="36"/>
  <c r="M13" i="36" s="1"/>
  <c r="N13" i="36" s="1" a="1"/>
  <c r="Q16" i="36"/>
  <c r="M16" i="36" s="1"/>
  <c r="N16" i="36" s="1" a="1"/>
  <c r="D49" i="36"/>
  <c r="D37" i="35"/>
  <c r="Q32" i="35"/>
  <c r="M32" i="35" s="1"/>
  <c r="N32" i="35" s="1" a="1"/>
  <c r="D36" i="35"/>
  <c r="Q35" i="35"/>
  <c r="M35" i="35" s="1"/>
  <c r="N35" i="35" s="1" a="1"/>
  <c r="D35" i="35"/>
  <c r="Q33" i="35"/>
  <c r="M33" i="35" s="1"/>
  <c r="N33" i="35" s="1" a="1"/>
  <c r="D34" i="35"/>
  <c r="Q31" i="35"/>
  <c r="M31" i="35" s="1"/>
  <c r="N31" i="35" s="1" a="1"/>
  <c r="D33" i="35"/>
  <c r="Q34" i="35"/>
  <c r="M34" i="35" s="1"/>
  <c r="N34" i="35" s="1" a="1"/>
  <c r="D32" i="35"/>
  <c r="Q39" i="35"/>
  <c r="M39" i="35" s="1"/>
  <c r="N39" i="35" s="1" a="1"/>
  <c r="D31" i="35"/>
  <c r="Q40" i="35"/>
  <c r="M40" i="35" s="1"/>
  <c r="N40" i="35" s="1" a="1"/>
  <c r="D30" i="35"/>
  <c r="Q37" i="35"/>
  <c r="M37" i="35" s="1"/>
  <c r="N37" i="35" s="1" a="1"/>
  <c r="D29" i="35"/>
  <c r="Q41" i="35"/>
  <c r="M41" i="35" s="1"/>
  <c r="N41" i="35" s="1" a="1"/>
  <c r="Q38" i="35"/>
  <c r="M38" i="35" s="1"/>
  <c r="N38" i="35" s="1" a="1"/>
  <c r="D28" i="35"/>
  <c r="D27" i="35"/>
  <c r="Q36" i="35"/>
  <c r="M36" i="35" s="1"/>
  <c r="N36" i="35" s="1" a="1"/>
  <c r="D26" i="35"/>
  <c r="Q51" i="35"/>
  <c r="M51" i="35" s="1"/>
  <c r="N51" i="35" s="1" a="1"/>
  <c r="Q50" i="35"/>
  <c r="M50" i="35" s="1"/>
  <c r="N50" i="35" s="1" a="1"/>
  <c r="D25" i="35"/>
  <c r="D24" i="35"/>
  <c r="Q49" i="35"/>
  <c r="M49" i="35" s="1"/>
  <c r="N49" i="35" s="1" a="1"/>
  <c r="Q48" i="35"/>
  <c r="M48" i="35" s="1"/>
  <c r="N48" i="35" s="1" a="1"/>
  <c r="D23" i="35"/>
  <c r="D22" i="35"/>
  <c r="Q46" i="35"/>
  <c r="M46" i="35" s="1"/>
  <c r="N46" i="35" s="1" a="1"/>
  <c r="D21" i="35"/>
  <c r="Q42" i="35"/>
  <c r="M42" i="35" s="1"/>
  <c r="N42" i="35" s="1" a="1"/>
  <c r="Q45" i="35"/>
  <c r="M45" i="35" s="1"/>
  <c r="N45" i="35" s="1" a="1"/>
  <c r="D20" i="35"/>
  <c r="D19" i="35"/>
  <c r="Q44" i="35"/>
  <c r="M44" i="35" s="1"/>
  <c r="N44" i="35" s="1" a="1"/>
  <c r="D18" i="35"/>
  <c r="Q47" i="35"/>
  <c r="M47" i="35" s="1"/>
  <c r="N47" i="35" s="1" a="1"/>
  <c r="D17" i="35"/>
  <c r="Q43" i="35"/>
  <c r="M43" i="35" s="1"/>
  <c r="N43" i="35" s="1" a="1"/>
  <c r="Q60" i="35"/>
  <c r="M60" i="35" s="1"/>
  <c r="N60" i="35" s="1" a="1"/>
  <c r="D16" i="35"/>
  <c r="D15" i="35"/>
  <c r="Q56" i="35"/>
  <c r="M56" i="35" s="1"/>
  <c r="N56" i="35" s="1" a="1"/>
  <c r="Q55" i="35"/>
  <c r="M55" i="35" s="1"/>
  <c r="N55" i="35" s="1" a="1"/>
  <c r="D14" i="35"/>
  <c r="D13" i="35"/>
  <c r="Q59" i="35"/>
  <c r="M59" i="35" s="1"/>
  <c r="N59" i="35" s="1" a="1"/>
  <c r="D12" i="35"/>
  <c r="Q58" i="35"/>
  <c r="M58" i="35" s="1"/>
  <c r="N58" i="35" s="1" a="1"/>
  <c r="Q57" i="35"/>
  <c r="M57" i="35" s="1"/>
  <c r="N57" i="35" s="1" a="1"/>
  <c r="D11" i="35"/>
  <c r="D10" i="35"/>
  <c r="Q61" i="35"/>
  <c r="M61" i="35" s="1"/>
  <c r="N61" i="35" s="1" a="1"/>
  <c r="D7" i="35"/>
  <c r="Q54" i="35"/>
  <c r="M54" i="35" s="1"/>
  <c r="N54" i="35" s="1" a="1"/>
  <c r="Q17" i="36"/>
  <c r="M17" i="36" s="1"/>
  <c r="N17" i="36" s="1" a="1"/>
  <c r="D51" i="36"/>
  <c r="D48" i="36"/>
  <c r="Q18" i="36"/>
  <c r="M18" i="36" s="1"/>
  <c r="N18" i="36" s="1" a="1"/>
  <c r="Q39" i="17"/>
  <c r="M39" i="17" s="1"/>
  <c r="N39" i="17" s="1" a="1"/>
  <c r="Q36" i="17"/>
  <c r="M36" i="17" s="1"/>
  <c r="N36" i="17" s="1" a="1"/>
  <c r="Q40" i="17"/>
  <c r="M40" i="17" s="1"/>
  <c r="N40" i="17" s="1" a="1"/>
  <c r="Q37" i="17"/>
  <c r="M37" i="17" s="1"/>
  <c r="N37" i="17" s="1" a="1"/>
  <c r="Q35" i="17"/>
  <c r="M35" i="17" s="1"/>
  <c r="N35" i="17" s="1" a="1"/>
  <c r="Q34" i="17"/>
  <c r="M34" i="17" s="1"/>
  <c r="N34" i="17" s="1" a="1"/>
  <c r="Q38" i="17"/>
  <c r="M38" i="17" s="1"/>
  <c r="N38" i="17" s="1" a="1"/>
  <c r="D17" i="17"/>
  <c r="Q41" i="17"/>
  <c r="M41" i="17" s="1"/>
  <c r="N41" i="17" s="1" a="1"/>
  <c r="Q45" i="17"/>
  <c r="M45" i="17" s="1"/>
  <c r="N45" i="17" s="1" a="1"/>
  <c r="Q47" i="17"/>
  <c r="M47" i="17" s="1"/>
  <c r="N47" i="17" s="1" a="1"/>
  <c r="Q43" i="17"/>
  <c r="M43" i="17" s="1"/>
  <c r="N43" i="17" s="1" a="1"/>
  <c r="Q44" i="17"/>
  <c r="M44" i="17" s="1"/>
  <c r="N44" i="17" s="1" a="1"/>
  <c r="Q42" i="17"/>
  <c r="M42" i="17" s="1"/>
  <c r="N42" i="17" s="1" a="1"/>
  <c r="D35" i="17"/>
  <c r="D36" i="17"/>
  <c r="D32" i="17"/>
  <c r="E28" i="17"/>
  <c r="D28" i="17"/>
  <c r="D15" i="17"/>
  <c r="E23" i="17"/>
  <c r="D23" i="17"/>
  <c r="E19" i="17"/>
  <c r="D19" i="17"/>
  <c r="E27" i="17"/>
  <c r="D27" i="17"/>
  <c r="E25" i="17"/>
  <c r="D25" i="17"/>
  <c r="E18" i="17"/>
  <c r="D18" i="17"/>
  <c r="E24" i="17"/>
  <c r="D24" i="17"/>
  <c r="E21" i="17"/>
  <c r="E20" i="17"/>
  <c r="D20" i="17"/>
  <c r="E26" i="17"/>
  <c r="D26" i="17"/>
  <c r="D13" i="17"/>
  <c r="E22" i="17"/>
  <c r="D22" i="17"/>
  <c r="D14" i="17"/>
  <c r="D10" i="17"/>
  <c r="D12" i="17"/>
  <c r="D11" i="17"/>
  <c r="D9" i="17"/>
  <c r="D8" i="17"/>
  <c r="D31" i="17"/>
  <c r="Q9" i="33"/>
  <c r="M9" i="33" s="1"/>
  <c r="N9" i="33" s="1" a="1"/>
  <c r="D39" i="33"/>
  <c r="D16" i="33"/>
  <c r="BB13" i="33"/>
  <c r="D40" i="33"/>
  <c r="BB9" i="33"/>
  <c r="Q49" i="33"/>
  <c r="M49" i="33" s="1"/>
  <c r="N49" i="33" s="1" a="1"/>
  <c r="Q14" i="33"/>
  <c r="M14" i="33" s="1"/>
  <c r="N14" i="33" s="1" a="1"/>
  <c r="Q13" i="33"/>
  <c r="M13" i="33" s="1"/>
  <c r="N13" i="33" s="1" a="1"/>
  <c r="Q58" i="33"/>
  <c r="M58" i="33" s="1"/>
  <c r="N58" i="33" s="1" a="1"/>
  <c r="Q24" i="33"/>
  <c r="M24" i="33" s="1"/>
  <c r="N24" i="33" s="1" a="1"/>
  <c r="Q29" i="33"/>
  <c r="M29" i="33" s="1"/>
  <c r="N29" i="33" s="1" a="1"/>
  <c r="D29" i="33"/>
  <c r="Q12" i="33"/>
  <c r="M12" i="33" s="1"/>
  <c r="N12" i="33" s="1" a="1"/>
  <c r="Q45" i="33"/>
  <c r="M45" i="33" s="1"/>
  <c r="N45" i="33" s="1" a="1"/>
  <c r="D50" i="33"/>
  <c r="Q11" i="33"/>
  <c r="M11" i="33" s="1"/>
  <c r="N11" i="33" s="1" a="1"/>
  <c r="Q22" i="33"/>
  <c r="M22" i="33" s="1"/>
  <c r="N22" i="33" s="1" a="1"/>
  <c r="Q34" i="33"/>
  <c r="M34" i="33" s="1"/>
  <c r="N34" i="33" s="1" a="1"/>
  <c r="Q43" i="33"/>
  <c r="M43" i="33" s="1"/>
  <c r="N43" i="33" s="1" a="1"/>
  <c r="Q27" i="33"/>
  <c r="M27" i="33" s="1"/>
  <c r="N27" i="33" s="1" a="1"/>
  <c r="Q55" i="33"/>
  <c r="M55" i="33" s="1"/>
  <c r="N55" i="33" s="1" a="1"/>
  <c r="Q26" i="33"/>
  <c r="M26" i="33" s="1"/>
  <c r="N26" i="33" s="1" a="1"/>
  <c r="Q42" i="33"/>
  <c r="M42" i="33" s="1"/>
  <c r="N42" i="33" s="1" a="1"/>
  <c r="Q20" i="33"/>
  <c r="M20" i="33" s="1"/>
  <c r="N20" i="33" s="1" a="1"/>
  <c r="D36" i="33"/>
  <c r="Q19" i="33"/>
  <c r="M19" i="33" s="1"/>
  <c r="N19" i="33" s="1" a="1"/>
  <c r="Q54" i="33"/>
  <c r="M54" i="33" s="1"/>
  <c r="N54" i="33" s="1" a="1"/>
  <c r="Q50" i="33"/>
  <c r="M50" i="33" s="1"/>
  <c r="N50" i="33" s="1" a="1"/>
  <c r="D32" i="33"/>
  <c r="Q47" i="33"/>
  <c r="M47" i="33" s="1"/>
  <c r="N47" i="33" s="1" a="1"/>
  <c r="BB11" i="33"/>
  <c r="Q18" i="33"/>
  <c r="M18" i="33" s="1"/>
  <c r="N18" i="33" s="1" a="1"/>
  <c r="Q10" i="33"/>
  <c r="M10" i="33" s="1"/>
  <c r="N10" i="33" s="1" a="1"/>
  <c r="Q15" i="33"/>
  <c r="M15" i="33" s="1"/>
  <c r="N15" i="33" s="1" a="1"/>
  <c r="Q21" i="33"/>
  <c r="M21" i="33" s="1"/>
  <c r="N21" i="33" s="1" a="1"/>
  <c r="Q25" i="33"/>
  <c r="M25" i="33" s="1"/>
  <c r="N25" i="33" s="1" a="1"/>
  <c r="Q31" i="33"/>
  <c r="M31" i="33" s="1"/>
  <c r="N31" i="33" s="1" a="1"/>
  <c r="Q28" i="33"/>
  <c r="M28" i="33" s="1"/>
  <c r="N28" i="33" s="1" a="1"/>
  <c r="Q48" i="33"/>
  <c r="M48" i="33" s="1"/>
  <c r="N48" i="33" s="1" a="1"/>
  <c r="Q32" i="33"/>
  <c r="M32" i="33" s="1"/>
  <c r="N32" i="33" s="1" a="1"/>
  <c r="Q53" i="33"/>
  <c r="M53" i="33" s="1"/>
  <c r="N53" i="33" s="1" a="1"/>
  <c r="Q16" i="33"/>
  <c r="M16" i="33" s="1"/>
  <c r="N16" i="33" s="1" a="1"/>
  <c r="BB10" i="33"/>
  <c r="Q39" i="33"/>
  <c r="M39" i="33" s="1"/>
  <c r="N39" i="33" s="1" a="1"/>
  <c r="Q36" i="33"/>
  <c r="M36" i="33" s="1"/>
  <c r="N36" i="33" s="1" a="1"/>
  <c r="BB12" i="33"/>
  <c r="Q23" i="33"/>
  <c r="M23" i="33" s="1"/>
  <c r="N23" i="33" s="1" a="1"/>
  <c r="Q57" i="33"/>
  <c r="M57" i="33" s="1"/>
  <c r="N57" i="33" s="1" a="1"/>
  <c r="Q46" i="33"/>
  <c r="M46" i="33" s="1"/>
  <c r="N46" i="33" s="1" a="1"/>
  <c r="Q44" i="33"/>
  <c r="M44" i="33" s="1"/>
  <c r="N44" i="33" s="1" a="1"/>
  <c r="Q59" i="33"/>
  <c r="M59" i="33" s="1"/>
  <c r="N59" i="33" s="1" a="1"/>
  <c r="AR11" i="17"/>
  <c r="AR9" i="17"/>
  <c r="AR10" i="17"/>
  <c r="AR13" i="17"/>
  <c r="AR12" i="17"/>
  <c r="O43" i="17" l="1"/>
  <c r="O49" i="17"/>
  <c r="O38" i="17"/>
  <c r="O48" i="17"/>
  <c r="O47" i="17"/>
  <c r="O37" i="17"/>
  <c r="O40" i="17"/>
  <c r="O44" i="17"/>
  <c r="O36" i="17"/>
  <c r="O34" i="17"/>
  <c r="O46" i="17"/>
  <c r="O42" i="17"/>
  <c r="O39" i="17"/>
  <c r="O35" i="17"/>
  <c r="O41" i="17"/>
  <c r="O45" i="17"/>
  <c r="O18" i="17"/>
  <c r="O10" i="17"/>
  <c r="O32" i="17"/>
  <c r="O31" i="17"/>
  <c r="O33" i="17"/>
  <c r="O16" i="17"/>
  <c r="O14" i="17"/>
  <c r="O11" i="17"/>
  <c r="O30" i="17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33" i="17"/>
  <c r="M33" i="17" s="1"/>
  <c r="N33" i="17" s="1" a="1"/>
  <c r="D21" i="17"/>
  <c r="D29" i="17"/>
  <c r="D30" i="17"/>
  <c r="Q25" i="17"/>
  <c r="M25" i="17" s="1"/>
  <c r="N25" i="17" s="1" a="1"/>
  <c r="Q20" i="17"/>
  <c r="M20" i="17" s="1"/>
  <c r="N20" i="17" s="1" a="1"/>
  <c r="Q22" i="17"/>
  <c r="M22" i="17" s="1"/>
  <c r="N22" i="17" s="1" a="1"/>
  <c r="Q32" i="17"/>
  <c r="M32" i="17" s="1"/>
  <c r="N32" i="17" s="1" a="1"/>
  <c r="Q10" i="17"/>
  <c r="M10" i="17" s="1"/>
  <c r="N10" i="17" s="1" a="1"/>
  <c r="Q9" i="17"/>
  <c r="M9" i="17" s="1"/>
  <c r="N9" i="17" s="1" a="1"/>
  <c r="Q21" i="17"/>
  <c r="M21" i="17" s="1"/>
  <c r="N21" i="17" s="1" a="1"/>
  <c r="Q29" i="17"/>
  <c r="M29" i="17" s="1"/>
  <c r="N29" i="17" s="1" a="1"/>
  <c r="Q28" i="17"/>
  <c r="M28" i="17" s="1"/>
  <c r="N28" i="17" s="1" a="1"/>
  <c r="Q24" i="17"/>
  <c r="M24" i="17" s="1"/>
  <c r="N24" i="17" s="1" a="1"/>
  <c r="Q14" i="17"/>
  <c r="M14" i="17" s="1"/>
  <c r="N14" i="17" s="1" a="1"/>
  <c r="Q13" i="17"/>
  <c r="M13" i="17" s="1"/>
  <c r="N13" i="17" s="1" a="1"/>
  <c r="Q17" i="17"/>
  <c r="M17" i="17" s="1"/>
  <c r="N17" i="17" s="1" a="1"/>
  <c r="Q16" i="17"/>
  <c r="M16" i="17" s="1"/>
  <c r="N16" i="17" s="1" a="1"/>
  <c r="Q12" i="17"/>
  <c r="M12" i="17" s="1"/>
  <c r="N12" i="17" s="1" a="1"/>
  <c r="Q15" i="17"/>
  <c r="M15" i="17" s="1"/>
  <c r="N15" i="17" s="1" a="1"/>
  <c r="Q27" i="17"/>
  <c r="M27" i="17" s="1"/>
  <c r="N27" i="17" s="1" a="1"/>
  <c r="Q26" i="17"/>
  <c r="M26" i="17" s="1"/>
  <c r="N26" i="17" s="1" a="1"/>
  <c r="Q23" i="17"/>
  <c r="M23" i="17" s="1"/>
  <c r="N23" i="17" s="1" a="1"/>
  <c r="Q30" i="17"/>
  <c r="M30" i="17" s="1"/>
  <c r="N30" i="17" s="1" a="1"/>
  <c r="Q31" i="17"/>
  <c r="M31" i="17" s="1"/>
  <c r="N31" i="17" s="1" a="1"/>
  <c r="Q19" i="17"/>
  <c r="M19" i="17" s="1"/>
  <c r="N19" i="17" s="1" a="1"/>
  <c r="Q18" i="17"/>
  <c r="M18" i="17" s="1"/>
  <c r="N18" i="17" s="1" a="1"/>
  <c r="Q11" i="17"/>
  <c r="M11" i="17" s="1"/>
  <c r="N11" i="17" s="1" a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<sst xmlns="http://schemas.openxmlformats.org/spreadsheetml/2006/main" count="17171" uniqueCount="649">
  <si>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</si>
  <si>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</si>
  <si>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</si>
  <si>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</si>
  <si>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</si>
  <si>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</si>
  <si>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</si>
  <si>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</si>
  <si>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</si>
  <si>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</si>
  <si>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</si>
  <si>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</si>
  <si>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</si>
  <si>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</si>
  <si>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</si>
  <si>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</si>
  <si>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</si>
  <si>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</si>
  <si>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</si>
  <si>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</si>
  <si>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</si>
  <si>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</si>
  <si>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</si>
  <si>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</si>
  <si>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</si>
  <si>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</si>
  <si>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</si>
  <si>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</si>
  <si>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</si>
  <si>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</si>
  <si>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</si>
  <si>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</si>
  <si>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</si>
  <si>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</si>
  <si>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</si>
  <si>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</si>
  <si>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</si>
  <si>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</si>
  <si>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</si>
  <si>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</si>
  <si>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</si>
  <si>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</si>
  <si>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</si>
  <si>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</si>
  <si>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</si>
  <si>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</si>
  <si>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</si>
  <si>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</si>
  <si>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</si>
  <si>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</si>
  <si>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</si>
  <si>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</si>
  <si>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</si>
  <si>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</si>
  <si>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</si>
  <si>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</si>
  <si>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</si>
  <si>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</si>
  <si>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</si>
  <si>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</si>
  <si>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</si>
  <si>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</si>
  <si>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</si>
  <si>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</si>
  <si>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</si>
  <si>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</si>
  <si>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</si>
  <si>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</si>
  <si>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</si>
  <si>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</si>
  <si>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</si>
  <si>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</si>
  <si>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</si>
  <si>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</si>
  <si>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</si>
  <si>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</si>
  <si>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</si>
  <si>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</si>
  <si>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</si>
  <si>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</si>
  <si>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</si>
  <si>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</si>
  <si>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</si>
  <si>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</si>
  <si>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</si>
  <si>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</si>
  <si>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</si>
  <si>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</si>
  <si>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</si>
  <si>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</si>
  <si>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</si>
  <si>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</si>
  <si>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</si>
  <si>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</si>
  <si>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</si>
  <si>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</si>
  <si>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</si>
  <si>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</si>
  <si>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</si>
  <si>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</si>
  <si>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</si>
  <si>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</si>
  <si>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</si>
  <si>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</si>
  <si>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</si>
  <si>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</si>
  <si>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</si>
  <si>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</si>
  <si>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</si>
  <si>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</si>
  <si>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</si>
  <si>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</si>
  <si>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</si>
  <si>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</si>
  <si>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</si>
  <si>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</si>
  <si>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</si>
  <si>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</si>
  <si>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</si>
  <si>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</si>
  <si>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</si>
  <si>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</si>
  <si>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</si>
  <si>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</si>
  <si>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</si>
  <si>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</si>
  <si>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</si>
  <si>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</si>
  <si>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</si>
  <si>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</si>
  <si>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</si>
  <si>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</si>
  <si>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</si>
  <si>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</si>
  <si>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</si>
  <si>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</si>
  <si>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</si>
  <si>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</si>
  <si>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</si>
  <si>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</si>
  <si>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</si>
  <si>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</si>
  <si>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</si>
  <si>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</si>
  <si>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</si>
  <si>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</si>
  <si>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</si>
  <si>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</si>
  <si>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</si>
  <si>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</si>
  <si>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</si>
  <si>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</si>
  <si>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</si>
  <si>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</si>
  <si>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</si>
  <si>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</si>
  <si>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</si>
  <si>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</si>
  <si>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</si>
  <si>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</si>
  <si>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</si>
  <si>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</si>
  <si>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</si>
  <si>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</si>
  <si>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</si>
  <si>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</si>
  <si>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</si>
  <si>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</si>
  <si>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</si>
  <si>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</si>
  <si>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</si>
  <si>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</si>
  <si>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</si>
  <si>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</si>
  <si>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</si>
  <si>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</si>
  <si>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</si>
  <si>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</si>
  <si>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</si>
  <si>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</si>
  <si>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</si>
  <si>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</si>
  <si>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</si>
  <si>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</si>
  <si>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</si>
  <si>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</si>
  <si>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</si>
  <si>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</si>
  <si>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</si>
  <si>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</si>
  <si>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</si>
  <si>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</si>
  <si>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</si>
  <si>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</si>
  <si>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</si>
  <si>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</si>
  <si>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</si>
  <si>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</si>
  <si>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</si>
  <si>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</si>
  <si>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</si>
  <si>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</si>
  <si>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</si>
  <si>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</si>
  <si>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</si>
  <si>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</si>
  <si>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</si>
  <si>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</si>
  <si>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</si>
  <si>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</si>
  <si>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</si>
  <si>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</si>
  <si>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</si>
  <si>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</si>
  <si>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</si>
  <si>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</si>
  <si>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</si>
  <si>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</si>
  <si>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</si>
  <si>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</si>
  <si>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</si>
  <si>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</si>
  <si>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</si>
  <si>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</si>
  <si>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</si>
  <si>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</si>
  <si>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</si>
  <si>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</si>
  <si>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</si>
  <si>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</si>
  <si>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</si>
  <si>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</si>
  <si>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</si>
  <si>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</si>
  <si>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</si>
  <si>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</si>
  <si>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</si>
  <si>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</si>
  <si>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</si>
  <si>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</si>
  <si>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</si>
  <si>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</si>
  <si>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</si>
  <si>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</si>
  <si>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</si>
  <si>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</si>
  <si>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</si>
  <si>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</si>
  <si>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</si>
  <si>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</si>
  <si>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</si>
  <si>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</si>
  <si>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</si>
  <si>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</si>
  <si>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</si>
  <si>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</si>
  <si>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</si>
  <si>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</si>
  <si>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</si>
  <si>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</si>
  <si>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</si>
  <si>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</si>
  <si>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</si>
  <si>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</si>
  <si>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</si>
  <si>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</si>
  <si>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</si>
  <si>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</si>
  <si>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</si>
  <si>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</si>
  <si>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</si>
  <si>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</si>
  <si>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</si>
  <si>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</si>
  <si>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</si>
  <si>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</si>
  <si>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</si>
  <si>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</si>
  <si>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</si>
  <si>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</si>
  <si>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</si>
  <si>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</si>
  <si>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</si>
  <si>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</si>
  <si>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</si>
  <si>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</si>
  <si>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</si>
  <si>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</si>
  <si>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</si>
  <si>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</si>
  <si>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</si>
  <si>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</si>
  <si>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</si>
  <si>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</si>
  <si>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</si>
  <si>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</si>
  <si>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</si>
  <si>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</si>
  <si>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</si>
  <si>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</si>
  <si>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</si>
  <si>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</si>
  <si>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</si>
  <si>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</si>
  <si>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</si>
  <si>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</si>
  <si>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</si>
  <si>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</si>
  <si>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</si>
  <si>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</si>
  <si>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</si>
  <si>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</si>
  <si>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</si>
  <si>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</si>
  <si>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</si>
  <si>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</si>
  <si>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</si>
  <si>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</si>
  <si>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</si>
  <si>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</si>
  <si>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</si>
  <si>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</si>
  <si>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</si>
  <si>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</si>
  <si>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</si>
  <si>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</si>
  <si>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</si>
  <si>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</si>
  <si>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</si>
  <si>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</si>
  <si>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</si>
  <si>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</si>
  <si>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</si>
  <si>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</si>
  <si>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</si>
  <si>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</si>
  <si>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</si>
  <si>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</si>
  <si>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</si>
  <si>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</si>
  <si>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</si>
  <si>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</si>
  <si>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</si>
  <si>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</si>
  <si>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</si>
  <si>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</si>
  <si>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</si>
  <si>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</si>
  <si>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</si>
  <si>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</si>
  <si>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</si>
  <si>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</si>
  <si>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</si>
  <si>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</si>
  <si>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</si>
  <si>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</si>
  <si>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</si>
  <si>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</si>
  <si>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</si>
  <si>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</si>
  <si>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</si>
  <si>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</si>
  <si>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</si>
  <si>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</si>
  <si>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</si>
  <si>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</si>
  <si>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</si>
  <si>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</si>
  <si>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</si>
  <si>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</si>
  <si>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</si>
  <si>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</si>
  <si>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</si>
  <si>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</si>
  <si>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</si>
  <si>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</si>
  <si>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</si>
  <si>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</si>
  <si>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</si>
  <si>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</si>
  <si>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</si>
  <si>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</si>
  <si>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</si>
  <si>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</si>
  <si>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</si>
  <si>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</si>
  <si>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</si>
  <si>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</si>
  <si>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</si>
  <si>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</si>
  <si>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</si>
  <si>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</si>
  <si>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</si>
  <si>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</si>
  <si>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</si>
  <si>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</si>
  <si>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</si>
  <si>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</si>
  <si>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</si>
  <si>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</si>
  <si>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</si>
  <si>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</si>
  <si>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</si>
  <si>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</si>
  <si>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</si>
  <si>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</si>
  <si>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</si>
  <si>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</si>
  <si>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</si>
  <si>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</si>
  <si>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</si>
  <si>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</si>
  <si>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</si>
  <si>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</si>
  <si>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</si>
  <si>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</si>
  <si>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</si>
  <si>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</si>
  <si>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</si>
  <si>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</si>
  <si>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</si>
  <si>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</si>
  <si>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</si>
  <si>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</si>
  <si>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</si>
  <si>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</si>
  <si>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</si>
  <si>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</si>
  <si>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</si>
  <si>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</si>
  <si>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</si>
  <si>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</si>
  <si>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</si>
  <si>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</si>
  <si>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</si>
  <si>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</si>
  <si>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</si>
  <si>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</si>
  <si>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</si>
  <si>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</si>
  <si>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</si>
  <si>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</si>
  <si>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</si>
  <si>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</si>
  <si>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</si>
  <si>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</si>
  <si>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</si>
  <si>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</si>
  <si>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</si>
  <si>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</si>
  <si>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</si>
  <si>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</si>
  <si>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</si>
  <si>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</si>
  <si>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</si>
  <si>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</si>
  <si>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</si>
  <si>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</si>
  <si>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</si>
  <si>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</si>
  <si>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</si>
  <si>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</si>
  <si>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</si>
  <si>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</si>
  <si>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</si>
  <si>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</si>
  <si>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</si>
  <si>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</si>
  <si>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</si>
  <si>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</si>
  <si>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</si>
  <si>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</si>
  <si>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</si>
  <si>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</si>
  <si>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</si>
  <si>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</si>
  <si>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</si>
  <si>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</si>
  <si>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</si>
  <si>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</si>
  <si>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</si>
  <si>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</si>
  <si>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</si>
  <si>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</si>
  <si>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</si>
  <si>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</si>
  <si>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</si>
  <si>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</si>
  <si>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</si>
  <si>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</si>
  <si>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</si>
  <si>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</si>
  <si>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</si>
  <si>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</si>
  <si>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</si>
  <si>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</si>
  <si>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</si>
  <si>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</si>
  <si>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</si>
  <si>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</si>
  <si>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</si>
  <si>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</si>
  <si>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</si>
  <si>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</si>
  <si>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</si>
  <si>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</si>
  <si>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</si>
  <si>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</si>
  <si>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</si>
  <si>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</si>
  <si>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</si>
  <si>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</si>
  <si>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</si>
  <si>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</si>
  <si>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</si>
  <si>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</si>
  <si>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</si>
  <si>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</si>
  <si>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</si>
  <si>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</si>
  <si>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</si>
  <si>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</si>
  <si>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</si>
  <si>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</si>
  <si>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</si>
  <si>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</si>
  <si>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</si>
  <si>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</si>
  <si>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</si>
  <si>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</si>
  <si>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</si>
  <si>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</si>
  <si>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</si>
  <si>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</si>
  <si>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</si>
  <si>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</si>
  <si>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</si>
  <si>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</si>
  <si>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</si>
  <si>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</si>
  <si>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</si>
  <si>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</si>
  <si>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</si>
  <si>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</si>
  <si>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</si>
  <si>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</si>
  <si>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</si>
  <si>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</si>
  <si>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</si>
  <si>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</si>
  <si>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</si>
  <si>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</si>
  <si>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</si>
  <si>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</si>
  <si>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</si>
  <si>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</si>
  <si>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</si>
  <si>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</si>
  <si>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</si>
  <si>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</si>
  <si>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</si>
  <si>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</si>
  <si>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</si>
  <si>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</si>
  <si>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</si>
  <si>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</si>
  <si>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</si>
  <si>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</si>
  <si>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</si>
  <si>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</si>
  <si>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</si>
  <si>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</si>
  <si>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</si>
  <si>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</si>
  <si>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</si>
  <si>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</si>
  <si>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</si>
  <si>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</si>
  <si>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</si>
  <si>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</si>
  <si>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</si>
  <si>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</si>
  <si>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</si>
  <si>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</si>
  <si>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</si>
  <si>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</si>
  <si>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</si>
  <si>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</si>
  <si>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</si>
  <si>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</si>
  <si>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</si>
  <si>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</si>
  <si>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</si>
  <si>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</si>
  <si>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</si>
  <si>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</si>
  <si>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</si>
  <si>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</si>
  <si>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</si>
  <si>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</si>
  <si>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</si>
  <si>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</si>
  <si>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</si>
  <si>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</si>
  <si>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</si>
  <si>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</si>
  <si>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</si>
  <si>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</si>
  <si>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</si>
  <si>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</si>
  <si>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</si>
  <si>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</si>
  <si>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</si>
  <si>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</si>
  <si>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</si>
  <si>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</si>
  <si>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</si>
  <si>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</si>
  <si>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</si>
  <si>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</si>
  <si>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</si>
  <si>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</si>
  <si>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</si>
  <si>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</si>
  <si>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</si>
  <si>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</si>
  <si>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</si>
  <si>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</si>
  <si>
    <t xml:space="preserve">PIERINA TESEN </t>
  </si>
  <si>
    <t xml:space="preserve">ERIKA VILLAR </t>
  </si>
  <si>
    <t xml:space="preserve">DANIEL ZAPATA </t>
  </si>
  <si>
    <t xml:space="preserve">ANALUCIA PONCE </t>
  </si>
  <si>
    <t>GENESIS VICUÑA</t>
  </si>
  <si>
    <t xml:space="preserve">JENY LAZARO </t>
  </si>
  <si>
    <t xml:space="preserve">MARIA TINTAYA </t>
  </si>
  <si>
    <t>GERALDINE TENORIO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</si>
  <si>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</si>
  <si>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</si>
  <si>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</si>
  <si>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</si>
  <si>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</si>
  <si>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</si>
  <si>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</si>
  <si>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URSULA CENTENO </t>
  </si>
  <si>
    <t xml:space="preserve">GERALDINE ARROYO </t>
  </si>
  <si>
    <t xml:space="preserve">KIARA CANEPA </t>
  </si>
  <si>
    <t xml:space="preserve">SARITA GARAY </t>
  </si>
  <si>
    <t xml:space="preserve">JOSELIN MONTALVO </t>
  </si>
  <si>
    <t>JENY QUIÑONES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</si>
</sst>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14" fontId="0" fillId="0" borderId="4" xfId="0" applyNumberFormat="1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3" fontId="0" fillId="0" borderId="4" xfId="0" applyNumberFormat="1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3" fontId="0" fillId="0" borderId="9" xfId="0" applyNumberFormat="1" applyFill="1" applyBorder="1" applyAlignment="1">
      <alignment horizontal="center"/>
    </xf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4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442"/>
    </tableStyle>
    <tableStyle name="Estilo de tabla dinámica 2" table="0" count="1" xr9:uid="{9E60CF16-845A-4669-9AA4-E5ACD7B8B1A8}">
      <tableStyleElement type="headerRow" dxfId="1441"/>
    </tableStyle>
    <tableStyle name="Estilo de tabla dinámica 3" table="0" count="1" xr9:uid="{A9F08836-5681-4078-A387-711930301837}">
      <tableStyleElement type="headerRow" dxfId="1440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360" tableBorderDxfId="1359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358">
      <calculatedColumnFormula>DATA_NOVIEMBRE_2024[[#This Row],[RECUPERO]]/DATA_NOVIEMBRE_2024[[#This Row],[META]]</calculatedColumnFormula>
    </tableColumn>
    <tableColumn id="2" xr3:uid="{8B46A38D-7233-499F-B1DE-FB511E519FF9}" name="CLASIFICACIÓN" dataDxfId="1357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356"/>
    <tableColumn id="1" xr3:uid="{6BE1DCAD-FFC1-41E5-BE9A-DDFCB075F86E}" name="RECUPERO" dataDxfId="1355">
      <calculatedColumnFormula>SUM(DATA_NOVIEMBRE_2024[[#This Row],[1]:[31]])</calculatedColumnFormula>
    </tableColumn>
    <tableColumn id="6" xr3:uid="{9DC6CD9E-A550-4452-954F-6EA70609499E}" name="META" dataDxfId="1354"/>
    <tableColumn id="7" xr3:uid="{253195A7-7D47-486A-80F6-796ADB20EC53}" name="ASER_" dataDxfId="1353"/>
    <tableColumn id="4" xr3:uid="{202FFDF7-B7CF-4672-95EA-680792362409}" name="1" dataDxfId="1352"/>
    <tableColumn id="8" xr3:uid="{72687A8D-B0F6-4DDB-88CE-1067530F054A}" name="2" dataDxfId="1351"/>
    <tableColumn id="9" xr3:uid="{F4E2F670-BFF9-4FD3-A0D4-C9CAB825BC0C}" name="3" dataDxfId="1350"/>
    <tableColumn id="10" xr3:uid="{DBA3AC26-F584-4CBE-8D86-75C4463192B1}" name="4" dataDxfId="1349"/>
    <tableColumn id="11" xr3:uid="{219202FB-F58A-440D-8D19-01059AA56BAB}" name="5" dataDxfId="1348"/>
    <tableColumn id="12" xr3:uid="{2AF7B6E4-01F3-401E-BF95-3CFAB27577BC}" name="6" dataDxfId="1347"/>
    <tableColumn id="13" xr3:uid="{24CA335A-580E-4429-A4F8-DFAB61DD23F8}" name="7" dataDxfId="1346"/>
    <tableColumn id="14" xr3:uid="{4A96EC6B-C7D3-4A7F-8B4B-F3D8AF9FE594}" name="8" dataDxfId="1345"/>
    <tableColumn id="15" xr3:uid="{BA9F52F9-841F-49D0-AFFC-4D571D566DE4}" name="9" dataDxfId="1344"/>
    <tableColumn id="16" xr3:uid="{409BE12D-B77E-48C5-951D-B87CB101AD44}" name="10" dataDxfId="1343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42"/>
    <tableColumn id="18" xr3:uid="{517449FB-ABB0-4312-822F-083501FE4456}" name="23" dataDxfId="1341"/>
    <tableColumn id="19" xr3:uid="{F22CE4E7-E04E-47AF-97E3-BEAFF6BC2F5E}" name="24" dataDxfId="1340"/>
    <tableColumn id="20" xr3:uid="{FE9C6881-7986-46E5-B896-D446A4BEF596}" name="25" dataDxfId="1339"/>
    <tableColumn id="21" xr3:uid="{32A09EFC-675D-4983-B360-4DBEAB2EE4FA}" name="26" dataDxfId="1338"/>
    <tableColumn id="22" xr3:uid="{02F89659-315D-4DE1-BE9C-A8C4FBB65511}" name="27" dataDxfId="1337"/>
    <tableColumn id="23" xr3:uid="{E556EC76-1435-4562-B8FF-767920C873C4}" name="28" dataDxfId="1336"/>
    <tableColumn id="24" xr3:uid="{E42123DE-6B43-4653-BF5B-323243D5FCAD}" name="29" dataDxfId="1335"/>
    <tableColumn id="25" xr3:uid="{71D65AF5-510E-457D-B0E2-F9582E783D67}" name="30" dataDxfId="1334"/>
    <tableColumn id="26" xr3:uid="{3E966EE9-5B51-4732-8107-B252301503A4}" name="31" dataDxfId="1333"/>
    <tableColumn id="27" xr3:uid="{6F804D29-D57D-4925-9B25-DD58FD9CD4C1}" name="CARTERA ASESOR" dataDxfId="133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31">
  <autoFilter ref="A2:K72" xr:uid="{AEA51657-9DFD-4518-856A-D830285E4602}"/>
  <tableColumns count="11">
    <tableColumn id="1" xr3:uid="{471651EC-762A-4439-9E09-36CE7484C7DB}" name="SUPER" dataDxfId="1330"/>
    <tableColumn id="2" xr3:uid="{85C17B1E-7CF3-4112-8B36-78A801EE3005}" name="ASESOR_CRR" dataDxfId="1329">
      <calculatedColumnFormula>D1_NOVIEMBRE_2024[[#This Row],[ASESOR]]</calculatedColumnFormula>
    </tableColumn>
    <tableColumn id="5" xr3:uid="{0BDBF623-DEA9-4A29-8D28-4030A786FE51}" name="META" dataDxfId="1328">
      <calculatedColumnFormula>VLOOKUP(D1_NOVIEMBRE_2024[[#This Row],[SUPER]],DATA_NOVIEMBRE_2024[[SUPERVISOR]:[META]],3,0)</calculatedColumnFormula>
    </tableColumn>
    <tableColumn id="6" xr3:uid="{C702AF9F-4896-48CF-895F-224FB32B617C}" name="ALCANCE" dataDxfId="1327">
      <calculatedColumnFormula>D1_NOVIEMBRE_2024[[#This Row],[RECUPERO]]/D1_NOVIEMBRE_2024[[#This Row],[META]]</calculatedColumnFormula>
    </tableColumn>
    <tableColumn id="7" xr3:uid="{D7917A8B-F33C-40CB-980B-776F1F99832F}" name="SUPER2" dataDxfId="1326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25"/>
    <tableColumn id="8" xr3:uid="{C288ADF8-0B7D-46E8-A515-7A398BFBAFF5}" name="DNI" dataDxfId="1324"/>
    <tableColumn id="9" xr3:uid="{9816B6C7-AE6F-49DA-A0C6-21A173A63635}" name="FECHA DE INICIO" dataDxfId="1323"/>
    <tableColumn id="10" xr3:uid="{342ACA45-E672-4A50-BD93-4F29AC6175A9}" name="ESTADO" dataDxfId="1322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21" dataDxfId="1319" headerRowBorderDxfId="1320" tableBorderDxfId="1318" totalsRowBorderDxfId="1317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16"/>
    <tableColumn id="3" xr3:uid="{734C6C88-3899-4B11-A8BB-68F60FEB745F}" name="RECUPERO SUPERVISOR" dataDxfId="1315">
      <calculatedColumnFormula>MAX(DITE_NOVIEMBRE_2024[[#This Row],[1]:[31]])</calculatedColumnFormula>
    </tableColumn>
    <tableColumn id="4" xr3:uid="{ECE5B99F-FD83-4520-9BD0-C6F22F1D89DE}" name="ALCANCE SUPERVISOR" dataDxfId="1314">
      <calculatedColumnFormula>DITE_NOVIEMBRE_2024[[#This Row],[RECUPERO SUPERVISOR]]/AZ9</calculatedColumnFormula>
    </tableColumn>
    <tableColumn id="1" xr3:uid="{3C6266ED-8A4A-4ABB-A9C5-F6D7C3A28E1C}" name="SUPER" dataDxfId="1313"/>
    <tableColumn id="6" xr3:uid="{8E1962E6-B227-403D-959C-EC0A84512E7F}" name="1" dataDxfId="1312"/>
    <tableColumn id="7" xr3:uid="{82013CDA-2013-412E-8FF7-7857EB3BAAEB}" name="2" dataDxfId="1311"/>
    <tableColumn id="36" xr3:uid="{F80449E7-9C09-4D54-AD2B-6D30BBE4BFFD}" name="3" dataDxfId="1310"/>
    <tableColumn id="8" xr3:uid="{6BAF72DE-4BC7-441F-A85E-9041EF3899D9}" name="4" dataDxfId="1309"/>
    <tableColumn id="9" xr3:uid="{3D9FCE7A-2F3D-4CC9-8A91-10BD16A7E640}" name="5" dataDxfId="1308"/>
    <tableColumn id="10" xr3:uid="{BEDD9763-065B-45CB-AE2B-710FA8B66ADE}" name="6" dataDxfId="1307"/>
    <tableColumn id="11" xr3:uid="{BC3C528B-42C9-4B2F-9619-B254969267D0}" name="7" dataDxfId="1306"/>
    <tableColumn id="12" xr3:uid="{0A48E3CB-F739-4C32-945D-648E7EB8070E}" name="8" dataDxfId="1305"/>
    <tableColumn id="13" xr3:uid="{B96192EF-9446-4291-B1F2-DB704B1D3A04}" name="9" dataDxfId="1304"/>
    <tableColumn id="14" xr3:uid="{604B61A4-751B-4BF0-9D80-954CAB1D08B0}" name="10" dataDxfId="1303"/>
    <tableColumn id="15" xr3:uid="{9BAD68A4-5571-4BDA-97CB-9067D42459EC}" name="11" dataDxfId="1302"/>
    <tableColumn id="32" xr3:uid="{D6886672-9386-4ADF-AED9-8A33D204EF56}" name="12" dataDxfId="1301"/>
    <tableColumn id="33" xr3:uid="{3D371433-AC3E-4391-8C88-2354E3462A27}" name="13" dataDxfId="1300"/>
    <tableColumn id="35" xr3:uid="{58EC2E80-FD81-492B-8002-FCEB99DCCCA5}" name="14" dataDxfId="1299"/>
    <tableColumn id="34" xr3:uid="{BBD59636-2F98-4BBE-8F44-00F7C13015FB}" name="15" dataDxfId="1298"/>
    <tableColumn id="29" xr3:uid="{DD6F0447-F620-4F38-AAE2-F94C7BD1301A}" name="16" dataDxfId="1297"/>
    <tableColumn id="30" xr3:uid="{AEA6202E-0E43-491B-9DE9-B12618DFE3C3}" name="17" dataDxfId="1296"/>
    <tableColumn id="31" xr3:uid="{7F0C4991-2DDA-47D6-8952-EF0420833FE2}" name="18" dataDxfId="1295"/>
    <tableColumn id="26" xr3:uid="{63319244-ED6C-4CB6-91C9-FD0B33FFFA44}" name="19" dataDxfId="1294"/>
    <tableColumn id="27" xr3:uid="{3ED47FDF-F24A-4EC8-9029-689369682758}" name="20" dataDxfId="1293"/>
    <tableColumn id="28" xr3:uid="{B5758593-5927-4B15-9EF3-08A6AA13FEE5}" name="21" dataDxfId="1292"/>
    <tableColumn id="16" xr3:uid="{A79A9DD4-74CF-4F17-A260-30A614552C96}" name="22" dataDxfId="1291"/>
    <tableColumn id="17" xr3:uid="{A3AD1A97-629C-494C-8C66-6BA86E905D7F}" name="23" dataDxfId="1290"/>
    <tableColumn id="18" xr3:uid="{BF0972B0-617B-4546-9271-F4E0D9F96151}" name="24" dataDxfId="1289"/>
    <tableColumn id="19" xr3:uid="{A9D6B970-56DB-403D-9EC5-9A1114D18DD8}" name="25" dataDxfId="1288"/>
    <tableColumn id="20" xr3:uid="{87CB9ADC-EDEB-4C07-8A41-D10A3E379763}" name="26" dataDxfId="1287"/>
    <tableColumn id="21" xr3:uid="{4E36C293-1144-4926-8E91-3475130D3D19}" name="27" dataDxfId="1286"/>
    <tableColumn id="22" xr3:uid="{ACDA0744-1D85-4327-BD2E-0D10C5E5827D}" name="28" dataDxfId="1285"/>
    <tableColumn id="23" xr3:uid="{A55279AC-F17C-48C7-B6F4-AFD7642F257E}" name="29" dataDxfId="1284"/>
    <tableColumn id="24" xr3:uid="{B30A56B6-4B82-41A1-BE7F-1D370BF48A8B}" name="30" dataDxfId="1283"/>
    <tableColumn id="25" xr3:uid="{2121F136-11EF-4DC1-9A0A-C968CE5BD71B}" name="31" dataDxfId="1282"/>
    <tableColumn id="5" xr3:uid="{9A6ECD1E-A39C-4D33-BBF6-B37C7AF2A67C}" name="CARTERA" dataDxfId="128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280" dataDxfId="1279">
  <autoFilter ref="CK8:CO15" xr:uid="{BCDF1B0E-B565-40AD-B13D-954F56FEF342}"/>
  <tableColumns count="5">
    <tableColumn id="1" xr3:uid="{56A1DC4D-61B8-4DE5-8EBA-E8B6AF7E3173}" name="VISTA" dataDxfId="1278"/>
    <tableColumn id="2" xr3:uid="{61FB4102-E339-41D7-BB34-D69D937B8B44}" name="1" dataDxfId="1277"/>
    <tableColumn id="3" xr3:uid="{04DCF14E-F9BC-460D-B838-0AB55D9CDC21}" name="2" dataDxfId="1276"/>
    <tableColumn id="4" xr3:uid="{ADD5C1AF-2CF8-4EB7-AC07-FF2C676A2BED}" name="3" dataDxfId="1275"/>
    <tableColumn id="14" xr3:uid="{85D71B1A-9AFC-40D3-83DD-5F2A02A038A3}" name="4" dataDxfId="127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273" tableBorderDxfId="1272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271">
      <calculatedColumnFormula>DATA_DICIEMBRE_2024[[#This Row],[RECUPERO]]/DATA_DICIEMBRE_2024[[#This Row],[META]]</calculatedColumnFormula>
    </tableColumn>
    <tableColumn id="2" xr3:uid="{AE497F25-36CD-42FB-B18F-59D419263CBC}" name="CLASIFICACIÓN" dataDxfId="1270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269"/>
    <tableColumn id="1" xr3:uid="{ACC31C15-573E-4606-A6FB-ECDC2B30F8A4}" name="RECUPERO" dataDxfId="1268">
      <calculatedColumnFormula>SUM(DATA_DICIEMBRE_2024[[#This Row],[1]:[31]])</calculatedColumnFormula>
    </tableColumn>
    <tableColumn id="6" xr3:uid="{0A0FD23F-3FE0-43BD-93B2-D5A21E0A8419}" name="META" dataDxfId="1267"/>
    <tableColumn id="7" xr3:uid="{BAAC5683-E69F-4D8D-9823-6A62CD920015}" name="ASER_" dataDxfId="1266"/>
    <tableColumn id="4" xr3:uid="{E80ABAB5-F841-47AC-9407-E06974270343}" name="1" dataDxfId="1265"/>
    <tableColumn id="8" xr3:uid="{38214265-844B-4AAB-9AAF-66AE68E1B01F}" name="2" dataDxfId="1264"/>
    <tableColumn id="9" xr3:uid="{9DE83FFA-F0EB-48A8-9B9B-94D3A5F4EA89}" name="3" dataDxfId="1263"/>
    <tableColumn id="10" xr3:uid="{F01FCEA0-C6B5-45DC-BF35-2E20D08D1987}" name="4" dataDxfId="1262"/>
    <tableColumn id="11" xr3:uid="{486A6BCD-590A-4F51-95FC-FF8E80EED672}" name="5" dataDxfId="1261"/>
    <tableColumn id="12" xr3:uid="{6A13993E-4132-4D1F-8103-9B935139982B}" name="6" dataDxfId="1260"/>
    <tableColumn id="13" xr3:uid="{24798E59-2FD3-45E0-9839-56EDF52F39D9}" name="7" dataDxfId="1259"/>
    <tableColumn id="14" xr3:uid="{0A505D6A-B620-43DD-BE95-5375CFEB2C9E}" name="8" dataDxfId="1258"/>
    <tableColumn id="15" xr3:uid="{B4A01763-2933-4990-84AC-2EE6364157A1}" name="9" dataDxfId="1257"/>
    <tableColumn id="16" xr3:uid="{BF1956FE-127F-474F-B12A-D74A62785650}" name="10" dataDxfId="1256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255"/>
    <tableColumn id="18" xr3:uid="{43369C00-795D-4124-B5FB-CE33A1429479}" name="23" dataDxfId="1254"/>
    <tableColumn id="19" xr3:uid="{34A49AC6-3FC3-4ACE-8C81-C9AB9CD6BF1C}" name="24" dataDxfId="1253"/>
    <tableColumn id="20" xr3:uid="{62E7E367-E664-47D4-A998-F69A442883A3}" name="25" dataDxfId="1252"/>
    <tableColumn id="21" xr3:uid="{38ED713F-D0AE-4A42-8586-07C0CFE7FD0D}" name="26" dataDxfId="1251"/>
    <tableColumn id="22" xr3:uid="{777A8FFE-C36F-4CC0-9736-E3B5572BB43B}" name="27" dataDxfId="1250"/>
    <tableColumn id="23" xr3:uid="{9793EF6D-52A7-486F-9DA0-5EC6B4742B0D}" name="28" dataDxfId="1249"/>
    <tableColumn id="24" xr3:uid="{8675AF28-0AC8-42A2-9C9D-B652E1F578AA}" name="29" dataDxfId="1248"/>
    <tableColumn id="25" xr3:uid="{69A4324E-C083-46F7-9045-4F5A0A8A7029}" name="30" dataDxfId="1247"/>
    <tableColumn id="26" xr3:uid="{DBC5694B-2026-414C-ACC6-93144006A162}" name="31" dataDxfId="1246"/>
    <tableColumn id="27" xr3:uid="{823ED1C1-B820-4301-889D-715B402B64AE}" name="CARTERA ASESOR" dataDxfId="1245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44">
  <autoFilter ref="A2:K76" xr:uid="{F6E10C3A-51B0-46B0-AC7A-178487A186FC}"/>
  <tableColumns count="11">
    <tableColumn id="1" xr3:uid="{27AC9715-D9AF-4425-8467-97D5ACDF32DB}" name="SUPER" dataDxfId="1243"/>
    <tableColumn id="2" xr3:uid="{60BCBFC1-6517-433B-923C-CCB32F89496C}" name="ASESOR_CRR" dataDxfId="1242">
      <calculatedColumnFormula>D1_DICIEMBRE_2024[[#This Row],[ASESOR]]</calculatedColumnFormula>
    </tableColumn>
    <tableColumn id="5" xr3:uid="{FE528A67-2FD9-481D-A3BD-D0593BF1728D}" name="META" dataDxfId="1241">
      <calculatedColumnFormula>VLOOKUP(D1_DICIEMBRE_2024[[#This Row],[SUPER]],DATA_DICIEMBRE_2024[[SUPERVISOR]:[META]],3,0)</calculatedColumnFormula>
    </tableColumn>
    <tableColumn id="6" xr3:uid="{9F920DCF-74DA-4A35-AEB6-9874EC115540}" name="ALCANCE" dataDxfId="1240">
      <calculatedColumnFormula>D1_DICIEMBRE_2024[[#This Row],[RECUPERO]]/D1_DICIEMBRE_2024[[#This Row],[META]]</calculatedColumnFormula>
    </tableColumn>
    <tableColumn id="7" xr3:uid="{A0A51D41-B7D6-4CCC-ACCB-42E0C653AD2F}" name="SUPER2" dataDxfId="1239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38"/>
    <tableColumn id="8" xr3:uid="{894A3BEA-774F-4F80-88D8-1B289CA5BA86}" name="DNI" dataDxfId="1237"/>
    <tableColumn id="9" xr3:uid="{803AE20B-2CCD-451D-A530-6F128D73F913}" name="FECHA DE INICIO" dataDxfId="1236"/>
    <tableColumn id="10" xr3:uid="{49EAA54F-6677-4846-BCD1-109279DB3A73}" name="ESTADO" dataDxfId="1235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34" dataDxfId="1232" headerRowBorderDxfId="1233" tableBorderDxfId="1231" totalsRowBorderDxfId="1230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29"/>
    <tableColumn id="3" xr3:uid="{ABE326D8-B04B-4CEC-9F6E-FE25C0EE8AA0}" name="RECUPERO SUPERVISOR" dataDxfId="1228">
      <calculatedColumnFormula>MAX(DITE_DICIEMBRE_2024[[#This Row],[1]:[31]])</calculatedColumnFormula>
    </tableColumn>
    <tableColumn id="4" xr3:uid="{9E55702C-7024-420F-8940-D2C1A0A3CA1D}" name="ALCANCE SUPERVISOR" dataDxfId="1227">
      <calculatedColumnFormula>DITE_DICIEMBRE_2024[[#This Row],[RECUPERO SUPERVISOR]]/AZ9</calculatedColumnFormula>
    </tableColumn>
    <tableColumn id="1" xr3:uid="{5009DC4C-3EA4-45D5-A15D-072373F4AE20}" name="SUPER" dataDxfId="1226"/>
    <tableColumn id="6" xr3:uid="{D0AF21FC-B7C0-49FB-B06D-CEE18869F451}" name="1" dataDxfId="1225"/>
    <tableColumn id="7" xr3:uid="{13740F97-8E6D-486C-956C-27845E43364F}" name="2" dataDxfId="1224"/>
    <tableColumn id="36" xr3:uid="{D8D06FB7-6376-4BDE-8C73-E14742A693D2}" name="3" dataDxfId="1223"/>
    <tableColumn id="8" xr3:uid="{6A7AE4CF-8204-4E27-89B3-519888750343}" name="4" dataDxfId="1222"/>
    <tableColumn id="9" xr3:uid="{E68D0942-B003-4636-896B-C7F7CC5DF30B}" name="5" dataDxfId="1221"/>
    <tableColumn id="10" xr3:uid="{A130D834-D24E-4226-8974-EAEEC5239084}" name="6" dataDxfId="1220"/>
    <tableColumn id="11" xr3:uid="{B74AC268-8591-43DA-A0A0-8EED3A99A7E6}" name="7" dataDxfId="1219"/>
    <tableColumn id="12" xr3:uid="{3E5A00D6-9077-4087-98FC-A1F995D9E85D}" name="8" dataDxfId="1218"/>
    <tableColumn id="13" xr3:uid="{1C1866E7-047F-4D10-9606-401FEC40FA49}" name="9" dataDxfId="1217"/>
    <tableColumn id="14" xr3:uid="{1A856C2F-9F0A-48E6-A1F8-02744BF96124}" name="10" dataDxfId="1216"/>
    <tableColumn id="15" xr3:uid="{4AF6AE1F-C32E-4098-A90E-906C45E577A6}" name="11" dataDxfId="1215"/>
    <tableColumn id="32" xr3:uid="{22F83872-EA87-4B20-AC9C-A5E2ACD10B99}" name="12" dataDxfId="1214"/>
    <tableColumn id="33" xr3:uid="{98BD9E2A-AADA-4033-A5CA-E179FF24557D}" name="13" dataDxfId="1213"/>
    <tableColumn id="35" xr3:uid="{700503A6-DBA0-45CB-A088-D89AE0558CCF}" name="14" dataDxfId="1212"/>
    <tableColumn id="34" xr3:uid="{C5A60DDC-0D8C-41E0-A0F0-FBB45535E86A}" name="15" dataDxfId="1211"/>
    <tableColumn id="29" xr3:uid="{D5EC2BDA-E6C3-4A4D-A6AD-950B2D0490AB}" name="16" dataDxfId="1210"/>
    <tableColumn id="30" xr3:uid="{349CB117-97C5-4862-848C-38A5D8F531C9}" name="17" dataDxfId="1209"/>
    <tableColumn id="31" xr3:uid="{C11D4844-CCFA-4F14-88FA-CE5B9B605A6F}" name="18" dataDxfId="1208"/>
    <tableColumn id="26" xr3:uid="{F17C536A-13C6-44BF-A1D0-9E0F529A2288}" name="19" dataDxfId="1207"/>
    <tableColumn id="27" xr3:uid="{784AEED1-4141-49AA-B4F6-24141E5B4FA4}" name="20" dataDxfId="1206"/>
    <tableColumn id="28" xr3:uid="{5FA3E61C-F996-45DB-8D68-7A355B9D9345}" name="21" dataDxfId="1205"/>
    <tableColumn id="16" xr3:uid="{3CDD7303-1AA0-4E13-B85B-07CCE6B3675D}" name="22" dataDxfId="1204"/>
    <tableColumn id="17" xr3:uid="{81F4684D-1734-49FB-8F57-68B80EB1FD1D}" name="23" dataDxfId="1203"/>
    <tableColumn id="18" xr3:uid="{9DA7B90E-288E-45A3-BD0A-31904382DB50}" name="24" dataDxfId="1202"/>
    <tableColumn id="19" xr3:uid="{A0AC125C-0C19-47E9-B7BD-9F657DD56BC2}" name="25" dataDxfId="1201"/>
    <tableColumn id="20" xr3:uid="{E1B67347-A852-4F21-A3C3-D6E44F51E9FF}" name="26" dataDxfId="1200"/>
    <tableColumn id="21" xr3:uid="{992748FE-9359-4D4E-B06A-59F7A48309B5}" name="27" dataDxfId="1199"/>
    <tableColumn id="22" xr3:uid="{3732AEA5-9CC9-4EE6-A93B-386050E291B1}" name="28" dataDxfId="1198"/>
    <tableColumn id="23" xr3:uid="{20A4F952-B20F-4E0E-95CC-77C648A54699}" name="29" dataDxfId="1197"/>
    <tableColumn id="24" xr3:uid="{26953009-23ED-4318-9CEE-07B704B9665A}" name="30" dataDxfId="1196"/>
    <tableColumn id="25" xr3:uid="{267CBC9B-29BE-4672-94C3-393B627CB1FD}" name="31" dataDxfId="1195"/>
    <tableColumn id="5" xr3:uid="{EE07FFF3-9A6D-4F12-ACF6-244205791333}" name="CARTERA" dataDxfId="1194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193" dataDxfId="1192">
  <autoFilter ref="CK8:CO15" xr:uid="{9AD021D7-7D86-458A-9ED4-B4154908A926}"/>
  <tableColumns count="5">
    <tableColumn id="1" xr3:uid="{EF280B0C-5AA9-4C98-8348-08142AD9CF12}" name="VISTA" dataDxfId="1191"/>
    <tableColumn id="2" xr3:uid="{852E579E-9FD0-46ED-9AF6-6DDE965B926B}" name="1" dataDxfId="1190"/>
    <tableColumn id="3" xr3:uid="{E6FD03E6-BDD9-4D85-95AE-4F26472C7EC7}" name="2" dataDxfId="1189"/>
    <tableColumn id="4" xr3:uid="{8654C69D-8F4B-4D69-9CDD-6E64ECCA9D09}" name="3" dataDxfId="1188"/>
    <tableColumn id="14" xr3:uid="{C3EC5E64-D5EB-407B-80F2-85558E14B19B}" name="4" dataDxfId="118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186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185"/>
    <tableColumn id="5" xr3:uid="{42625339-8FE7-49A5-82AC-5EDD10C3C984}" name="ASESOR"/>
    <tableColumn id="6" xr3:uid="{BD1A5411-32FB-4DF7-B264-96C059BE5C56}" name="RECUPERO" dataDxfId="1184"/>
    <tableColumn id="8" xr3:uid="{8B3B2929-A591-41D7-9D44-B220287F0F2A}" name="DNI" dataDxfId="1183"/>
    <tableColumn id="9" xr3:uid="{AAABF626-1A15-4E7A-A444-7423611F1BB2}" name="FECHA DE INICIO" dataDxfId="1182"/>
    <tableColumn id="10" xr3:uid="{CACFA6D6-8D93-432C-AAD6-E9CBF58F5197}" name="ESTADO" dataDxfId="1181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180" headerRowBorderDxfId="1179" tableBorderDxfId="1178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177">
      <calculatedColumnFormula>DATA_ENERO_2025[[#This Row],[RECUPERO]]/DATA_ENERO_2025[[#This Row],[META]]</calculatedColumnFormula>
    </tableColumn>
    <tableColumn id="3" xr3:uid="{16F39E06-76AE-43AD-903E-9F641E37CB06}" name="CLASIFICACIÓN" dataDxfId="1176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175"/>
    <tableColumn id="6" xr3:uid="{087774B2-9699-454D-B0E9-E9D62B239262}" name="RECUPERO" dataDxfId="1174">
      <calculatedColumnFormula>SUM(DATA_ENERO_2025[[#This Row],[1]:[31]])</calculatedColumnFormula>
    </tableColumn>
    <tableColumn id="7" xr3:uid="{B938E452-5678-4623-B9AD-47B290EB3B56}" name="META" dataDxfId="1173"/>
    <tableColumn id="5" xr3:uid="{A39094CA-883F-4450-A53A-370F0AE54B0C}" name="ASER_" dataDxfId="1172"/>
    <tableColumn id="28" xr3:uid="{BA402970-CDDC-479B-AF0C-DE6FB6DEA3A2}" name="1" dataDxfId="1171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170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169" dataDxfId="1167" headerRowBorderDxfId="1168" tableBorderDxfId="1166" totalsRowBorderDxfId="1165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164"/>
    <tableColumn id="1" xr3:uid="{5A7C4C9C-3E71-483D-9C6F-3AFA18F0B768}" name="RECUPERO SUPERVISOR" dataDxfId="1163">
      <calculatedColumnFormula>MAX(DITE_ENERO_2025[[#This Row],[1]:[31]])</calculatedColumnFormula>
    </tableColumn>
    <tableColumn id="2" xr3:uid="{1DBABE23-BC0D-4016-A3DE-102C34B93437}" name="ALCANCE SUPERVISOR" dataDxfId="1162">
      <calculatedColumnFormula>DITE_ENERO_2025[[#This Row],[RECUPERO SUPERVISOR]]/DITE_ENERO_2025[[#This Row],[META SUPER]]</calculatedColumnFormula>
    </tableColumn>
    <tableColumn id="4" xr3:uid="{AAFE5F6A-D443-4B76-896C-3012A63A21B1}" name="SUPER" dataDxfId="1161"/>
    <tableColumn id="6" xr3:uid="{CAC1468E-FE7F-46E8-8FA8-2EBFE78F55CF}" name="1" dataDxfId="1160"/>
    <tableColumn id="7" xr3:uid="{2C1F1DCC-5615-43E9-8493-73A6B92A7B8C}" name="2" dataDxfId="1159"/>
    <tableColumn id="8" xr3:uid="{CB1DD332-E0A5-4BEF-8B71-8820CA4A145B}" name="3" dataDxfId="1158"/>
    <tableColumn id="9" xr3:uid="{1BB0DD4F-A73A-4F8E-93FB-252CA932D637}" name="4" dataDxfId="1157"/>
    <tableColumn id="10" xr3:uid="{F4A27082-EDDE-411F-B0E7-C50309499B06}" name="5" dataDxfId="1156"/>
    <tableColumn id="11" xr3:uid="{DDC3545E-22B2-4DEC-A217-59650C8BAC95}" name="6" dataDxfId="1155"/>
    <tableColumn id="12" xr3:uid="{F4B5BD15-E4EF-4A2E-9071-FE5F69E48F1F}" name="7" dataDxfId="1154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153"/>
    <tableColumn id="14" xr3:uid="{1DE13FA2-B93D-487E-A105-3A5622C997DE}" name="18" dataDxfId="1152"/>
    <tableColumn id="15" xr3:uid="{6273FFBE-FC81-40C7-91CB-E95ECAD8BE5D}" name="19" dataDxfId="1151"/>
    <tableColumn id="16" xr3:uid="{35253537-0DA1-45D4-B9A3-D1CBC6E92B8B}" name="20" dataDxfId="1150"/>
    <tableColumn id="17" xr3:uid="{4BF3707C-841F-4140-B63C-5B47863B4CA4}" name="21" dataDxfId="1149"/>
    <tableColumn id="18" xr3:uid="{1F7B79C3-A22C-49D8-9C1F-629E6C41B955}" name="22" dataDxfId="1148"/>
    <tableColumn id="19" xr3:uid="{361B16CF-A887-4C9E-88B3-E8A7F4F314B0}" name="23" dataDxfId="1147"/>
    <tableColumn id="20" xr3:uid="{9B3EDA9C-6CB0-4D9F-965A-6EB0593C19D9}" name="24" dataDxfId="1146"/>
    <tableColumn id="21" xr3:uid="{B02655DA-D4F9-4926-88A4-5E8B2F4DF911}" name="25" dataDxfId="1145"/>
    <tableColumn id="22" xr3:uid="{43854B99-1BF7-4DF3-8A04-A277447DE3B8}" name="26" dataDxfId="1144"/>
    <tableColumn id="23" xr3:uid="{CAC2F677-42BD-4EFA-8E99-ABA2036DAF56}" name="27" dataDxfId="1143"/>
    <tableColumn id="24" xr3:uid="{20489B5B-5885-4E43-B5F0-4EAAEE4E8EB8}" name="28" dataDxfId="1142"/>
    <tableColumn id="25" xr3:uid="{B4D29A08-5206-4DCD-AF4C-9B7ABB8D3CFF}" name="29" dataDxfId="1141"/>
    <tableColumn id="26" xr3:uid="{7B49DBDA-317E-4CFB-B7FA-841DFC27E42B}" name="30" dataDxfId="1140"/>
    <tableColumn id="27" xr3:uid="{0126152E-7354-43DB-A75E-4841194C453D}" name="31" dataDxfId="1139"/>
    <tableColumn id="3" xr3:uid="{93315C06-D400-4502-BDDD-AC5886091EC6}" name="CARTERA" dataDxfId="1138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37" dataDxfId="1136">
  <autoFilter ref="CK8:CO15" xr:uid="{628F3242-7DD0-4B7D-BBF4-24BB03052117}"/>
  <tableColumns count="5">
    <tableColumn id="1" xr3:uid="{AF9FE221-25FE-4ADA-80D0-7A04339E9BB1}" name="VISTA" dataDxfId="1135"/>
    <tableColumn id="2" xr3:uid="{B488B423-9458-4683-AA20-4A08180A5ACB}" name="1" dataDxfId="1134"/>
    <tableColumn id="3" xr3:uid="{4D9F7DD4-D75E-4BFC-873B-7FA8E13A86DE}" name="2" dataDxfId="1133"/>
    <tableColumn id="4" xr3:uid="{F6DB5598-2EF2-4C43-BD3D-FDED84C73969}" name="3" dataDxfId="1132"/>
    <tableColumn id="14" xr3:uid="{5A508F25-785E-4D54-9BD9-8B48775B6160}" name="4" dataDxfId="1131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3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29"/>
    <tableColumn id="5" xr3:uid="{44178C41-B41B-4820-A8E8-222FE453335F}" name="ASESOR" dataDxfId="1128"/>
    <tableColumn id="6" xr3:uid="{AC6EB590-A7E8-408F-A892-A1851BCCF0B5}" name="RECUPERO" dataDxfId="1127"/>
    <tableColumn id="8" xr3:uid="{9B60B527-D768-46F8-BB97-824B255159D2}" name="DNI" dataDxfId="1126"/>
    <tableColumn id="9" xr3:uid="{BDF8C571-22FC-498B-99CF-8D578B086437}" name="FECHA DE INICIO" dataDxfId="1125"/>
    <tableColumn id="10" xr3:uid="{4A0E2A05-69C0-48C2-B0D3-4D952F052DB2}" name="ESTADO" dataDxfId="1124"/>
    <tableColumn id="11" xr3:uid="{3D228EA7-2109-464D-B55C-85DBBA7EB19F}" name="SEGMENTO" dataDxfId="112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22" headerRowBorderDxfId="1121" tableBorderDxfId="1120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19">
      <calculatedColumnFormula>DATA_FEBRERO_2025[[#This Row],[RECUPERO]]/DATA_FEBRERO_2025[[#This Row],[META]]</calculatedColumnFormula>
    </tableColumn>
    <tableColumn id="3" xr3:uid="{AE4A1FA5-3083-4CA4-B657-D2D0F2E20004}" name="CLASIFICACIÓN" dataDxfId="1118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117"/>
    <tableColumn id="6" xr3:uid="{2DE1A6CE-7493-4B20-83EE-59078393B5AF}" name="RECUPERO" dataDxfId="1116">
      <calculatedColumnFormula>SUM(DATA_FEBRERO_2025[[#This Row],[1]:[31]])</calculatedColumnFormula>
    </tableColumn>
    <tableColumn id="7" xr3:uid="{24FB90FB-A888-41AB-9B19-627A74DA2062}" name="META" dataDxfId="1115"/>
    <tableColumn id="5" xr3:uid="{E6A5C563-3502-4EF4-8D06-C88816E905A8}" name="ASER_" dataDxfId="1114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13"/>
    <tableColumn id="8" xr3:uid="{E99C6359-BA67-4127-80B1-429613DA94CB}" name="31"/>
    <tableColumn id="4" xr3:uid="{1AB4C76D-3918-4961-B05E-216E9D0F2A8C}" name="CARTERA ASESOR" dataDxfId="111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11" dataDxfId="1109" headerRowBorderDxfId="1110" tableBorderDxfId="1108" totalsRowBorderDxfId="1107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06"/>
    <tableColumn id="1" xr3:uid="{C46409A5-9201-4E30-A3EB-7B6FC2DAF473}" name="RECUPERO SUPERVISOR" dataDxfId="1105">
      <calculatedColumnFormula>MAX(DITE_FEBRERO_2025[[#This Row],[1]:[31]])</calculatedColumnFormula>
    </tableColumn>
    <tableColumn id="2" xr3:uid="{445C2C89-5F44-46FD-8C70-EF4EE30F232E}" name="ALCANCE SUPERVISOR" dataDxfId="1104">
      <calculatedColumnFormula>DITE_FEBRERO_2025[[#This Row],[RECUPERO SUPERVISOR]]/DITE_FEBRERO_2025[[#This Row],[META SUPER]]</calculatedColumnFormula>
    </tableColumn>
    <tableColumn id="4" xr3:uid="{55D4E2C7-B609-4C8C-A5DE-AABFFD74BEB8}" name="SUPER" dataDxfId="1103"/>
    <tableColumn id="6" xr3:uid="{29925D04-B597-415A-B40B-62A3FBA8B23D}" name="1" dataDxfId="1102"/>
    <tableColumn id="7" xr3:uid="{31865A72-E634-4CB8-8660-811FA8147632}" name="2" dataDxfId="1101"/>
    <tableColumn id="8" xr3:uid="{C70A98A0-1CB0-425B-975B-D4464009CDD0}" name="3" dataDxfId="1100"/>
    <tableColumn id="9" xr3:uid="{F56CF612-0AA5-44CB-878D-FA59D84052AD}" name="4" dataDxfId="1099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098"/>
    <tableColumn id="11" xr3:uid="{A6DAF4DF-EAFF-47AB-9A6F-0B2896AE1A18}" name="17" dataDxfId="1097"/>
    <tableColumn id="12" xr3:uid="{3DC03FF0-BAC6-4F5D-B5DE-18A95E2C1B97}" name="18" dataDxfId="1096"/>
    <tableColumn id="13" xr3:uid="{A90729AA-CC5E-4236-924F-A736B7A4BE93}" name="19" dataDxfId="1095"/>
    <tableColumn id="14" xr3:uid="{B48B5FF0-5C49-4DDC-AC33-B45D349AD044}" name="20" dataDxfId="1094"/>
    <tableColumn id="15" xr3:uid="{D36E617E-0BBB-4BC1-BBF1-EB24E3C2CE90}" name="21" dataDxfId="1093"/>
    <tableColumn id="16" xr3:uid="{BD346F05-FCC2-4EA9-8F0F-B55AB2E68BE0}" name="22" dataDxfId="1092"/>
    <tableColumn id="17" xr3:uid="{F5BB9730-A5AE-4489-9CB0-182052BA6557}" name="23" dataDxfId="1091"/>
    <tableColumn id="18" xr3:uid="{B3DEF063-7A67-4F08-9D09-8310B4B64F2B}" name="24" dataDxfId="1090"/>
    <tableColumn id="19" xr3:uid="{558BE332-1E67-4EF7-9FF1-541A019A7066}" name="25" dataDxfId="1089"/>
    <tableColumn id="20" xr3:uid="{073BAAB2-EF92-4A82-B7FE-8339FF3A62EA}" name="26" dataDxfId="1088"/>
    <tableColumn id="21" xr3:uid="{6EC9D118-EB0A-4FDC-A694-0A630EB1048E}" name="27" dataDxfId="1087"/>
    <tableColumn id="22" xr3:uid="{DFF298CB-C24B-4F90-BD14-F99C28391208}" name="28" dataDxfId="1086"/>
    <tableColumn id="23" xr3:uid="{7EF0365B-2B81-4022-84F3-7A3859D35934}" name="29" dataDxfId="1085"/>
    <tableColumn id="24" xr3:uid="{D92D6A29-5A30-4405-A019-D7F8F39E4176}" name="30" dataDxfId="1084"/>
    <tableColumn id="25" xr3:uid="{9BFA1186-4A61-452A-8EAC-4FE410743029}" name="31" dataDxfId="1083"/>
    <tableColumn id="3" xr3:uid="{5EBD9DD4-78E3-4E78-8FD5-A71A2DE2CBE8}" name="CARTERA" dataDxfId="1082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081" dataDxfId="1080">
  <autoFilter ref="CK8:CO15" xr:uid="{CD951E0C-6BAC-4E04-975A-04769F8000A5}"/>
  <tableColumns count="5">
    <tableColumn id="1" xr3:uid="{47C2FEF6-5357-4549-8005-DD8EC3539863}" name="VISTA" dataDxfId="1079"/>
    <tableColumn id="2" xr3:uid="{CCD006F3-5A71-4D0D-9DFD-11B037CD91D8}" name="1" dataDxfId="1078"/>
    <tableColumn id="3" xr3:uid="{98E7E65E-122C-4175-82F1-624865A7A2D3}" name="2" dataDxfId="1077"/>
    <tableColumn id="4" xr3:uid="{A4BE2A42-080D-4657-9FCF-3468BE3AF8C2}" name="3" dataDxfId="1076"/>
    <tableColumn id="14" xr3:uid="{D44E4FEF-5EE4-46FB-BEEE-A11B8A1BE670}" name="4" dataDxfId="1075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07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073">
      <calculatedColumnFormula>D1_MARZO_2025[[#This Row],[RECUPERO]]/D1_MARZO_2025[[#This Row],[META]]</calculatedColumnFormula>
    </tableColumn>
    <tableColumn id="7" xr3:uid="{7155E541-BC22-41C0-914A-E54D790D436D}" name="SUPER2" dataDxfId="1072"/>
    <tableColumn id="5" xr3:uid="{C9BC0167-A73A-4B66-AB0E-BCC22F3CD7BF}" name="ASESOR" dataDxfId="1071"/>
    <tableColumn id="6" xr3:uid="{32E44CF1-7B46-45AA-916C-7D5322097EFD}" name="RECUPERO" dataDxfId="1070"/>
    <tableColumn id="8" xr3:uid="{5504CD70-2376-413C-9DD9-7E1FC1D78F37}" name="DNI" dataDxfId="1069"/>
    <tableColumn id="9" xr3:uid="{27659D49-6FC1-457B-BF33-A19DBF78CDF2}" name="FECHA DE INICIO" dataDxfId="1068"/>
    <tableColumn id="10" xr3:uid="{79E50096-FDE3-4403-8568-FF008447BCC2}" name="ESTADO" dataDxfId="1067"/>
    <tableColumn id="11" xr3:uid="{0DDDAC11-10AB-4791-8916-A8A4E78A7D35}" name="SEGMENTO" dataDxfId="106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065" headerRowBorderDxfId="1064" tableBorderDxfId="106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062">
      <calculatedColumnFormula>DATA_MARZO_2025[[#This Row],[RECUPERO]]/DATA_MARZO_2025[[#This Row],[META]]</calculatedColumnFormula>
    </tableColumn>
    <tableColumn id="3" xr3:uid="{6050B278-B3D2-4B4C-8475-D701C9B8AB17}" name="CLASIFICACIÓN" dataDxfId="1061"/>
    <tableColumn id="1" xr3:uid="{A94CCC19-556A-4124-8949-24896CDBE45E}" name="SUPERVISOR" dataDxfId="1060"/>
    <tableColumn id="6" xr3:uid="{EBBFD24C-8909-45B0-B8CB-4ED73B62F2AB}" name="RECUPERO" dataDxfId="1059">
      <calculatedColumnFormula>SUM(DATA_MARZO_2025[[#This Row],[1]:[31]])</calculatedColumnFormula>
    </tableColumn>
    <tableColumn id="7" xr3:uid="{D5702432-6067-40C7-B647-63D5EBDD13C2}" name="META" dataDxfId="1058"/>
    <tableColumn id="5" xr3:uid="{40A208DF-2D8B-4D71-B923-6BFFA76CDA11}" name="ASER_" dataDxfId="1057"/>
    <tableColumn id="38" xr3:uid="{1F074B40-AB13-4BEE-BC21-9D178D274909}" name="1"/>
    <tableColumn id="41" xr3:uid="{936D83D8-C85E-4C4D-9E8D-BA3D7C54F99A}" name="2" dataDxfId="105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05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054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053" dataDxfId="1051" headerRowBorderDxfId="1052" tableBorderDxfId="1050" totalsRowBorderDxfId="104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048"/>
    <tableColumn id="1" xr3:uid="{23B67F77-728E-46C0-B5B1-11CE8E08D862}" name="RECUPERO SUPERVISOR" dataDxfId="1047">
      <calculatedColumnFormula>MAX(DITE_MARZO_2025[[#This Row],[1]:[31]])</calculatedColumnFormula>
    </tableColumn>
    <tableColumn id="2" xr3:uid="{0BAE08AE-6A16-447E-9DDD-8800D68BFFA3}" name="ALCANCE SUPERVISOR" dataDxfId="1046">
      <calculatedColumnFormula>DITE_MARZO_2025[[#This Row],[RECUPERO SUPERVISOR]]/DITE_MARZO_2025[[#This Row],[META SUPER]]</calculatedColumnFormula>
    </tableColumn>
    <tableColumn id="4" xr3:uid="{663301EA-2B77-4C76-B8E0-713CAAD1AC41}" name="SUPER" dataDxfId="1045"/>
    <tableColumn id="6" xr3:uid="{9A6FEB31-48E4-456F-8C1F-14055131E9D6}" name="1" dataDxfId="1044"/>
    <tableColumn id="7" xr3:uid="{B8154FAF-39D2-4ED9-8DD7-C179156ECA39}" name="2" dataDxfId="1043"/>
    <tableColumn id="8" xr3:uid="{E58A14C1-44D1-46A4-9137-21E70261FA76}" name="3" dataDxfId="1042"/>
    <tableColumn id="9" xr3:uid="{EFDA2093-809C-4DA2-80F9-0388CCC5E290}" name="4" dataDxfId="1041"/>
    <tableColumn id="10" xr3:uid="{634CF5F0-F36D-4B26-8143-8C3A6FB59216}" name="5" dataDxfId="1040"/>
    <tableColumn id="11" xr3:uid="{77A0553B-7BDF-49B7-B459-701A77496BEA}" name="6" dataDxfId="103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38"/>
    <tableColumn id="13" xr3:uid="{C6D91E97-E16B-4E76-BE55-A08C2A1131DD}" name="18" dataDxfId="1037"/>
    <tableColumn id="14" xr3:uid="{2A5F1078-A097-4171-BD28-7B9B623471D0}" name="19" dataDxfId="1036"/>
    <tableColumn id="15" xr3:uid="{5E883D61-775A-4AD4-A304-156DCFD9F825}" name="20" dataDxfId="1035"/>
    <tableColumn id="16" xr3:uid="{BEFB5788-590D-4EFA-8707-20BAAF7026F1}" name="21" dataDxfId="1034"/>
    <tableColumn id="17" xr3:uid="{8FC06E69-FAE9-4DBE-9C75-7A6598DE29C6}" name="22" dataDxfId="1033"/>
    <tableColumn id="18" xr3:uid="{966EC934-1D25-407E-AE13-8147AC3FF531}" name="23" dataDxfId="1032"/>
    <tableColumn id="19" xr3:uid="{5437FF24-6F5D-412D-82EE-8C668C7DC853}" name="24" dataDxfId="1031"/>
    <tableColumn id="20" xr3:uid="{204A7CBC-2C07-4027-851F-021033B930C1}" name="25" dataDxfId="1030"/>
    <tableColumn id="21" xr3:uid="{DF491418-AC74-4C6A-852F-F0797487D11C}" name="26" dataDxfId="1029"/>
    <tableColumn id="22" xr3:uid="{E184F0A4-EF1A-48F5-8166-10085FC40D13}" name="27" dataDxfId="1028"/>
    <tableColumn id="23" xr3:uid="{66C12B87-BC6D-46BE-AF31-D0C68A22BC7E}" name="28" dataDxfId="1027"/>
    <tableColumn id="24" xr3:uid="{A2DB9C74-4CB6-4BBF-A230-DF50FDE9380D}" name="29" dataDxfId="1026"/>
    <tableColumn id="25" xr3:uid="{D54E02BE-AA16-43C7-ABD3-89326740EA63}" name="30" dataDxfId="1025"/>
    <tableColumn id="26" xr3:uid="{11172EA7-856A-4297-8329-62917B649E9A}" name="31" dataDxfId="1024"/>
    <tableColumn id="3" xr3:uid="{42C6AD34-2DFF-436B-BB22-6DE170226F44}" name="CARTERA" dataDxfId="1023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22" dataDxfId="1021">
  <autoFilter ref="CK8:CO15" xr:uid="{5CC39DC1-38AA-4FD7-8618-9D1757C063BF}"/>
  <tableColumns count="5">
    <tableColumn id="1" xr3:uid="{199AD204-98F5-4357-9EC8-563E6CC4C321}" name="VISTA" dataDxfId="1020"/>
    <tableColumn id="2" xr3:uid="{BFF1F734-4111-4DDD-8CA0-5198DC585DA1}" name="1" dataDxfId="1019"/>
    <tableColumn id="3" xr3:uid="{E52B6FFD-0DE7-46BA-A600-8E50FF6CEDED}" name="2" dataDxfId="1018"/>
    <tableColumn id="4" xr3:uid="{5F9675DE-09FF-4EA0-A369-BBECA620B87D}" name="3" dataDxfId="1017"/>
    <tableColumn id="14" xr3:uid="{DA0EFF7B-8E6A-466A-B17D-365D82C21948}" name="4" dataDxfId="101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1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14"/>
    <tableColumn id="5" xr3:uid="{D789E66F-CC8C-4715-A998-7AE532E85E8A}" name="ASESOR" dataDxfId="1013"/>
    <tableColumn id="6" xr3:uid="{3455DB8A-5A64-4A8F-8153-2471763CA60D}" name="RECUPERO" dataDxfId="1012"/>
    <tableColumn id="8" xr3:uid="{F8575E1F-78C1-4E15-B505-1AECE8857345}" name="DNI" dataDxfId="1011"/>
    <tableColumn id="9" xr3:uid="{BE130F2A-9B67-45D5-AA49-051D2F0A515B}" name="FECHA DE INICIO" dataDxfId="1010"/>
    <tableColumn id="10" xr3:uid="{31096FEC-094E-478E-A9F3-0023192798F0}" name="ESTADO" dataDxfId="1009"/>
    <tableColumn id="11" xr3:uid="{CD53B1C2-5C16-4E04-B510-37D1EE2D9C67}" name="SEGMENTO" dataDxfId="1008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07" headerRowBorderDxfId="1006" tableBorderDxfId="1005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04">
      <calculatedColumnFormula>DATA_ABRIL_2025[[#This Row],[RECUPERO]]/DATA_ABRIL_2025[[#This Row],[META]]</calculatedColumnFormula>
    </tableColumn>
    <tableColumn id="3" xr3:uid="{1B1E8B7A-D562-46FD-89DE-12ADBC7146F2}" name="CLASIFICACIÓN" dataDxfId="1003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1002"/>
    <tableColumn id="6" xr3:uid="{9C2D93B7-85A2-4E07-8DD4-3C81F7BF7EBF}" name="RECUPERO" dataDxfId="1001">
      <calculatedColumnFormula>SUM(DATA_ABRIL_2025[[#This Row],[1]:[31]])</calculatedColumnFormula>
    </tableColumn>
    <tableColumn id="7" xr3:uid="{8F4173FF-BB8D-4C61-A5E9-1B6F872C619C}" name="META" dataDxfId="1000"/>
    <tableColumn id="5" xr3:uid="{64151D2C-B822-41DF-8964-343214960730}" name="ASER_" dataDxfId="999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998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997" dataDxfId="995" headerRowBorderDxfId="996" tableBorderDxfId="994" totalsRowBorderDxfId="993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992"/>
    <tableColumn id="1" xr3:uid="{56AD13BC-F67F-4EBC-8601-073AD9D41E5D}" name="RECUPERO SUPERVISOR" dataDxfId="991">
      <calculatedColumnFormula>MAX(DITE_ABRIL_2025[[#This Row],[1]:[31]])</calculatedColumnFormula>
    </tableColumn>
    <tableColumn id="2" xr3:uid="{B40C8394-DA7A-4DDD-89EA-AE757C76DD20}" name="ALCANCE SUPERVISOR" dataDxfId="990">
      <calculatedColumnFormula>BA9/DITE_ABRIL_2025[[#This Row],[META SUPER]]</calculatedColumnFormula>
    </tableColumn>
    <tableColumn id="4" xr3:uid="{B71408F8-B985-4B11-8661-52EFC6FA8097}" name="SUPER" dataDxfId="989"/>
    <tableColumn id="6" xr3:uid="{9E37ADBB-A64C-4E4B-9AF4-6087C797FB5E}" name="1" dataDxfId="988"/>
    <tableColumn id="7" xr3:uid="{09E3EE83-45B5-4808-842B-71D4652DE46A}" name="2" dataDxfId="987"/>
    <tableColumn id="8" xr3:uid="{243F9102-2670-48D4-B25D-8432658D89F6}" name="3" dataDxfId="986"/>
    <tableColumn id="9" xr3:uid="{06003E0F-B470-4925-ACE4-1381347B3E87}" name="4" dataDxfId="985"/>
    <tableColumn id="10" xr3:uid="{DF8C4E72-181D-4E2F-A34D-2BB7FD231520}" name="5" dataDxfId="984"/>
    <tableColumn id="11" xr3:uid="{56E37C44-85E9-4431-A560-A54606105B9D}" name="6" dataDxfId="983"/>
    <tableColumn id="12" xr3:uid="{9ADEA573-5E4A-46C0-8569-AFED61AE0141}" name="7" dataDxfId="982"/>
    <tableColumn id="13" xr3:uid="{D44E56ED-D810-4F08-ACAA-0850A2CBA861}" name="8" dataDxfId="981"/>
    <tableColumn id="14" xr3:uid="{4F1A46EB-156C-42BB-A090-307A483EDA59}" name="9" dataDxfId="980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979"/>
    <tableColumn id="16" xr3:uid="{C78E77EC-88A1-4EFD-AD1A-7DF788C46683}" name="22" dataDxfId="978"/>
    <tableColumn id="17" xr3:uid="{D5FD8172-0B95-4406-9239-1ABAD08F1B45}" name="23" dataDxfId="977"/>
    <tableColumn id="18" xr3:uid="{8E9BAC3F-3B04-449B-88EE-DBF57FA626AC}" name="24" dataDxfId="976"/>
    <tableColumn id="19" xr3:uid="{BFA3B7EB-0BC7-4311-8FCE-7C69A9357A03}" name="25" dataDxfId="975"/>
    <tableColumn id="20" xr3:uid="{D2BE25CA-961F-40EE-9EC1-A49EEA4DDB5A}" name="26" dataDxfId="974"/>
    <tableColumn id="21" xr3:uid="{77AAB025-517F-4236-B11B-AEE9B7399348}" name="27" dataDxfId="973"/>
    <tableColumn id="22" xr3:uid="{E35C7392-A09A-482A-9C37-79B0D6711E60}" name="28" dataDxfId="972"/>
    <tableColumn id="23" xr3:uid="{B9F1E360-1FEC-4978-B5DB-3DECA1925AE9}" name="29" dataDxfId="971"/>
    <tableColumn id="24" xr3:uid="{89A20735-1F9D-4A38-9BEB-B3BD56D1FD35}" name="30" dataDxfId="970"/>
    <tableColumn id="25" xr3:uid="{4BE1A809-8A7F-4933-9AB7-B0E4C9CDDD7E}" name="31" dataDxfId="969"/>
    <tableColumn id="3" xr3:uid="{8BAF39B2-F0EB-433E-8F3A-FEAC89C5F9BF}" name="CARTERA" dataDxfId="968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967" dataDxfId="966">
  <autoFilter ref="CK8:CO16" xr:uid="{A098A3B8-3C17-4FC2-BD2A-EA8EA6D3503A}"/>
  <tableColumns count="5">
    <tableColumn id="1" xr3:uid="{EEB56793-AB81-4365-A4E5-C06A780CA295}" name="VISTA" dataDxfId="965"/>
    <tableColumn id="2" xr3:uid="{54EC6886-D858-4D08-95BC-9CB64C69785F}" name="1" dataDxfId="964"/>
    <tableColumn id="3" xr3:uid="{29622426-510D-41D8-BAAB-33B75A3032DA}" name="2" dataDxfId="963"/>
    <tableColumn id="4" xr3:uid="{10D8188B-45F2-4371-9D53-44980E950C48}" name="3" dataDxfId="962"/>
    <tableColumn id="14" xr3:uid="{88B5AB80-A8EA-41B5-BA7B-E57AF885CB41}" name="4" dataDxfId="961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960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959">
      <calculatedColumnFormula>D1_MAYO_2025[[#This Row],[RECUPERO]]/D1_MAYO_2025[[#This Row],[META]]</calculatedColumnFormula>
    </tableColumn>
    <tableColumn id="7" xr3:uid="{7C5F88F0-9FF3-49CF-BE68-2D455D9DEE81}" name="SUPER2" dataDxfId="958"/>
    <tableColumn id="5" xr3:uid="{5FAC7613-1036-4D50-9A09-AB4F41D88D12}" name="ASESOR" dataDxfId="957"/>
    <tableColumn id="6" xr3:uid="{373B07DA-C176-4486-843D-36C5A3043867}" name="RECUPERO" dataDxfId="956"/>
    <tableColumn id="8" xr3:uid="{CDBFB8A5-E15E-4513-B245-3523278CBBD2}" name="DNI" dataDxfId="955"/>
    <tableColumn id="9" xr3:uid="{64A6BF66-DB3B-4ED3-B1A9-2DF71B8D1ACE}" name="FECHA DE INICIO" dataDxfId="954"/>
    <tableColumn id="10" xr3:uid="{9DD10A75-AE91-4226-BF53-FBC3A38A3094}" name="ESTADO" dataDxfId="953"/>
    <tableColumn id="11" xr3:uid="{E457A2EF-C26E-43DE-BDB2-64E1BFF451C1}" name="SEGMENTO" dataDxfId="95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951" headerRowBorderDxfId="950" tableBorderDxfId="949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948">
      <calculatedColumnFormula>DATA_MAYO_2025[[#This Row],[RECUPERO]]/DATA_MAYO_2025[[#This Row],[META]]</calculatedColumnFormula>
    </tableColumn>
    <tableColumn id="3" xr3:uid="{8551335D-BE40-494B-A806-42FAA211C207}" name="CLASIFICACIÓN" dataDxfId="947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946"/>
    <tableColumn id="6" xr3:uid="{85DC5B94-4FF7-4224-A993-E56A00A5F6DA}" name="RECUPERO" dataDxfId="945">
      <calculatedColumnFormula>SUM(DATA_MAYO_2025[[#This Row],[1]:[31]])</calculatedColumnFormula>
    </tableColumn>
    <tableColumn id="7" xr3:uid="{E2EB46E1-D5BC-46B2-859F-8C05EBBE26F5}" name="META" dataDxfId="944"/>
    <tableColumn id="5" xr3:uid="{A8ED42EF-7F3D-47A1-A928-02CDC650D596}" name="ASER_" dataDxfId="943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42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41" dataDxfId="939" headerRowBorderDxfId="940" tableBorderDxfId="938" totalsRowBorderDxfId="937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36"/>
    <tableColumn id="1" xr3:uid="{E8B4D119-C811-4392-9EE6-8F0C79BEE9E9}" name="RECUPERO SUPERVISOR" dataDxfId="935">
      <calculatedColumnFormula>MAX(DITE_MAYO_2025[[#This Row],[1]:[31]])</calculatedColumnFormula>
    </tableColumn>
    <tableColumn id="2" xr3:uid="{B44E621C-D444-4670-8FB8-CA1A1E3293FE}" name="ALCANCE SUPERVISOR" dataDxfId="934">
      <calculatedColumnFormula>DITE_MAYO_2025[[#This Row],[RECUPERO SUPERVISOR]]/DITE_MAYO_2025[[#This Row],[META SUPER]]</calculatedColumnFormula>
    </tableColumn>
    <tableColumn id="4" xr3:uid="{63B60F11-ECE7-4839-BADE-F875CF35D6C8}" name="SUPER" dataDxfId="933"/>
    <tableColumn id="6" xr3:uid="{795F9848-930D-4B49-893D-00DA36A6069C}" name="1" dataDxfId="932"/>
    <tableColumn id="7" xr3:uid="{A0F1B09B-45CD-4449-B0E0-2A746353F5F6}" name="2" dataDxfId="931"/>
    <tableColumn id="8" xr3:uid="{42485F8E-3938-40CB-B75A-E12120AF085D}" name="3" dataDxfId="930"/>
    <tableColumn id="9" xr3:uid="{16CE59CD-D621-412D-8F6E-F5B8FEEFCBB4}" name="4" dataDxfId="929"/>
    <tableColumn id="10" xr3:uid="{D1B5939A-E95A-4BE2-BA16-796CFB62C7BB}" name="5" dataDxfId="928"/>
    <tableColumn id="11" xr3:uid="{42606FA2-25C4-48F7-BC25-B75CFBF93D7E}" name="6" dataDxfId="927"/>
    <tableColumn id="12" xr3:uid="{91DD2662-D657-4CF0-B378-5B3D9B374F80}" name="7" dataDxfId="926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25"/>
    <tableColumn id="14" xr3:uid="{FDAEFC46-2A8B-451E-929D-76EC4BC7CA39}" name="19" dataDxfId="924"/>
    <tableColumn id="15" xr3:uid="{1F944C9F-2359-45A9-8922-617195550B92}" name="20" dataDxfId="923"/>
    <tableColumn id="16" xr3:uid="{D023EA95-922B-4435-8A92-F165E2F3A560}" name="21" dataDxfId="922"/>
    <tableColumn id="17" xr3:uid="{7AC3BA92-E630-483B-B27E-18C40869116B}" name="22" dataDxfId="921"/>
    <tableColumn id="18" xr3:uid="{3609A57C-B1DB-4D87-9574-007183221000}" name="23" dataDxfId="920"/>
    <tableColumn id="19" xr3:uid="{98740490-1047-4343-85C8-834AE6AF935A}" name="24" dataDxfId="919"/>
    <tableColumn id="20" xr3:uid="{CE682DBD-B5A8-49C9-8A73-515C0BB553A8}" name="25" dataDxfId="918"/>
    <tableColumn id="21" xr3:uid="{2C63A6DB-A36B-488F-8D7C-F86E11CED59A}" name="26" dataDxfId="917"/>
    <tableColumn id="22" xr3:uid="{01511E88-F7F3-4FDD-998C-292B28698241}" name="27" dataDxfId="916"/>
    <tableColumn id="23" xr3:uid="{B0CE642E-7F10-4E00-9DD1-FC5CF0499DC2}" name="28" dataDxfId="915"/>
    <tableColumn id="24" xr3:uid="{EE9469B0-D486-4046-8AA2-36629B9D9667}" name="29" dataDxfId="914"/>
    <tableColumn id="25" xr3:uid="{D05B2A45-8E05-43BB-9FFA-CC56C7D8C31E}" name="30" dataDxfId="913"/>
    <tableColumn id="26" xr3:uid="{AE78D865-FDC9-4B75-AADF-A48F19C319DC}" name="31" dataDxfId="912"/>
    <tableColumn id="3" xr3:uid="{0887DE9C-F035-4EEC-B2F4-4C2CEB11922C}" name="CARTERA" dataDxfId="91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10" dataDxfId="909">
  <autoFilter ref="CK8:CO16" xr:uid="{2E1714BA-AA31-40C3-A8A8-8F7AF2BE18D3}"/>
  <tableColumns count="5">
    <tableColumn id="1" xr3:uid="{FD8B1FFA-2501-4004-A802-184E80D06B91}" name="VISTA" dataDxfId="908"/>
    <tableColumn id="2" xr3:uid="{429A3B8D-50F1-4374-8637-AB41E24A51D7}" name="1" dataDxfId="907"/>
    <tableColumn id="3" xr3:uid="{DF889198-ABC0-4D54-8703-0B6A785ACBEB}" name="2" dataDxfId="906"/>
    <tableColumn id="4" xr3:uid="{441DAF2A-F2AF-4DE9-A31B-DB40B0EF364E}" name="3" dataDxfId="905"/>
    <tableColumn id="14" xr3:uid="{13BCF5FE-8355-4BAE-9E87-9F83B0CDD4C1}" name="4" dataDxfId="904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03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02"/>
    <tableColumn id="5" xr3:uid="{1BF578D9-FB1B-48B0-B732-40F721FD7C19}" name="ASESOR" dataDxfId="901"/>
    <tableColumn id="6" xr3:uid="{CA995F17-DCA5-4D19-B2E1-FD9362121A39}" name="RECUPERO"/>
    <tableColumn id="8" xr3:uid="{9BC620F7-3E10-4417-B0EA-F37D1F039447}" name="DNI" dataDxfId="900"/>
    <tableColumn id="9" xr3:uid="{0CBCBA61-9BA1-4E3D-B6CE-38E6C9A1078C}" name="FECHA DE INICIO" dataDxfId="899"/>
    <tableColumn id="10" xr3:uid="{3A23F58F-8B92-4D7C-82D9-23C8B3B51E6F}" name="ESTADO" dataDxfId="898"/>
    <tableColumn id="11" xr3:uid="{2E50347E-4858-4527-938D-F94ED2AB3BED}" name="SEGMENTO" dataDxfId="897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896" headerRowBorderDxfId="895" tableBorderDxfId="894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893">
      <calculatedColumnFormula>DATA_JUNIO_2025[[#This Row],[RECUPERO]]/DATA_JUNIO_2025[[#This Row],[META]]</calculatedColumnFormula>
    </tableColumn>
    <tableColumn id="3" xr3:uid="{78E201C6-658E-4437-AC52-3D0E669D8389}" name="CLASIFICACIÓN" dataDxfId="892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891"/>
    <tableColumn id="6" xr3:uid="{3AD4A449-DB0B-4879-AD61-28FA40E45717}" name="RECUPERO" dataDxfId="890">
      <calculatedColumnFormula>SUM(DATA_JUNIO_2025[[#This Row],[1]:[31]])</calculatedColumnFormula>
    </tableColumn>
    <tableColumn id="7" xr3:uid="{2BD9FB92-38FC-44A8-B5F2-890569E48C37}" name="META" dataDxfId="889"/>
    <tableColumn id="5" xr3:uid="{9812F1F1-AB5A-41A6-A84D-86B290FCB7E7}" name="ASER_" dataDxfId="888"/>
    <tableColumn id="37" xr3:uid="{834796BA-53F4-4194-919E-D8B97FEA7F3F}" name="1" dataDxfId="887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886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885" dataDxfId="883" headerRowBorderDxfId="884" tableBorderDxfId="882" totalsRowBorderDxfId="881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880"/>
    <tableColumn id="1" xr3:uid="{1A75BF93-811F-4AFA-86B4-9AD496200913}" name="RECUPERO SUPERVISOR" dataDxfId="879"/>
    <tableColumn id="2" xr3:uid="{60B107BC-0938-4363-BE59-47C4E7777D14}" name="ALCANCE SUPERVISOR" dataDxfId="878">
      <calculatedColumnFormula>DITE_JUNIO_2025[[#This Row],[RECUPERO SUPERVISOR]]/DITE_JUNIO_2025[[#This Row],[META SUPER]]</calculatedColumnFormula>
    </tableColumn>
    <tableColumn id="4" xr3:uid="{846684E8-1F2C-4021-AB12-AFBE9E56FAA4}" name="SUPER" dataDxfId="877"/>
    <tableColumn id="6" xr3:uid="{A217DEAD-ACD7-4C63-A622-E2E01ECF328C}" name="1" dataDxfId="876"/>
    <tableColumn id="7" xr3:uid="{5CA18C0A-7D47-455B-B153-EFA8D01D32D6}" name="2" dataDxfId="875"/>
    <tableColumn id="8" xr3:uid="{3CBBE086-E28B-4224-AF45-5A4E7A009E3F}" name="3" dataDxfId="874"/>
    <tableColumn id="9" xr3:uid="{4B327145-F7C9-4ABC-A911-6EB2E553C986}" name="4" dataDxfId="873"/>
    <tableColumn id="10" xr3:uid="{C644450F-2149-4D87-8E04-D3DD6B99C066}" name="5" dataDxfId="872"/>
    <tableColumn id="11" xr3:uid="{92D6DA00-2083-479D-96F6-4B48312C9C12}" name="6" dataDxfId="871"/>
    <tableColumn id="12" xr3:uid="{2EC613D6-BDCD-416F-817F-42C8018B90FE}" name="7" dataDxfId="870"/>
    <tableColumn id="13" xr3:uid="{B55C5834-2D46-4D83-8429-14D18D9B95EF}" name="8" dataDxfId="869"/>
    <tableColumn id="14" xr3:uid="{5C6DF4C8-EDC0-4827-AA8B-9C2B7202A4DA}" name="9" dataDxfId="868"/>
    <tableColumn id="15" xr3:uid="{764D7AA1-F3E2-4E06-A4A9-952B47F95E76}" name="10" dataDxfId="867"/>
    <tableColumn id="16" xr3:uid="{6D896E44-118D-4124-BF4A-2E06B8568517}" name="11" dataDxfId="866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865"/>
    <tableColumn id="18" xr3:uid="{E97C32F3-7B30-46E7-B4CD-72B412E48E28}" name="22" dataDxfId="864"/>
    <tableColumn id="19" xr3:uid="{FD784BF8-211E-4275-A9B4-168979C2AFD1}" name="23" dataDxfId="863"/>
    <tableColumn id="20" xr3:uid="{766DA9FA-C407-4AC5-BFFB-BF6A1B6D5B26}" name="24" dataDxfId="862"/>
    <tableColumn id="21" xr3:uid="{CD1B765C-53CF-4C5C-A708-487BC53AF68A}" name="25" dataDxfId="861"/>
    <tableColumn id="22" xr3:uid="{2800A805-A560-4CF0-B47E-4486A92755E4}" name="26" dataDxfId="860"/>
    <tableColumn id="23" xr3:uid="{7067EFFA-F2EA-4FFF-A281-8E3E0E718C87}" name="27" dataDxfId="859"/>
    <tableColumn id="24" xr3:uid="{BB01C4B5-FEB4-44E1-BF58-4C9BF81261B1}" name="28" dataDxfId="858"/>
    <tableColumn id="25" xr3:uid="{2116D7DE-6632-4314-9539-6B4BA9407512}" name="29" dataDxfId="857"/>
    <tableColumn id="37" xr3:uid="{CBFA4429-3DA2-46C7-A9A0-49B669AE33A6}" name="30"/>
    <tableColumn id="26" xr3:uid="{B0D188FD-F41F-4C43-A42F-87048D9F3347}" name="31" dataDxfId="856"/>
    <tableColumn id="3" xr3:uid="{153A774F-FA3D-4DE9-A743-A193E9EC2BE7}" name="CARTERA" dataDxfId="855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854" dataDxfId="853">
  <autoFilter ref="CK8:CO16" xr:uid="{D9FB21D9-7D2B-4B44-80D1-3C8656081B59}"/>
  <tableColumns count="5">
    <tableColumn id="1" xr3:uid="{55CC47EE-B5EB-4C22-912A-314A0C4A22CD}" name="VISTA" dataDxfId="852"/>
    <tableColumn id="2" xr3:uid="{68D27FF1-F05E-4881-A0C1-4566D81A7430}" name="1" dataDxfId="851"/>
    <tableColumn id="3" xr3:uid="{E7DA3F7B-A434-4EEC-A6F7-AC22B5F4CAE6}" name="2" dataDxfId="850"/>
    <tableColumn id="4" xr3:uid="{B8418D52-AA16-49C2-A8AA-75631794246B}" name="3" dataDxfId="849"/>
    <tableColumn id="14" xr3:uid="{5C3F1E9C-C0C1-4E39-B365-91CF22966878}" name="4" dataDxfId="848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47" headerRowBorderDxfId="846" tableBorderDxfId="845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44">
      <calculatedColumnFormula>DATA_JULIO_2025[[#This Row],[RECUPERO]]/DATA_JULIO_2025[[#This Row],[META]]</calculatedColumnFormula>
    </tableColumn>
    <tableColumn id="3" xr3:uid="{1754C817-3C23-490F-BEA3-3ACD2AC34A65}" name="CLASIFICACIÓN" dataDxfId="843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842"/>
    <tableColumn id="6" xr3:uid="{BCDF5A35-E274-481A-8FAA-7585E0413D78}" name="RECUPERO" dataDxfId="841">
      <calculatedColumnFormula>SUM(DATA_JULIO_2025[[#This Row],[1]:[31]])</calculatedColumnFormula>
    </tableColumn>
    <tableColumn id="7" xr3:uid="{8DE1FEE0-51D3-4EA8-A46E-89BEBA12056E}" name="META" dataDxfId="840"/>
    <tableColumn id="1" xr3:uid="{3C41F150-757E-4673-8594-D891B2820E33}" name="ASER_" dataDxfId="839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38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36" headerRowBorderDxfId="837" tableBorderDxfId="835">
  <autoFilter ref="A2:K85" xr:uid="{F460AB3C-55A7-4610-B74D-44400B82E396}"/>
  <tableColumns count="11">
    <tableColumn id="1" xr3:uid="{174E92CC-5FBB-42E6-ABBA-A2148115201A}" name="SUPER" dataDxfId="834">
      <calculatedColumnFormula>D1_JULIO_2025[[#This Row],[SUPER2]]</calculatedColumnFormula>
    </tableColumn>
    <tableColumn id="6" xr3:uid="{D87E1435-21B2-485D-8BCD-1C27FC523EEA}" name="ASESOR_CRR" dataDxfId="833"/>
    <tableColumn id="2" xr3:uid="{FC570054-965C-4F29-B04A-C58608AEAECA}" name="META" dataDxfId="832">
      <calculatedColumnFormula>VLOOKUP(D1_JULIO_2025[[#This Row],[SUPER]],DATA_JULIO_2025[[SUPERVISOR]:[META]],3,0)</calculatedColumnFormula>
    </tableColumn>
    <tableColumn id="3" xr3:uid="{CF023A93-4AFB-4349-9235-179A60BC2249}" name="ALCANCE" dataDxfId="831">
      <calculatedColumnFormula>D1_JULIO_2025[[#This Row],[RECUPERO]]/C3</calculatedColumnFormula>
    </tableColumn>
    <tableColumn id="7" xr3:uid="{59576C9E-00A8-419A-8EFC-86D74D6B4B3F}" name="SUPER2" dataDxfId="830"/>
    <tableColumn id="4" xr3:uid="{6F567985-92B6-498E-BDE9-81AA438ECD22}" name="ASESOR" dataDxfId="829"/>
    <tableColumn id="5" xr3:uid="{2DFC340F-6B74-4E64-B475-782D4A5F8B3E}" name="RECUPERO" dataDxfId="828"/>
    <tableColumn id="8" xr3:uid="{D42D0BDD-24C5-4390-9867-D5F3D45952CE}" name="DNI" dataDxfId="827"/>
    <tableColumn id="9" xr3:uid="{A9555617-B6CF-4123-9AD8-5E9DB6528E74}" name="FECHA DE INICIO" dataDxfId="826"/>
    <tableColumn id="10" xr3:uid="{1C792B0A-E0F3-406D-8123-75E932FC95A1}" name="ESTADO" dataDxfId="825"/>
    <tableColumn id="11" xr3:uid="{9C7DD975-8CE5-47A7-9055-3D889431846F}" name="SEGMENTO" dataDxfId="824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23" dataDxfId="821" headerRowBorderDxfId="822" tableBorderDxfId="820" totalsRowBorderDxfId="819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18"/>
    <tableColumn id="1" xr3:uid="{4CE2BFB4-C324-4ECE-B3B7-77A433373BEC}" name="RECUPERO SUPERVISOR" dataDxfId="817"/>
    <tableColumn id="2" xr3:uid="{76C6BCA1-6820-46A6-B790-01B3E88F6266}" name="ALCANCE SUPERVISOR" dataDxfId="816">
      <calculatedColumnFormula>BA9/DITE_JULIO_2025[[#This Row],[META SUPER]]</calculatedColumnFormula>
    </tableColumn>
    <tableColumn id="4" xr3:uid="{FE9C5289-6F21-4D71-92B6-F36B6C9748E7}" name="SUPER" dataDxfId="815"/>
    <tableColumn id="6" xr3:uid="{A5188244-D142-4196-92CC-15B237C3E734}" name="1" dataDxfId="814"/>
    <tableColumn id="7" xr3:uid="{9754BD88-AFD1-4BCB-AF69-DA7B55E3A053}" name="2" dataDxfId="813"/>
    <tableColumn id="8" xr3:uid="{851C8CA8-D257-4BFB-B6BE-D82354200CA7}" name="3" dataDxfId="812"/>
    <tableColumn id="9" xr3:uid="{AE769B63-903F-46E5-A3F0-8DA27C689974}" name="4" dataDxfId="811"/>
    <tableColumn id="10" xr3:uid="{D09A5961-EE10-491A-BFFE-C5ABD80598A8}" name="5" dataDxfId="810"/>
    <tableColumn id="11" xr3:uid="{EC4AF483-303E-4488-AFA2-DD9A058F071A}" name="6" dataDxfId="809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08"/>
    <tableColumn id="13" xr3:uid="{377D024A-00DD-4A77-A549-5C6BEBE894D0}" name="19" dataDxfId="807"/>
    <tableColumn id="14" xr3:uid="{8FABF999-C8BA-4B7D-980A-2659F766178B}" name="20" dataDxfId="806"/>
    <tableColumn id="15" xr3:uid="{06AC6AD7-A191-47DD-AE3F-9A0525AF8DD6}" name="21" dataDxfId="805"/>
    <tableColumn id="16" xr3:uid="{BB465107-63D7-443B-8989-EF197F62D322}" name="22" dataDxfId="804"/>
    <tableColumn id="17" xr3:uid="{3DFE5CBD-1315-4CBA-A14E-1763583D7BEC}" name="23" dataDxfId="803"/>
    <tableColumn id="18" xr3:uid="{5DB3135E-36A1-4F0D-890E-50AC461B96C4}" name="24" dataDxfId="802"/>
    <tableColumn id="19" xr3:uid="{57CA79FE-F6A3-4697-8926-36322AD1BC6C}" name="25" dataDxfId="801"/>
    <tableColumn id="20" xr3:uid="{A99C4302-A806-4344-ABAF-AF753E7EF30D}" name="26" dataDxfId="800"/>
    <tableColumn id="21" xr3:uid="{D1C3F20A-0988-4CC4-8D06-ED3EE15A7AB1}" name="27" dataDxfId="799"/>
    <tableColumn id="22" xr3:uid="{ECEC5739-F3E4-44C4-9408-4DAA6DE5069C}" name="28" dataDxfId="798"/>
    <tableColumn id="23" xr3:uid="{CD77FB96-6C17-47A0-82BA-2ABEA1725A41}" name="29" dataDxfId="797"/>
    <tableColumn id="24" xr3:uid="{87D0EFA1-B9FB-444F-B737-EE4C1B838FBC}" name="30" dataDxfId="796"/>
    <tableColumn id="25" xr3:uid="{BF0F5A29-80D1-482F-9C53-48E4478A5F1D}" name="31" dataDxfId="795"/>
    <tableColumn id="3" xr3:uid="{51B2E01F-098B-4EAB-AB37-99A7A456DDF6}" name="CARTERA" dataDxfId="794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793" dataDxfId="792">
  <autoFilter ref="CK8:CO16" xr:uid="{48E2B3F9-662F-43E3-B2D7-EF047720147C}"/>
  <tableColumns count="5">
    <tableColumn id="1" xr3:uid="{31EE75DE-2574-4FED-AE5C-102BACD54839}" name="VISTA" dataDxfId="791"/>
    <tableColumn id="2" xr3:uid="{5D48C081-2B85-4A2C-B334-4EFE9F1D31D4}" name="1" dataDxfId="790"/>
    <tableColumn id="3" xr3:uid="{48F2F8E6-86C2-4EB7-B42C-6C436443A10C}" name="2" dataDxfId="789"/>
    <tableColumn id="4" xr3:uid="{F2194CAB-7275-4416-B293-5EB972058E9D}" name="3" dataDxfId="788"/>
    <tableColumn id="14" xr3:uid="{00A2B7A6-F441-48AC-9C48-2016F4FEC44D}" name="4" dataDxfId="787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785" headerRowBorderDxfId="786" tableBorderDxfId="784">
  <autoFilter ref="A2:K91" xr:uid="{816CEBCE-101B-42C2-A45C-8113A647428A}"/>
  <tableColumns count="11">
    <tableColumn id="1" xr3:uid="{596664E6-24CF-4AF3-A84D-121AC4745B4C}" name="SUPER" dataDxfId="783"/>
    <tableColumn id="6" xr3:uid="{CA4B13E9-2CAB-42E2-A028-4DFB844CF726}" name="ASESOR_CRR" dataDxfId="782"/>
    <tableColumn id="2" xr3:uid="{B3C2F90C-6F59-4998-9F82-960596BF09D8}" name="META" dataDxfId="781">
      <calculatedColumnFormula>VLOOKUP(D1_AGOSTO_2025[[#This Row],[SUPER]],DATA_AGOSTO_2025[[SUPERVISOR]:[META]],3,0)</calculatedColumnFormula>
    </tableColumn>
    <tableColumn id="3" xr3:uid="{6CE379C4-19C8-4C90-81DB-EA83E873B03A}" name="ALCANCE" dataDxfId="780"/>
    <tableColumn id="7" xr3:uid="{28AC502F-3113-4B59-AA88-4F9E0E7D938B}" name="SUPER2" dataDxfId="779"/>
    <tableColumn id="4" xr3:uid="{9AE19661-0B03-4D03-9661-4B81FCE456D3}" name="ASESOR" dataDxfId="778"/>
    <tableColumn id="5" xr3:uid="{9CCAC285-FD2E-415B-BE6E-AD7E20CECF29}" name="RECUPERO" dataDxfId="777">
      <calculatedColumnFormula>VLOOKUP(D1_AGOSTO_2025[[#This Row],[ASESOR]],$E$95:$F$176,2,0)</calculatedColumnFormula>
    </tableColumn>
    <tableColumn id="8" xr3:uid="{043E81D5-B688-480A-9A28-C451E6CC8ACE}" name="DNI" dataDxfId="776"/>
    <tableColumn id="9" xr3:uid="{1F9CE105-EFA8-4FFE-9C5C-0AB581B961DE}" name="FECHA DE INICIO" dataDxfId="775"/>
    <tableColumn id="10" xr3:uid="{6CA7DA08-8CCF-441D-AE86-422E2259780A}" name="ESTADO" dataDxfId="774"/>
    <tableColumn id="11" xr3:uid="{9109CC4D-CC03-42BB-8F60-09A0400B4073}" name="SEGMENTO" dataDxfId="773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772" headerRowBorderDxfId="771" tableBorderDxfId="770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769">
      <calculatedColumnFormula>DATA_AGOSTO_2025[[#This Row],[RECUPERO]]/DATA_AGOSTO_2025[[#This Row],[META]]</calculatedColumnFormula>
    </tableColumn>
    <tableColumn id="3" xr3:uid="{88C3CECE-F881-4C05-BA2B-95B253894A39}" name="CLASIFICACIÓN" dataDxfId="768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767"/>
    <tableColumn id="6" xr3:uid="{40820BC6-7E2D-416A-AC23-B4520FC0957D}" name="RECUPERO" dataDxfId="766">
      <calculatedColumnFormula>SUM(DATA_AGOSTO_2025[[#This Row],[1]:[31]])</calculatedColumnFormula>
    </tableColumn>
    <tableColumn id="7" xr3:uid="{F7BC8835-EC2E-4047-8AE9-C742ABE03445}" name="META" dataDxfId="765"/>
    <tableColumn id="5" xr3:uid="{22298E20-98EB-421A-8978-F019348D2A10}" name="ASER_" dataDxfId="764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763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762" dataDxfId="760" headerRowBorderDxfId="761" tableBorderDxfId="759" totalsRowBorderDxfId="758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757"/>
    <tableColumn id="1" xr3:uid="{D853C78B-294B-4C5B-87F9-8B837DBCA858}" name="RECUPERO SUPERVISOR" dataDxfId="756">
      <calculatedColumnFormula>MAX(DITE_AGOSTO_2025[[#This Row],[1]:[31]])</calculatedColumnFormula>
    </tableColumn>
    <tableColumn id="2" xr3:uid="{A6B49739-8C7F-42B7-AB2B-2D9B8785D8A7}" name="ALCANCE SUPERVISOR" dataDxfId="755">
      <calculatedColumnFormula>DITE_AGOSTO_2025[[#This Row],[RECUPERO SUPERVISOR]]/DITE_AGOSTO_2025[[#This Row],[META SUPER]]</calculatedColumnFormula>
    </tableColumn>
    <tableColumn id="4" xr3:uid="{96D2A1C2-9EA3-4132-B41A-8B57BBB00DD3}" name="SUPER" dataDxfId="754"/>
    <tableColumn id="6" xr3:uid="{49EEE6CA-AF7B-4615-AE46-CA713F4E9209}" name="1" dataDxfId="753"/>
    <tableColumn id="7" xr3:uid="{61649C96-BFE5-4D18-BCE1-727E2E74D883}" name="2" dataDxfId="752"/>
    <tableColumn id="8" xr3:uid="{3D095B63-6086-4E9E-85B2-511507890CD8}" name="3" dataDxfId="751"/>
    <tableColumn id="9" xr3:uid="{36CD21E6-51F3-49C9-8448-36B269029EF6}" name="4" dataDxfId="750"/>
    <tableColumn id="10" xr3:uid="{D4DBAD01-5AE1-474A-AF64-A98DFD56153A}" name="5" dataDxfId="749"/>
    <tableColumn id="11" xr3:uid="{FDF3CA30-E7DF-4684-9747-03744CC16AAE}" name="6" dataDxfId="748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47"/>
    <tableColumn id="13" xr3:uid="{55EA3D15-E74B-4AB3-B0D5-B387C3EAAB83}" name="19" dataDxfId="746"/>
    <tableColumn id="14" xr3:uid="{507E3CA9-692F-4A2D-BA96-B401D04EEDD0}" name="20" dataDxfId="745"/>
    <tableColumn id="15" xr3:uid="{E5F719C0-0646-408A-976E-C57966E876F4}" name="21" dataDxfId="744"/>
    <tableColumn id="16" xr3:uid="{8AC2AE0D-50EC-4387-A0A4-A1F2DF092A3C}" name="22" dataDxfId="743"/>
    <tableColumn id="17" xr3:uid="{7B1EE470-E258-4B37-BEC3-E798950632D8}" name="23" dataDxfId="742"/>
    <tableColumn id="18" xr3:uid="{F77C3800-E94B-4C32-A796-122D364094EA}" name="24" dataDxfId="741"/>
    <tableColumn id="19" xr3:uid="{0DA4161D-30F3-4E97-BCBB-4C1E891B36FB}" name="25" dataDxfId="740"/>
    <tableColumn id="20" xr3:uid="{94B916D9-415F-4F66-A6C0-0EE398A152E9}" name="26" dataDxfId="739"/>
    <tableColumn id="21" xr3:uid="{D814BC25-89A4-4A6B-B889-6BF06DD3D2EC}" name="27" dataDxfId="738"/>
    <tableColumn id="22" xr3:uid="{7DEFEDE7-498F-4CCF-A7C2-F63ACE1BA092}" name="28" dataDxfId="737"/>
    <tableColumn id="23" xr3:uid="{CA36A7C5-BBBD-47FB-AAB4-1F5CBDA1EE93}" name="29" dataDxfId="736"/>
    <tableColumn id="24" xr3:uid="{958DFD93-9566-47EC-807E-E21861CB1F39}" name="30" dataDxfId="735"/>
    <tableColumn id="25" xr3:uid="{C690FBB6-6A9F-4B4D-AEF8-49C27DFF4FCF}" name="31" dataDxfId="734"/>
    <tableColumn id="3" xr3:uid="{C5283215-E8BB-41D8-B093-AA31F8252394}" name="CARTERA" dataDxfId="733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32" dataDxfId="731">
  <autoFilter ref="CK8:CO16" xr:uid="{F87BB197-1AE0-4BDF-9FA2-D3F0B9DD04D0}"/>
  <tableColumns count="5">
    <tableColumn id="1" xr3:uid="{AA5ECB22-5212-4662-845A-8A24E801A51F}" name="VISTA" dataDxfId="730"/>
    <tableColumn id="2" xr3:uid="{78D9D13B-EF75-45F0-93B7-BAA08E0B7ABC}" name="1" dataDxfId="729"/>
    <tableColumn id="3" xr3:uid="{3CE791BD-7328-44DB-9BFA-5D8BF570A949}" name="2" dataDxfId="728"/>
    <tableColumn id="4" xr3:uid="{49E31886-56A4-42DE-B2AE-EAB0409A548C}" name="3" dataDxfId="727"/>
    <tableColumn id="14" xr3:uid="{F061C5EE-AFA6-4BE4-B2E0-EA41297C9692}" name="4" dataDxfId="726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24" headerRowBorderDxfId="725" tableBorderDxfId="723">
  <autoFilter ref="A2:I80" xr:uid="{111BC5E6-A71D-437E-ABD5-0E09FCDEF3FD}"/>
  <tableColumns count="9">
    <tableColumn id="1" xr3:uid="{EABDBA5F-3C1B-4AC8-8F40-8C9EED5560F3}" name="SUPER" dataDxfId="722"/>
    <tableColumn id="6" xr3:uid="{C37701A2-99CA-45B9-AA89-63D54C88C5B9}" name="ASESOR_CRR" dataDxfId="721"/>
    <tableColumn id="2" xr3:uid="{8360BA59-782B-4699-ABEA-458A3C9299AD}" name="RECUP" dataDxfId="720"/>
    <tableColumn id="3" xr3:uid="{BD5C8833-8CBB-40D9-BC66-F164208CFEC0}" name="ALCANCE" dataDxfId="719"/>
    <tableColumn id="7" xr3:uid="{07FA8551-F17A-4D20-BAC6-4B128B0ECF57}" name="SUPER2" dataDxfId="718"/>
    <tableColumn id="4" xr3:uid="{91470BB1-1A8E-4802-9D93-28E5A1DF6790}" name="ASESOR" dataDxfId="717"/>
    <tableColumn id="5" xr3:uid="{2B49EE5D-87EB-458C-99B1-7F94B8EDDE4B}" name="RECUPERO" dataDxfId="716"/>
    <tableColumn id="8" xr3:uid="{1A69791E-D827-4498-A9B8-C02ED9E8C0C0}" name="DNI" dataDxfId="715"/>
    <tableColumn id="9" xr3:uid="{17EC964E-623C-4526-9375-D1DFD0BBB147}" name="FECHA DE INGRESO" dataDxfId="714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13" headerRowBorderDxfId="712" tableBorderDxfId="711">
  <autoFilter ref="J8:O86" xr:uid="{91775BD2-E36D-479B-95DE-48127C3410BC}"/>
  <tableColumns count="6">
    <tableColumn id="2" xr3:uid="{033A6CF7-EC22-4EEE-8FF0-8C343161421D}" name="AL_AC" dataDxfId="710"/>
    <tableColumn id="3" xr3:uid="{2234E43A-FB04-4BD5-A5FB-BE681630D39D}" name="CLASIFICACIÓN" dataDxfId="709"/>
    <tableColumn id="1" xr3:uid="{E68E03C4-584B-48EC-AA41-D10E171DF6E2}" name="SUPERVISOR" dataDxfId="708"/>
    <tableColumn id="6" xr3:uid="{8FEE60A3-7153-47ED-82A3-25E3E95BD5B9}" name="RECUPERO" dataDxfId="707"/>
    <tableColumn id="5" xr3:uid="{96DEFE26-B796-4F9F-BB26-62A9B1295009}" name="META" dataDxfId="706"/>
    <tableColumn id="4" xr3:uid="{98491906-C3E6-4CCF-96D0-36184A648156}" name="ASER_" dataDxfId="705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04" dataDxfId="702" headerRowBorderDxfId="703" tableBorderDxfId="701" totalsRowBorderDxfId="700">
  <autoFilter ref="Q8:AQ16" xr:uid="{B03330B9-97D2-48C8-8B43-740321917DA5}"/>
  <tableColumns count="27">
    <tableColumn id="5" xr3:uid="{4E3B6BB8-3B21-487C-8667-D21D7F0B0DDF}" name="META SUPER" dataDxfId="699"/>
    <tableColumn id="1" xr3:uid="{C390EAAF-612A-443A-A32B-07A66CB5EF93}" name="RECUPERO SUPERVISOR" dataDxfId="698"/>
    <tableColumn id="2" xr3:uid="{BF66D468-0BA9-433F-A558-DB3EB49638C0}" name="ALCANCE SUPERVISOR" dataDxfId="697"/>
    <tableColumn id="4" xr3:uid="{833C2FF4-09CC-46A1-B127-078899129ED2}" name="SUPER" dataDxfId="696"/>
    <tableColumn id="6" xr3:uid="{7268ABE3-61CC-4084-9F8D-F9F866838337}" name="1-Set" dataDxfId="695"/>
    <tableColumn id="7" xr3:uid="{934984E8-2516-4844-B21B-29330A07EEE9}" name="2-Set" dataDxfId="694"/>
    <tableColumn id="8" xr3:uid="{5F8B97B9-8D43-4455-9D8F-E58FD0EDAC17}" name="3-Set" dataDxfId="693"/>
    <tableColumn id="9" xr3:uid="{85D24C9E-9252-4D30-9E54-18DBF77A6C70}" name="4-Set" dataDxfId="692"/>
    <tableColumn id="10" xr3:uid="{5A78F08C-1794-450A-88A4-F02CE65D2409}" name="5-Set" dataDxfId="691"/>
    <tableColumn id="11" xr3:uid="{C9868C58-D704-4A31-95DB-6D8FBCC63D90}" name="8-Set" dataDxfId="690"/>
    <tableColumn id="12" xr3:uid="{5A69AB6F-1CBE-456F-9AB1-9CFA02551564}" name="9-Set" dataDxfId="689"/>
    <tableColumn id="13" xr3:uid="{2FB09AC7-C3A6-45CD-8892-0B683DF946C3}" name="10-Set" dataDxfId="688"/>
    <tableColumn id="14" xr3:uid="{B8720ED9-AC2B-41EC-BFA3-A12BF9C966CC}" name="11-Set" dataDxfId="687"/>
    <tableColumn id="15" xr3:uid="{31CBBA73-A7BD-468C-BD0B-435687D2ACAD}" name="12-Set" dataDxfId="686"/>
    <tableColumn id="16" xr3:uid="{02C13EA1-381F-4C2D-B917-AF0FF1A9F773}" name="15-Set" dataDxfId="685"/>
    <tableColumn id="17" xr3:uid="{E6B04D90-5126-40CD-BDA1-E2B120BAD73C}" name="16-Set" dataDxfId="684"/>
    <tableColumn id="18" xr3:uid="{7CB5014E-CB0D-4F8A-A9D7-BD9A166A1B37}" name="17-Set" dataDxfId="683"/>
    <tableColumn id="19" xr3:uid="{040ABF10-1BFC-447A-AE21-D052CBC2ED82}" name="18-Set" dataDxfId="682"/>
    <tableColumn id="20" xr3:uid="{44DFBCB9-0C1E-48F5-ACC2-AC0990D1520D}" name="19-Set" dataDxfId="681"/>
    <tableColumn id="21" xr3:uid="{AFFC2ABC-F24F-4F16-B5DD-03747097DBCC}" name="22-Set" dataDxfId="680"/>
    <tableColumn id="22" xr3:uid="{E8A652BF-A601-498B-965E-DF95F032A19E}" name="23-Set" dataDxfId="679"/>
    <tableColumn id="23" xr3:uid="{E1A1F3EC-A932-4B54-BD80-6B3004BAC18C}" name="24-Set" dataDxfId="678"/>
    <tableColumn id="24" xr3:uid="{7F5C1B88-4DF8-4775-AEFB-F5F5D12AD778}" name="25-Set" dataDxfId="677"/>
    <tableColumn id="25" xr3:uid="{B40C371A-A255-4AD7-B43D-47350B1FF421}" name="26-Set" dataDxfId="676"/>
    <tableColumn id="26" xr3:uid="{AFFE8D31-2DD6-4039-8ED5-AD63D5758F88}" name="29-Set" dataDxfId="675"/>
    <tableColumn id="27" xr3:uid="{041693B7-E11C-4B55-8C93-8CFB39922E84}" name="30-Set" dataDxfId="674"/>
    <tableColumn id="3" xr3:uid="{1DAB60E5-FA3D-4422-89D0-AD46643BF45E}" name="CARTERA" dataDxfId="673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672"/>
    <tableColumn id="5" xr3:uid="{2D06A3B4-3271-49A3-9C7C-FFC311CAB0D8}" name="ASESOR"/>
    <tableColumn id="6" xr3:uid="{7C83291E-5126-4377-B991-EBB23328360F}" name="RECUPERO" dataDxfId="671">
      <calculatedColumnFormula>VLOOKUP(D1_OCTUBRE_2025[[#This Row],[ASESOR]],F78:$G$155,2,0)</calculatedColumnFormula>
    </tableColumn>
    <tableColumn id="8" xr3:uid="{7F2D2756-92A6-4522-A15C-2F10A82AAD95}" name="DNI" dataDxfId="670"/>
    <tableColumn id="9" xr3:uid="{B01E98C6-A76C-417B-B7FA-B0F1C8C2C7C6}" name="FECHA DE INICIO" dataDxfId="669"/>
    <tableColumn id="10" xr3:uid="{DEB6156D-2B0C-4157-8EE4-0EE1578CCF4A}" name="ESTADO" dataDxfId="668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667" tableBorderDxfId="66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665">
      <calculatedColumnFormula>DATA_OCTUBRE_2025[[#This Row],[RECUPERO]]/DATA_OCTUBRE_2025[[#This Row],[META]]</calculatedColumnFormula>
    </tableColumn>
    <tableColumn id="3" xr3:uid="{EE681579-D463-48E9-A57F-B73D04925E37}" name="CLASIFICACIÓN" dataDxfId="664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663"/>
    <tableColumn id="6" xr3:uid="{3B45E8CF-4BCD-492C-B1A3-3E157855AA4E}" name="RECUPERO" dataDxfId="662">
      <calculatedColumnFormula>SUM(DATA_OCTUBRE_2025[[#This Row],[1]:[31]])</calculatedColumnFormula>
    </tableColumn>
    <tableColumn id="7" xr3:uid="{2D762908-0860-493B-A482-9514EAD41E9B}" name="META" dataDxfId="661"/>
    <tableColumn id="4" xr3:uid="{B03F71B4-D73E-47CB-8F19-B1EBCB980D51}" name="ASER_" dataDxfId="660"/>
    <tableColumn id="8" xr3:uid="{DADEF8E1-B4EF-4A54-BDEA-772F65B2659B}" name="1" dataDxfId="659"/>
    <tableColumn id="9" xr3:uid="{09759773-B387-4885-980B-3377FCF2784C}" name="2" dataDxfId="658"/>
    <tableColumn id="10" xr3:uid="{0BEF3C74-7822-4935-9DEF-DBB8EF94B2E8}" name="3" dataDxfId="657"/>
    <tableColumn id="11" xr3:uid="{AB623BA8-8BC3-4899-82B4-0D2F75C64AC1}" name="4" dataDxfId="656"/>
    <tableColumn id="12" xr3:uid="{F3FF380C-FA1C-400D-953D-2426EC1D78FF}" name="5" dataDxfId="655"/>
    <tableColumn id="13" xr3:uid="{513A526B-B8DC-4F0A-BB71-A3C5DCBEE598}" name="6" dataDxfId="654"/>
    <tableColumn id="14" xr3:uid="{FE79AC7F-62E7-4115-BE1B-AAF936521653}" name="7" dataDxfId="653"/>
    <tableColumn id="15" xr3:uid="{68C170E4-F271-468B-91F8-3408D287CC52}" name="8" dataDxfId="652"/>
    <tableColumn id="16" xr3:uid="{AD7DCB27-1227-49CE-B962-67316F312A49}" name="9" dataDxfId="651"/>
    <tableColumn id="17" xr3:uid="{A28A426F-20DF-4E28-817D-D45F6DE67B10}" name="10" dataDxfId="650"/>
    <tableColumn id="18" xr3:uid="{E8A185AF-1E28-4F0F-9855-74F54DBD006B}" name="11" dataDxfId="649"/>
    <tableColumn id="19" xr3:uid="{63732328-29EA-40C6-ACD8-4B4DD4B4CF86}" name="12" dataDxfId="64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47"/>
    <tableColumn id="21" xr3:uid="{C17C4587-18F5-4FBD-868F-EBEC86A07A20}" name="23" dataDxfId="646"/>
    <tableColumn id="22" xr3:uid="{A943FEC5-F867-455B-820F-28C4395DB276}" name="24" dataDxfId="645"/>
    <tableColumn id="23" xr3:uid="{A8FFD2FC-7F1E-4386-AF41-D5EEEF19CDD0}" name="25" dataDxfId="644"/>
    <tableColumn id="24" xr3:uid="{ADF6FE87-D285-4286-AA45-3909EFB078E5}" name="26" dataDxfId="643"/>
    <tableColumn id="25" xr3:uid="{2F0BE83F-F151-4F99-839F-143CA77B5B85}" name="27" dataDxfId="642"/>
    <tableColumn id="26" xr3:uid="{380107E6-E719-4EEB-80BE-3FC920AAB0D8}" name="28" dataDxfId="641"/>
    <tableColumn id="27" xr3:uid="{E4578405-DBB6-4571-976F-D9686E90472D}" name="29" dataDxfId="640"/>
    <tableColumn id="28" xr3:uid="{C03A0B6A-D740-474A-B5C0-16AD1C50D0EF}" name="30" dataDxfId="639"/>
    <tableColumn id="29" xr3:uid="{ABC45238-95B8-44E1-B32D-323E0E09BD1E}" name="31" dataDxfId="638"/>
    <tableColumn id="5" xr3:uid="{DFC53255-43CA-45C9-9269-4215B54AB062}" name="CARTERA ASESOR" dataDxfId="637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36" dataDxfId="634" headerRowBorderDxfId="635" tableBorderDxfId="633" totalsRowBorderDxfId="63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31">
      <calculatedColumnFormula>VLOOKUP($M$3&amp;$N$3&amp;DITE_OCTUBRE_2025[[#This Row],[SUPER]],TablaMeta[],5,0)</calculatedColumnFormula>
    </tableColumn>
    <tableColumn id="1" xr3:uid="{2B34CFC4-0C9F-41CE-999A-2588C7446A9F}" name="RECUPERO SUPERVISOR" dataDxfId="630">
      <calculatedColumnFormula>MAX(DITE_OCTUBRE_2025[[#This Row],[1]:[31]])</calculatedColumnFormula>
    </tableColumn>
    <tableColumn id="2" xr3:uid="{12F44D75-C159-4886-875E-F84E5B64A541}" name="ALCANCE SUPERVISOR" dataDxfId="62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28"/>
    <tableColumn id="6" xr3:uid="{949DC2F4-4585-4646-A396-157D2DF8052D}" name="1" dataDxfId="627"/>
    <tableColumn id="7" xr3:uid="{97391D14-7779-42A7-9DB8-C0989C430B43}" name="2" dataDxfId="626"/>
    <tableColumn id="8" xr3:uid="{6354D769-4310-45AC-8145-E44CED72B4A9}" name="3" dataDxfId="625"/>
    <tableColumn id="9" xr3:uid="{4656D04C-0F05-4626-AF66-C82B40AEFAD8}" name="4" dataDxfId="624"/>
    <tableColumn id="10" xr3:uid="{7D1ED70B-0155-4C0E-8A2F-37B332A6F313}" name="5" dataDxfId="623"/>
    <tableColumn id="11" xr3:uid="{0111FAC8-499F-4CC3-8375-0BF99A4C35FA}" name="6" dataDxfId="622"/>
    <tableColumn id="12" xr3:uid="{C0C00B80-78A4-43E2-93D4-3EE00B3626FF}" name="7" dataDxfId="621"/>
    <tableColumn id="13" xr3:uid="{83880E56-1497-4302-8CA7-1D39E0DC1A97}" name="8" dataDxfId="620"/>
    <tableColumn id="14" xr3:uid="{BE01EA14-2F15-437D-A238-21FF4B75A0DE}" name="9" dataDxfId="619"/>
    <tableColumn id="15" xr3:uid="{EB92F6CE-8ACE-4537-AECA-46B61474948E}" name="10" dataDxfId="618"/>
    <tableColumn id="16" xr3:uid="{6D6490DB-3DEB-438C-AB40-C97EC626F0BE}" name="11" dataDxfId="617"/>
    <tableColumn id="17" xr3:uid="{0392FF10-F85D-41D2-8460-C3A186218696}" name="12" dataDxfId="61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15"/>
    <tableColumn id="19" xr3:uid="{3D252296-5BDD-4576-BACF-EBAA4EDD5204}" name="23" dataDxfId="614"/>
    <tableColumn id="20" xr3:uid="{23EB3C4F-7D5A-4D3B-8B24-D8DE6128BA5F}" name="24" dataDxfId="613"/>
    <tableColumn id="21" xr3:uid="{129CAF30-1851-4238-9880-454B24575BB9}" name="25" dataDxfId="612"/>
    <tableColumn id="22" xr3:uid="{72C02609-42DC-4EDE-B4E1-44D533A24355}" name="26" dataDxfId="611"/>
    <tableColumn id="23" xr3:uid="{9123D15C-9492-4356-8328-1BE17F140523}" name="27" dataDxfId="610"/>
    <tableColumn id="24" xr3:uid="{9D5D7ED1-F248-4C81-8326-BBA9C067C915}" name="28" dataDxfId="609"/>
    <tableColumn id="25" xr3:uid="{AF14494A-3DA5-4A85-BD20-353698E70147}" name="29" dataDxfId="608"/>
    <tableColumn id="26" xr3:uid="{B48EAE26-54B8-4E0C-A4A1-6956DA0D148E}" name="30" dataDxfId="607"/>
    <tableColumn id="27" xr3:uid="{85AC05C5-FE82-41A6-837C-F1F547FD8C2F}" name="31" dataDxfId="606"/>
    <tableColumn id="3" xr3:uid="{1CA2638D-96F9-4A0C-980A-6DAE6545AFFA}" name="CARTERA" dataDxfId="60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04" dataDxfId="603">
  <autoFilter ref="CK8:CO16" xr:uid="{9211B4A0-902C-4BD4-A5DB-E687501CE08A}"/>
  <tableColumns count="5">
    <tableColumn id="1" xr3:uid="{111A7011-E44E-4F30-B98C-C0F34C3642DB}" name="VISTA" dataDxfId="602"/>
    <tableColumn id="2" xr3:uid="{F44EAF0F-2208-4452-BDDF-B94BD519A138}" name="1" dataDxfId="601"/>
    <tableColumn id="3" xr3:uid="{7EA4C9C8-2C33-470C-B984-F87BB3B73DF4}" name="2" dataDxfId="600"/>
    <tableColumn id="4" xr3:uid="{41503B16-3616-416B-B675-DF94EA59F0E4}" name="3" dataDxfId="599"/>
    <tableColumn id="14" xr3:uid="{93119638-8316-4F94-859F-6035DCD3F8B8}" name="4" dataDxfId="598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597" tableBorderDxfId="596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595">
      <calculatedColumnFormula>DATA_NOVIEMBRE_2025[[#This Row],[RECUPERO]]/DATA_NOVIEMBRE_2025[[#This Row],[META]]</calculatedColumnFormula>
    </tableColumn>
    <tableColumn id="3" xr3:uid="{855F5F44-294A-4871-9840-A24614956994}" name="CLASIFICACIÓN" dataDxfId="594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593"/>
    <tableColumn id="6" xr3:uid="{C0A22187-40B7-435A-ABDA-27944F0D7030}" name="RECUPERO" dataDxfId="592">
      <calculatedColumnFormula>SUM(DATA_NOVIEMBRE_2025[[#This Row],[1]:[31]])</calculatedColumnFormula>
    </tableColumn>
    <tableColumn id="7" xr3:uid="{72E7F13E-9273-4AED-98D2-5508FB4A326C}" name="META" dataDxfId="591"/>
    <tableColumn id="30" xr3:uid="{CFEB99FE-9EED-4763-A696-5BC3DA916AC5}" name="ASER_"/>
    <tableColumn id="8" xr3:uid="{00AE5065-FE4D-45E6-A294-E826836A1E33}" name="1" dataDxfId="590"/>
    <tableColumn id="9" xr3:uid="{EF6C35AD-ACD8-4C7F-8937-91D53147656D}" name="2" dataDxfId="589"/>
    <tableColumn id="10" xr3:uid="{CF32F196-CA95-4750-A946-3E0AC1A85184}" name="3" dataDxfId="588"/>
    <tableColumn id="11" xr3:uid="{9F563EAD-A249-4851-B979-F5575DE957AB}" name="4" dataDxfId="587"/>
    <tableColumn id="12" xr3:uid="{D6A6323F-D160-499D-BD7C-7C323AE07CB0}" name="5" dataDxfId="586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585"/>
    <tableColumn id="14" xr3:uid="{46BCBBD6-EB67-46A1-A356-989FA4845EF7}" name="17" dataDxfId="584"/>
    <tableColumn id="15" xr3:uid="{B50A5F7B-5C7E-48C1-80DA-278B6510B811}" name="18" dataDxfId="583"/>
    <tableColumn id="16" xr3:uid="{05796B28-1DD1-422E-9658-78C2FB73FD83}" name="19" dataDxfId="582"/>
    <tableColumn id="17" xr3:uid="{DB0D6520-FFC2-440C-B97F-9604384ED84D}" name="20" dataDxfId="581"/>
    <tableColumn id="18" xr3:uid="{50423629-1D31-4CC8-B9D0-046394DFED68}" name="21" dataDxfId="580"/>
    <tableColumn id="19" xr3:uid="{80B70DB0-A059-4A28-A799-0529D6BF1263}" name="22" dataDxfId="579"/>
    <tableColumn id="20" xr3:uid="{CE0AE96C-2D78-4B18-ADD7-C86E26CE69AB}" name="23" dataDxfId="578"/>
    <tableColumn id="21" xr3:uid="{D6CA8ADF-F50B-4822-B7AD-A49AC8CD28E8}" name="24" dataDxfId="577"/>
    <tableColumn id="22" xr3:uid="{8D2522DF-F1BC-4031-89AD-8B4B3515396A}" name="25" dataDxfId="576"/>
    <tableColumn id="23" xr3:uid="{293ABA54-17AB-40AD-A5F9-E0308A358390}" name="26" dataDxfId="575"/>
    <tableColumn id="24" xr3:uid="{099B62F0-F67D-4CF2-8C6A-AD383B297F15}" name="27" dataDxfId="574"/>
    <tableColumn id="25" xr3:uid="{104E6C24-1381-41DA-BF76-0DD6D49DF0C1}" name="28" dataDxfId="573"/>
    <tableColumn id="26" xr3:uid="{095F601D-F187-4396-A356-C09936718FF5}" name="29" dataDxfId="572"/>
    <tableColumn id="27" xr3:uid="{4F9FCA77-406D-4319-913A-82D308726F04}" name="30" dataDxfId="571"/>
    <tableColumn id="28" xr3:uid="{5825F9EE-936A-4C38-B210-9DA3DA553F75}" name="31" dataDxfId="570"/>
    <tableColumn id="1" xr3:uid="{D8CEB774-F634-4903-AC1C-0BF18BDD3A03}" name="CARTERA ASESOR" dataDxfId="569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568"/>
    <tableColumn id="2" xr3:uid="{7E004A30-FB94-4ABB-88FD-3005F8FA00C6}" name="ASESOR_CRR" dataDxfId="567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566"/>
    <tableColumn id="7" xr3:uid="{AA9D9715-8EBE-4ECB-8BB4-3F41AF689173}" name="SUPER2" dataDxfId="565"/>
    <tableColumn id="5" xr3:uid="{DDD5C800-04E2-4D8A-8C83-C410D5DF7F70}" name="ASESOR" dataDxfId="564"/>
    <tableColumn id="6" xr3:uid="{88DDFA81-E306-4531-9C28-1EEEFB91AC37}" name="RECUPERO" dataDxfId="563">
      <calculatedColumnFormula>VLOOKUP(D1_NOVIEMBRE_2025[[#This Row],[ASESOR]],$F$70:$G$130,2,0)</calculatedColumnFormula>
    </tableColumn>
    <tableColumn id="9" xr3:uid="{B4E0C179-9219-4DFF-AA71-3C7E15DC0CCB}" name="DNI" dataDxfId="562"/>
    <tableColumn id="10" xr3:uid="{A57DDDED-46A0-4CB6-B58A-B5F5FD8B6714}" name="FECHA DE INICIO" dataDxfId="561"/>
    <tableColumn id="8" xr3:uid="{6D0B725E-AD90-4FB1-ACD9-0C7E61DBD30D}" name="ESTADO" dataDxfId="560"/>
    <tableColumn id="11" xr3:uid="{14A41DD1-83BC-4380-9872-12E024A570EF}" name="SEGMENTO" dataDxfId="559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558" dataDxfId="557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556"/>
    <tableColumn id="2" xr3:uid="{39564DF7-490C-4B42-BA0D-A0C7965369AD}" name="RECUPERO SUPERVISOR" dataDxfId="555">
      <calculatedColumnFormula>MAX(DITE_NOVIEMBRE_2025[[#This Row],[1]:[31]])</calculatedColumnFormula>
    </tableColumn>
    <tableColumn id="3" xr3:uid="{714DADEA-706C-4919-B3C2-F0BF1111E161}" name="ALCANCE SUPERVISOR" dataDxfId="554">
      <calculatedColumnFormula>DITE_NOVIEMBRE_2025[[#This Row],[RECUPERO SUPERVISOR]]/DITE_NOVIEMBRE_2025[[#This Row],[META SUPER]]</calculatedColumnFormula>
    </tableColumn>
    <tableColumn id="1" xr3:uid="{9452BB90-F5DE-4B57-AF8A-BBAB41BDA625}" name="SUPER" dataDxfId="553"/>
    <tableColumn id="6" xr3:uid="{87C598B5-62D4-4EE7-861E-EEAA52C00585}" name="1" dataDxfId="552"/>
    <tableColumn id="7" xr3:uid="{633891A0-1EBF-4F76-A7F4-F66318664C43}" name="2" dataDxfId="551"/>
    <tableColumn id="8" xr3:uid="{0592F328-9F13-4B6C-80C9-E9F1845891CB}" name="3" dataDxfId="550"/>
    <tableColumn id="9" xr3:uid="{AE7882D8-BBFD-45AE-B2CB-28F66322BAEE}" name="4" dataDxfId="549"/>
    <tableColumn id="10" xr3:uid="{05F48497-7C3E-4EF2-8908-E3DDE502B309}" name="5" dataDxfId="548"/>
    <tableColumn id="11" xr3:uid="{BD05847D-8156-476D-9D43-53BF9B333675}" name="6" dataDxfId="547"/>
    <tableColumn id="12" xr3:uid="{407098C8-B89E-46C0-9B9A-DA4AD2929032}" name="7" dataDxfId="546"/>
    <tableColumn id="13" xr3:uid="{91FC56B9-68A8-46E6-AF86-C055E5241ADE}" name="8" dataDxfId="545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44"/>
    <tableColumn id="15" xr3:uid="{6D9CB553-B7A7-4211-8DDF-E67D0F75BD0A}" name="20" dataDxfId="543"/>
    <tableColumn id="16" xr3:uid="{C060B537-6CE4-430B-8A22-7A540BACE464}" name="21" dataDxfId="542"/>
    <tableColumn id="17" xr3:uid="{4C8D59DE-F0E8-4B3F-8552-A394ADA4C013}" name="22" dataDxfId="541"/>
    <tableColumn id="18" xr3:uid="{3AB7DFB9-4558-4621-AB3C-3891ECC67DB4}" name="23" dataDxfId="540"/>
    <tableColumn id="19" xr3:uid="{ECC2D027-50E3-4374-BA37-6384A463E763}" name="24" dataDxfId="539"/>
    <tableColumn id="20" xr3:uid="{03C4446D-2883-4E24-87C6-489668916C57}" name="25" dataDxfId="538"/>
    <tableColumn id="21" xr3:uid="{1D103BD3-6849-47BB-B1AD-9FF31C3432E4}" name="26" dataDxfId="537"/>
    <tableColumn id="22" xr3:uid="{E2A6B954-BE7E-4918-9A92-245143E3726C}" name="27" dataDxfId="536"/>
    <tableColumn id="23" xr3:uid="{3BE5D700-08A4-480A-8651-AFBBD596763A}" name="28" dataDxfId="535"/>
    <tableColumn id="24" xr3:uid="{16A1ECF5-0D22-4B11-B95E-D5BF2A42B1A3}" name="29" dataDxfId="534"/>
    <tableColumn id="25" xr3:uid="{AACA19B9-FD00-4B90-8B58-181F058F24E3}" name="30" dataDxfId="533"/>
    <tableColumn id="26" xr3:uid="{2DE2D547-EE6E-49C4-858B-C4D674245BFC}" name="31" dataDxfId="532"/>
    <tableColumn id="4" xr3:uid="{9AD4619F-F825-4B54-8AE2-92E8B9E9E57F}" name="CARTERA" dataDxfId="531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30" dataDxfId="529">
  <autoFilter ref="CK8:CO14" xr:uid="{96E83772-E4B6-4FD1-9ECE-DCCBF28CF7CD}"/>
  <tableColumns count="5">
    <tableColumn id="1" xr3:uid="{2855C0CD-CB2A-4ACC-B370-173F5DBABB01}" name="VISTA" dataDxfId="528"/>
    <tableColumn id="2" xr3:uid="{228AFD6E-187A-4EBB-BF34-D7779E779363}" name="1" dataDxfId="527"/>
    <tableColumn id="3" xr3:uid="{148FC5F6-DAD8-45B9-935B-3B693689C46F}" name="2" dataDxfId="526"/>
    <tableColumn id="4" xr3:uid="{721DA333-5229-49B4-BF78-EF0709817BC7}" name="3" dataDxfId="525"/>
    <tableColumn id="14" xr3:uid="{0D6C8DF6-EA57-41A5-9990-B6483171A71F}" name="4" dataDxfId="524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23" tableBorderDxfId="522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21">
      <calculatedColumnFormula>DATA_DICIEMBRE_2025[[#This Row],[RECUPERO]]/DATA_DICIEMBRE_2025[[#This Row],[META]]</calculatedColumnFormula>
    </tableColumn>
    <tableColumn id="2" xr3:uid="{B5D97F6A-AE7C-4FC3-8428-5737699DFEB1}" name="CLASIFICACIÓN" dataDxfId="520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519"/>
    <tableColumn id="1" xr3:uid="{47FCFB9B-5515-45CC-BFF9-2785144AD854}" name="RECUPERO" dataDxfId="518">
      <calculatedColumnFormula>SUM(DATA_DICIEMBRE_2025[[#This Row],[1]:[31]])</calculatedColumnFormula>
    </tableColumn>
    <tableColumn id="6" xr3:uid="{ED7BE75E-3624-4159-BFE7-645CEA862C3E}" name="META" dataDxfId="517"/>
    <tableColumn id="7" xr3:uid="{AD05A858-B012-4836-80E5-BF630A338442}" name="ASER_" dataDxfId="516"/>
    <tableColumn id="4" xr3:uid="{6792E8BB-5B6A-4E20-BC71-7F342FD1DE33}" name="1" dataDxfId="515"/>
    <tableColumn id="8" xr3:uid="{AFF95CFC-A6A6-4F82-9A47-D8F9735B080F}" name="2" dataDxfId="514"/>
    <tableColumn id="9" xr3:uid="{3EE2031A-4396-4C20-9B21-B423FD7A4983}" name="3" dataDxfId="513"/>
    <tableColumn id="10" xr3:uid="{98A61AE3-7932-414B-AE75-E4B9F37090B7}" name="4" dataDxfId="512"/>
    <tableColumn id="11" xr3:uid="{2B37FA03-0832-40E1-966B-188EC131A687}" name="5" dataDxfId="511"/>
    <tableColumn id="12" xr3:uid="{9A4E011C-C4A7-4F49-AD1B-BB28BEA4BF8C}" name="6" dataDxfId="510"/>
    <tableColumn id="13" xr3:uid="{EFB94F58-F00C-45C8-B4D0-E0C1802DF92E}" name="7" dataDxfId="509"/>
    <tableColumn id="14" xr3:uid="{F8800705-9DF6-4EEA-8D67-8321AE1E80D1}" name="8" dataDxfId="508"/>
    <tableColumn id="15" xr3:uid="{7B6D79FE-5D1B-462C-8037-0CACAB6F3911}" name="9" dataDxfId="507"/>
    <tableColumn id="16" xr3:uid="{E0E24420-1BF8-4BED-A5CC-D5EF1C7DF685}" name="10" dataDxfId="506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05"/>
    <tableColumn id="18" xr3:uid="{388429A9-C1D2-4EE1-BB12-A7C9C48AA9F0}" name="23" dataDxfId="504"/>
    <tableColumn id="19" xr3:uid="{6D1522B5-D820-4F42-ADD5-A6062E68E06A}" name="24" dataDxfId="503"/>
    <tableColumn id="20" xr3:uid="{A78EF6CB-6A5A-488F-8EC5-34C0267191BD}" name="25" dataDxfId="502"/>
    <tableColumn id="21" xr3:uid="{0817989E-B5E4-435D-99FF-C9E1A1D429CD}" name="26" dataDxfId="501"/>
    <tableColumn id="22" xr3:uid="{5AE7BF00-6E17-4434-AFC3-A082971963E9}" name="27" dataDxfId="500"/>
    <tableColumn id="23" xr3:uid="{AC4528BB-516C-4650-8587-2267B9400C8D}" name="28" dataDxfId="499"/>
    <tableColumn id="24" xr3:uid="{AB7921F2-B36A-4ABC-9DBC-BB0EC20ACC62}" name="29" dataDxfId="498"/>
    <tableColumn id="25" xr3:uid="{5D1446EA-3DB7-4807-AE25-EB2149040D6D}" name="30" dataDxfId="497"/>
    <tableColumn id="26" xr3:uid="{B5F2A170-57DC-49D6-9752-24386332D295}" name="31" dataDxfId="496"/>
    <tableColumn id="27" xr3:uid="{D1831881-0F77-44D4-82FA-57779D5E74BA}" name="CARTERA ASESOR" dataDxfId="495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494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493"/>
    <tableColumn id="2" xr3:uid="{C1D8B208-A530-42D3-A6B3-202247844AC6}" name="ASESOR_CRR" dataDxfId="492"/>
    <tableColumn id="5" xr3:uid="{0E2E2A96-2FDE-425E-A454-24F26F26F817}" name="META" dataDxfId="491">
      <calculatedColumnFormula>VLOOKUP(D1_DICIEMBRE_2025[[#This Row],[SUPER]],DATA_DICIEMBRE_2025[[SUPERVISOR]:[META]],3,0)</calculatedColumnFormula>
    </tableColumn>
    <tableColumn id="6" xr3:uid="{99265ED5-3CFF-4A20-97B4-3560EE99C717}" name="ALCANCE" dataDxfId="490">
      <calculatedColumnFormula>D1_DICIEMBRE_2025[[#This Row],[RECUPERO]]/D1_DICIEMBRE_2025[[#This Row],[META]]</calculatedColumnFormula>
    </tableColumn>
    <tableColumn id="7" xr3:uid="{374D40BE-0CEA-496A-A350-4762CACC979E}" name="SUPER2" dataDxfId="489"/>
    <tableColumn id="3" xr3:uid="{CE2FC99C-C2FA-4CF8-B4D5-38DB34F6C4C0}" name="ASESOR"/>
    <tableColumn id="4" xr3:uid="{1034AC9B-8A72-4332-A474-8471A1B8C391}" name="RECUPERO" dataDxfId="488"/>
    <tableColumn id="8" xr3:uid="{51D1D4C9-F574-4F9F-BB5F-619CFC8367F6}" name="DNI" dataDxfId="487"/>
    <tableColumn id="9" xr3:uid="{1F94989E-BD68-4711-BF6F-AABBC6D00AD3}" name="FECHA DE INICIO" dataDxfId="486"/>
    <tableColumn id="10" xr3:uid="{26BBC886-44C6-4729-85D8-0B926A843BA1}" name="ESTADO" dataDxfId="485"/>
    <tableColumn id="11" xr3:uid="{B8649A5B-760E-4178-AFFE-25BA3537578F}" name="SEGMENTO" dataDxfId="484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483" dataDxfId="481" headerRowBorderDxfId="482" tableBorderDxfId="480" totalsRowBorderDxfId="479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478"/>
    <tableColumn id="3" xr3:uid="{DED03312-7BDA-4CEA-9273-AA5DB2237A5F}" name="RECUPERO SUPERVISOR" dataDxfId="477">
      <calculatedColumnFormula>MAX(DITE_DICIEMBRE_2025[[#This Row],[1]:[31]])</calculatedColumnFormula>
    </tableColumn>
    <tableColumn id="4" xr3:uid="{5A956735-F760-4B1F-B874-402D928B71EA}" name="ALCANCE SUPERVISOR" dataDxfId="476">
      <calculatedColumnFormula>DITE_DICIEMBRE_2025[[#This Row],[RECUPERO SUPERVISOR]]/AZ9</calculatedColumnFormula>
    </tableColumn>
    <tableColumn id="1" xr3:uid="{ED2A948C-9442-4C47-9BE9-277A3D6239D3}" name="SUPER" dataDxfId="475"/>
    <tableColumn id="6" xr3:uid="{6E784300-7704-4F45-8E90-F7C2D4F71F66}" name="1" dataDxfId="474"/>
    <tableColumn id="7" xr3:uid="{EA789C05-CA47-4D66-B493-7D6222022389}" name="2" dataDxfId="473"/>
    <tableColumn id="36" xr3:uid="{E83A454A-CB07-409E-B2F9-FEFD108C0456}" name="3" dataDxfId="472"/>
    <tableColumn id="8" xr3:uid="{4ACB3C1D-600B-4503-9368-987BC1B3B0EA}" name="4" dataDxfId="471"/>
    <tableColumn id="9" xr3:uid="{B5C8B277-5A83-47A1-95FD-A620D749E785}" name="5" dataDxfId="470"/>
    <tableColumn id="10" xr3:uid="{FB101921-E892-41E0-B8B7-4141F51A83BB}" name="6" dataDxfId="469"/>
    <tableColumn id="11" xr3:uid="{C777EEA2-F048-439C-9EA1-0C4C731AA6E9}" name="7" dataDxfId="468"/>
    <tableColumn id="12" xr3:uid="{7AA80CD7-0570-4507-8C49-9CF331F01C83}" name="8" dataDxfId="467"/>
    <tableColumn id="13" xr3:uid="{F115F6D4-E69D-46D7-AD4B-F13AFDF74268}" name="9" dataDxfId="466"/>
    <tableColumn id="14" xr3:uid="{393E1035-13E1-4131-B853-53B4CA536CF0}" name="10" dataDxfId="465"/>
    <tableColumn id="15" xr3:uid="{7FF1CB48-1402-460C-BDDE-C67F81F66807}" name="11" dataDxfId="464"/>
    <tableColumn id="32" xr3:uid="{8F13018F-0746-40A8-8063-7F1351A273EA}" name="12" dataDxfId="463"/>
    <tableColumn id="33" xr3:uid="{5FD9BED8-7FEA-4B06-9B27-A0BFD046EB49}" name="13" dataDxfId="462"/>
    <tableColumn id="35" xr3:uid="{8D88E3F7-E581-49D0-B55A-812661F85CB6}" name="14" dataDxfId="461"/>
    <tableColumn id="34" xr3:uid="{98E6CACB-4217-4732-B54A-899D22A2EAF6}" name="15" dataDxfId="460"/>
    <tableColumn id="29" xr3:uid="{7C19F65B-AFA4-4BDB-849B-78B44514C8F1}" name="16" dataDxfId="459"/>
    <tableColumn id="30" xr3:uid="{5B8DAC84-4B56-4ED2-BCA8-C8513518494E}" name="17" dataDxfId="458"/>
    <tableColumn id="31" xr3:uid="{6135134A-5BCC-4221-AD87-B5C8D80AB6D3}" name="18" dataDxfId="457"/>
    <tableColumn id="26" xr3:uid="{2569A07A-57D5-45E4-94CF-9442436AFDAE}" name="19" dataDxfId="456"/>
    <tableColumn id="27" xr3:uid="{828CBD1E-742A-4B46-99B1-A5B0163441D5}" name="20" dataDxfId="455"/>
    <tableColumn id="28" xr3:uid="{773F208D-F15B-4823-A2FA-144A370D1B7A}" name="21" dataDxfId="454"/>
    <tableColumn id="16" xr3:uid="{419173FA-3C44-4167-9CA2-3C07CF180C9B}" name="22" dataDxfId="453"/>
    <tableColumn id="17" xr3:uid="{A8A10E2B-AFD7-46D0-8149-9A05D1EC2C03}" name="23" dataDxfId="452"/>
    <tableColumn id="18" xr3:uid="{CF29209E-568F-4788-AE4E-864CF179A3F5}" name="24" dataDxfId="451"/>
    <tableColumn id="19" xr3:uid="{C33D5154-B635-4235-8170-2F374C119543}" name="25" dataDxfId="450"/>
    <tableColumn id="20" xr3:uid="{70E870EC-47B5-4461-AC8F-7662212D49E0}" name="26" dataDxfId="449"/>
    <tableColumn id="21" xr3:uid="{2215DAF3-2DFC-47A4-940A-DC348054A7EB}" name="27" dataDxfId="448"/>
    <tableColumn id="22" xr3:uid="{BE707551-BD9D-4E46-9F38-1BF8DA272627}" name="28" dataDxfId="447"/>
    <tableColumn id="23" xr3:uid="{BA6108F0-3F12-4B54-8E19-7FF232FA9893}" name="29" dataDxfId="446"/>
    <tableColumn id="24" xr3:uid="{B18366FB-64C7-4779-8DB9-91A30E111223}" name="30" dataDxfId="445"/>
    <tableColumn id="25" xr3:uid="{8BD30A4B-DE19-4C3A-8A9E-7FFE10B8C56B}" name="31" dataDxfId="444"/>
    <tableColumn id="5" xr3:uid="{1A8ADD20-D8A3-4981-B322-7C16CBD19ABB}" name="CARTERA" dataDxfId="443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42" dataDxfId="441">
  <autoFilter ref="CK8:CO13" xr:uid="{1A214D59-F384-46CE-88F8-40557144A34E}"/>
  <tableColumns count="5">
    <tableColumn id="1" xr3:uid="{D3CB4ECD-F878-4B0D-8FCB-43BA8EF1DB82}" name="VISTA" dataDxfId="440"/>
    <tableColumn id="2" xr3:uid="{2659E221-4103-45DB-BB56-1145F59010E9}" name="1" dataDxfId="439"/>
    <tableColumn id="3" xr3:uid="{D56A80FA-EF8F-4611-92E7-3C97B2F91FF9}" name="2" dataDxfId="438"/>
    <tableColumn id="4" xr3:uid="{F2943E7B-95D9-4CE4-87FE-A4FC2FF8FD11}" name="3" dataDxfId="437"/>
    <tableColumn id="14" xr3:uid="{35C66B64-4DC0-4EE5-9B07-32721DCA6429}" name="4" dataDxfId="436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35"/>
    <tableColumn id="2" xr3:uid="{09FFA9EA-077A-4B1E-BBB0-BEFE3719755F}" name="ASESOR_CRR" dataDxfId="434"/>
    <tableColumn id="3" xr3:uid="{B2B98848-02EC-4CE4-B2C4-CF726670ADA0}" name="META" dataDxfId="433"/>
    <tableColumn id="4" xr3:uid="{843076CD-455D-4677-9B9B-753164881BDC}" name="ALCANCE" dataDxfId="432"/>
    <tableColumn id="5" xr3:uid="{27191708-D634-47D0-B6EF-7903B523F721}" name="SUPER2" dataDxfId="431"/>
    <tableColumn id="6" xr3:uid="{F95ADB27-E512-47F7-962C-D178A524B971}" name="ASESOR"/>
    <tableColumn id="7" xr3:uid="{32C145E4-25CE-4365-A7D9-EB2FB110C794}" name="RECUPERO" dataDxfId="430"/>
    <tableColumn id="8" xr3:uid="{20773954-0FEB-4980-9B49-FA8A9DD97C3C}" name="DNI" dataDxfId="429"/>
    <tableColumn id="9" xr3:uid="{0ACD1DB4-5167-41A6-9528-D0663730532D}" name="FECHA DE INICIO" dataDxfId="428"/>
    <tableColumn id="10" xr3:uid="{4C5570D8-15F0-4535-849A-56408975F639}" name="ESTADO" dataDxfId="427"/>
    <tableColumn id="11" xr3:uid="{2AF8D525-4A26-4F67-9B32-FE9919E49C0C}" name="SEGMENTO" dataDxfId="426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25" headerRowBorderDxfId="424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23">
      <calculatedColumnFormula>DATA_ENERO_2026[[#This Row],[RECUPERO]]/DATA_ENERO_2026[[#This Row],[META]]</calculatedColumnFormula>
    </tableColumn>
    <tableColumn id="2" xr3:uid="{7E513578-A5D7-4721-8AB2-4CF3CDD2FC39}" name="CLASIFICACIÓN" dataDxfId="422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421"/>
    <tableColumn id="4" xr3:uid="{41268A33-B17E-413A-B074-C6D8798C61CA}" name="RECUPERO" dataDxfId="420">
      <calculatedColumnFormula>SUM(DATA_ENERO_2026[[#This Row],[1]:[31]])</calculatedColumnFormula>
    </tableColumn>
    <tableColumn id="5" xr3:uid="{62F2A8A0-46E7-4D7F-AB57-24AB0CDE4B51}" name="META" dataDxfId="419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18" headerRowBorderDxfId="417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16"/>
    <tableColumn id="2" xr3:uid="{15ACA161-61F0-4530-82A1-17E6DBF20240}" name="RECUPERO SUPERVISOR" dataDxfId="415">
      <calculatedColumnFormula>MAX(DITE_ENERO_2026[[#This Row],[1]:[31]])</calculatedColumnFormula>
    </tableColumn>
    <tableColumn id="3" xr3:uid="{778859E8-B3B0-4937-8B5F-DE4BE24B1DFD}" name="ALCANCE SUPERVISOR" dataDxfId="414">
      <calculatedColumnFormula>DITE_ENERO_2026[[#This Row],[RECUPERO SUPERVISOR]]/DITE_ENERO_2026[[#This Row],[META SUPER]]</calculatedColumnFormula>
    </tableColumn>
    <tableColumn id="4" xr3:uid="{2A98F79A-DD24-4D83-8BA6-82D08E13FF65}" name="SUPER" dataDxfId="413"/>
    <tableColumn id="5" xr3:uid="{3F9C0B21-F246-40F5-B83B-6E1442CF2131}" name="1" dataDxfId="412"/>
    <tableColumn id="6" xr3:uid="{82FC80A9-9A41-42BE-ADC0-0CD59C900786}" name="2" dataDxfId="411"/>
    <tableColumn id="36" xr3:uid="{CA81CA44-827C-45E8-AC06-DC9981750310}" name="3" dataDxfId="410"/>
    <tableColumn id="35" xr3:uid="{4D1DEC94-6331-4F09-BA9E-B7A8C033B218}" name="4" dataDxfId="409"/>
    <tableColumn id="34" xr3:uid="{DB9BA0C3-7EE6-4EF0-BFE4-DFA6138CC954}" name="5" dataDxfId="408"/>
    <tableColumn id="33" xr3:uid="{555EB36D-2BD4-463A-AA30-BC4E2AF59577}" name="6" dataDxfId="407"/>
    <tableColumn id="32" xr3:uid="{CD594F14-E668-4171-B224-2D1EB8F12904}" name="7" dataDxfId="406"/>
    <tableColumn id="31" xr3:uid="{CE1693BC-730F-4221-A5EC-B12B2C08D967}" name="8" dataDxfId="405"/>
    <tableColumn id="30" xr3:uid="{D62E1F60-4782-4F2D-B690-7D11A373BFEE}" name="9" dataDxfId="404"/>
    <tableColumn id="29" xr3:uid="{67AA1F0E-6FD5-4227-8FC3-54350952F274}" name="10" dataDxfId="403"/>
    <tableColumn id="28" xr3:uid="{D4CCC202-871A-430E-A7C4-8C2E1F633660}" name="11" dataDxfId="402"/>
    <tableColumn id="7" xr3:uid="{77D5DF82-95A0-430A-9509-AA047E6F6BB6}" name="12" dataDxfId="401"/>
    <tableColumn id="8" xr3:uid="{45052ACC-BEA6-4143-B55C-D2927C794547}" name="13" dataDxfId="400"/>
    <tableColumn id="9" xr3:uid="{A76A60E2-ABB3-4CA9-876C-F0E146A4EE28}" name="14" dataDxfId="399"/>
    <tableColumn id="10" xr3:uid="{5361F0A7-C153-4400-A683-ADB185B2D1E4}" name="15" dataDxfId="398"/>
    <tableColumn id="11" xr3:uid="{5C1E0CB3-E70D-4999-8E10-8E327EB2D410}" name="16" dataDxfId="397"/>
    <tableColumn id="12" xr3:uid="{4E264E92-011A-4E01-B78E-20B2B900F7FB}" name="17" dataDxfId="396"/>
    <tableColumn id="13" xr3:uid="{4DE23C2E-4F9B-4579-9BCE-93EAD290F9A8}" name="18" dataDxfId="395"/>
    <tableColumn id="14" xr3:uid="{ADE81A92-9983-4367-83CB-C4FA26CF8415}" name="19" dataDxfId="394"/>
    <tableColumn id="15" xr3:uid="{28467DBF-6C6B-430A-98CA-67317F73CD23}" name="20" dataDxfId="393"/>
    <tableColumn id="16" xr3:uid="{19E54854-D1FF-45D4-94D2-82215DE354F0}" name="21" dataDxfId="392"/>
    <tableColumn id="17" xr3:uid="{1F67BAFC-1AE0-4A70-9864-2C684E0743C1}" name="22" dataDxfId="391"/>
    <tableColumn id="18" xr3:uid="{4887B78E-B1D4-490D-BDE4-66011785EB0B}" name="23" dataDxfId="390"/>
    <tableColumn id="19" xr3:uid="{A4E77FFD-C128-4F89-ACB7-5A19C9AC8068}" name="24" dataDxfId="389"/>
    <tableColumn id="20" xr3:uid="{3166AEA9-9CE1-49E0-85A7-B06251784AF0}" name="25" dataDxfId="388"/>
    <tableColumn id="21" xr3:uid="{D0F8CB31-F152-441F-95C0-C8F116F8FBD4}" name="26" dataDxfId="387"/>
    <tableColumn id="22" xr3:uid="{F8CD3E26-00FA-4CB1-AB01-D0E528D7E8B4}" name="27" dataDxfId="386"/>
    <tableColumn id="23" xr3:uid="{19608BA9-8EEF-49C7-B4A7-B9B3571F8643}" name="28" dataDxfId="385"/>
    <tableColumn id="24" xr3:uid="{FAD90248-66B1-421C-B230-68841EB2A0B9}" name="29" dataDxfId="384"/>
    <tableColumn id="25" xr3:uid="{9307F5B0-B35B-4416-BE7C-74E539966F44}" name="30" dataDxfId="383"/>
    <tableColumn id="26" xr3:uid="{0FA7DA7F-AD3E-4DD3-B407-DD15600893BE}" name="31" dataDxfId="382"/>
    <tableColumn id="27" xr3:uid="{CAD2B4E3-016B-42FA-AD88-18A28731A184}" name="CARTERA" dataDxfId="381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380" dataDxfId="379">
  <autoFilter ref="CK8:CO13" xr:uid="{95694E91-A22D-4122-A773-319764DCFE1C}"/>
  <tableColumns count="5">
    <tableColumn id="1" xr3:uid="{C2641825-D096-486F-999E-4CE77F417527}" name="VISTA" dataDxfId="378"/>
    <tableColumn id="2" xr3:uid="{C7669EDB-9258-4E82-A7BF-4F674531F2F1}" name="1" dataDxfId="377"/>
    <tableColumn id="3" xr3:uid="{363EBF77-47FF-4F55-A442-DDF5E5A8C002}" name="2" dataDxfId="376"/>
    <tableColumn id="4" xr3:uid="{58EEA049-99C0-4E09-A82C-D96BDA89432E}" name="3" dataDxfId="375"/>
    <tableColumn id="14" xr3:uid="{33A8CBF3-2A19-4EE0-B3BD-9D8DFCA943AB}" name="4" dataDxfId="374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373" tableBorderDxfId="372">
  <autoFilter ref="M8:AX59" xr:uid="{D9CF28BD-D91E-4BE6-BD3B-BCADCA049C93}"/>
  <tableColumns count="38">
    <tableColumn id="5" xr3:uid="{A121E4E8-FA4D-47D4-9A77-06F28AAE4E54}" name="AL_AC" dataDxfId="371">
      <calculatedColumnFormula>DATA_FEBRERO_2026[[#This Row],[RECUPERO]]/DATA_FEBRERO_2026[[#This Row],[META]]</calculatedColumnFormula>
    </tableColumn>
    <tableColumn id="2" xr3:uid="{34ED75F7-6C69-4661-9178-0FEC57ED1324}" name="CLASIFICACIÓN" dataDxfId="37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369">
      <calculatedColumnFormula>IFERROR(VLOOKUP(DATA_FEBRERO_2026[[#This Row],[ASER_]],$B:$G,4,0),"")</calculatedColumnFormula>
    </tableColumn>
    <tableColumn id="1" xr3:uid="{9BC79FD6-44BC-4708-987B-14B90F71C5E5}" name="RECUPERO" dataDxfId="368">
      <calculatedColumnFormula>SUM(DATA_FEBRERO_2026[[#This Row],[1]:[31]])</calculatedColumnFormula>
    </tableColumn>
    <tableColumn id="6" xr3:uid="{018AE36B-77F5-47D3-A72E-855E3B4EA24D}" name="META" dataDxfId="367">
      <calculatedColumnFormula>VLOOKUP(DATA_FEBRERO_2026[[#This Row],[ASER_]],D1_FEBRERO_2026[[ASESOR_CRR]:[META]],2,0)</calculatedColumnFormula>
    </tableColumn>
    <tableColumn id="7" xr3:uid="{D07B538A-1223-4282-911D-0D8C6D33F252}" name="ASER_" dataDxfId="366"/>
    <tableColumn id="4" xr3:uid="{978EBDF4-AB0F-45EB-8F17-7A1040F8BBBE}" name="1" dataDxfId="365"/>
    <tableColumn id="8" xr3:uid="{1276421E-A9BD-4193-946B-2B02A7972B4A}" name="2" dataDxfId="364"/>
    <tableColumn id="9" xr3:uid="{31AFF576-CA16-4044-A433-CF00527C2D07}" name="3" dataDxfId="363"/>
    <tableColumn id="10" xr3:uid="{E8F5F7F4-A4CF-4AAC-A43C-A3FCD8C1BC19}" name="4" dataDxfId="362"/>
    <tableColumn id="11" xr3:uid="{188BA638-2000-41D9-B5E6-9165523ED42D}" name="5" dataDxfId="361"/>
    <tableColumn id="12" xr3:uid="{C225C63B-52FC-44AB-96F6-9151E73D6699}" name="6" dataDxfId="360"/>
    <tableColumn id="13" xr3:uid="{67E1F5CE-2C28-4FA3-9034-A737F1B2D7A4}" name="7" dataDxfId="359"/>
    <tableColumn id="14" xr3:uid="{BF6E4C42-64F4-4C86-87D7-0EB0DF723F0A}" name="8" dataDxfId="358"/>
    <tableColumn id="15" xr3:uid="{77DEB661-03C1-4274-9B6F-379D81B3710E}" name="9" dataDxfId="357"/>
    <tableColumn id="35" xr3:uid="{A13630BC-1BB6-4707-83E3-E2A6FD2FAFF3}" name="10" dataDxfId="356"/>
    <tableColumn id="36" xr3:uid="{5B83E5AF-B52C-4B3F-9B8E-974AD7242CB6}" name="11" dataDxfId="355"/>
    <tableColumn id="38" xr3:uid="{EFCD2EF3-DC69-46DB-8A4C-D03EFA19868F}" name="12" dataDxfId="354"/>
    <tableColumn id="37" xr3:uid="{283914E6-F846-42D8-BFA5-7E5CF71F8E39}" name="13" dataDxfId="353"/>
    <tableColumn id="32" xr3:uid="{506D1094-3E71-477B-9E3B-FD71CD452A13}" name="14" dataDxfId="352"/>
    <tableColumn id="33" xr3:uid="{51A0C186-4F1F-4B6E-A04E-6DA5B01E5817}" name="15" dataDxfId="351"/>
    <tableColumn id="34" xr3:uid="{83A09A26-D26C-4BF1-9870-7E24692CCAB5}" name="16" dataDxfId="350"/>
    <tableColumn id="26" xr3:uid="{F0CECF60-FD0C-487B-964E-F3D195A081A6}" name="17" dataDxfId="349"/>
    <tableColumn id="30" xr3:uid="{87E5481D-2747-411F-8715-2B1A58E5072E}" name="18" dataDxfId="348"/>
    <tableColumn id="31" xr3:uid="{56B820E5-7529-456B-BFFB-66FC13160FC7}" name="19" dataDxfId="347"/>
    <tableColumn id="16" xr3:uid="{943E3451-A77C-49F4-A8CD-FB3A234BB921}" name="20" dataDxfId="346"/>
    <tableColumn id="17" xr3:uid="{08A06D07-4057-4995-AD95-02726747926A}" name="21" dataDxfId="345"/>
    <tableColumn id="18" xr3:uid="{3CA4B4CF-845B-4625-A447-E9930B6C4C90}" name="22" dataDxfId="344"/>
    <tableColumn id="19" xr3:uid="{E2FCBDE7-CAF6-4719-A2E2-E3DFA5938EA9}" name="23" dataDxfId="343"/>
    <tableColumn id="20" xr3:uid="{8D68A4E9-C605-423B-B28C-8947CEDED2E3}" name="24" dataDxfId="342"/>
    <tableColumn id="21" xr3:uid="{E2A95743-C4CF-4116-BC14-7F1E8AF5B934}" name="25" dataDxfId="341"/>
    <tableColumn id="22" xr3:uid="{D4E75B42-4A90-4E6B-91F6-47924749D8CD}" name="26" dataDxfId="340"/>
    <tableColumn id="23" xr3:uid="{24EC0407-9580-4B34-8870-6246EA8347AA}" name="27" dataDxfId="339"/>
    <tableColumn id="24" xr3:uid="{9A472190-4164-4FC7-BF8C-D0120ACA1D92}" name="28" dataDxfId="338"/>
    <tableColumn id="25" xr3:uid="{67A0A5BC-662A-45DE-932F-9EB3EAF965DB}" name="29" dataDxfId="337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36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35">
  <autoFilter ref="A2:K58" xr:uid="{09401265-E178-4F26-958C-8E013ABD7F63}"/>
  <tableColumns count="11">
    <tableColumn id="1" xr3:uid="{FF4304D3-C1B3-4117-B1D1-7473C26439FA}" name="SUPER" dataDxfId="334">
      <calculatedColumnFormula>D1_FEBRERO_2026[[#This Row],[SUPER2]]</calculatedColumnFormula>
    </tableColumn>
    <tableColumn id="2" xr3:uid="{67ED5510-50EF-4F29-9E94-9FBEBF9785CA}" name="ASESOR_CRR" dataDxfId="33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32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31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30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29"/>
    <tableColumn id="11" xr3:uid="{43FBB121-21C6-4560-8A31-396504B80F85}" name="DNI" dataDxfId="328"/>
    <tableColumn id="12" xr3:uid="{050FC1E9-9233-41A1-8E92-B7BA6485722C}" name="FECHA DE INICIO" dataDxfId="327"/>
    <tableColumn id="8" xr3:uid="{5BBA9A50-BA4F-49CE-B7C8-1095BCBFEC60}" name="ESTADO" dataDxfId="326"/>
    <tableColumn id="9" xr3:uid="{898E5137-590F-493E-82A2-9DB1422BE516}" name="SEGMENTO" dataDxfId="325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24" dataDxfId="322" headerRowBorderDxfId="323" tableBorderDxfId="321" totalsRowBorderDxfId="320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19">
      <calculatedColumnFormula>VLOOKUP($M$3&amp;$N$3&amp;DITE_FEBRERO_2026[[#This Row],[SUPER]],TablaMeta[],5,0)</calculatedColumnFormula>
    </tableColumn>
    <tableColumn id="3" xr3:uid="{6B6BAC5B-8599-4731-A182-2C4F7DEEFEAE}" name="RECUPERO SUPERVISOR" dataDxfId="318">
      <calculatedColumnFormula>MAX(DITE_FEBRERO_2026[[#This Row],[SUPER]:[CARTERA]])</calculatedColumnFormula>
    </tableColumn>
    <tableColumn id="4" xr3:uid="{4933F2AB-4AE8-41EB-9B81-DB478EB8720C}" name="ALCANCE SUPERVISOR" dataDxfId="317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16"/>
    <tableColumn id="6" xr3:uid="{1385D33D-7CDB-4253-9C4B-559ACF4D4DAA}" name="1" dataDxfId="315"/>
    <tableColumn id="7" xr3:uid="{51AE8FE4-77E7-44A5-9C70-47F9BABA0830}" name="2" dataDxfId="314"/>
    <tableColumn id="27" xr3:uid="{1D246E4C-3547-4D3F-8436-3907FD9391BF}" name="3" dataDxfId="313"/>
    <tableColumn id="26" xr3:uid="{ACC21055-7F68-4EBE-A98E-8B2EBA670DAF}" name="4" dataDxfId="312"/>
    <tableColumn id="8" xr3:uid="{0453D1F4-77C1-4D27-8BF6-C892F06D8037}" name="5" dataDxfId="311"/>
    <tableColumn id="9" xr3:uid="{7FE05B03-2694-4042-93D1-1E8A18BEC10D}" name="6" dataDxfId="310"/>
    <tableColumn id="10" xr3:uid="{07F638D2-254F-4B29-9B2B-FA43C127E0CD}" name="7" dataDxfId="309"/>
    <tableColumn id="11" xr3:uid="{F53CCC3D-E418-4E84-9766-30CCCCAEF94C}" name="8" dataDxfId="308"/>
    <tableColumn id="12" xr3:uid="{9789EB55-C896-45E1-8B38-057DF9C6F8FF}" name="9" dataDxfId="307"/>
    <tableColumn id="13" xr3:uid="{2F4E85B1-BA28-448A-A8F3-8873A4197781}" name="10" dataDxfId="306"/>
    <tableColumn id="14" xr3:uid="{E386891B-028C-4934-99EC-39A6D8E87A77}" name="11" dataDxfId="305"/>
    <tableColumn id="15" xr3:uid="{3F90131C-5E3B-4375-AAC9-BE39D3073700}" name="12" dataDxfId="304"/>
    <tableColumn id="16" xr3:uid="{176424CB-4A73-4E0A-BAEC-1B002E427751}" name="13" dataDxfId="303"/>
    <tableColumn id="17" xr3:uid="{20013F01-EA55-4DBF-93AD-78228648A78B}" name="14" dataDxfId="302"/>
    <tableColumn id="18" xr3:uid="{A3E1B7CD-FD3B-4A3B-BA09-FB0B2522F474}" name="15" dataDxfId="301"/>
    <tableColumn id="19" xr3:uid="{25BB1268-DEAB-4394-AB3D-5028E517E118}" name="16" dataDxfId="300"/>
    <tableColumn id="20" xr3:uid="{1E99825A-7369-447C-81C1-6F57CF76B414}" name="17" dataDxfId="299"/>
    <tableColumn id="21" xr3:uid="{A76460CB-F28F-4034-BFB5-822E2F8ACDEE}" name="18" dataDxfId="298"/>
    <tableColumn id="22" xr3:uid="{45579674-F34E-4238-9155-A84E93C0EEDC}" name="19" dataDxfId="297"/>
    <tableColumn id="23" xr3:uid="{4A9727A5-6162-4A6C-980C-9485FB632B2C}" name="20" dataDxfId="296"/>
    <tableColumn id="24" xr3:uid="{839F012E-3965-47C4-A48B-B6ACC97A3F38}" name="21" dataDxfId="295"/>
    <tableColumn id="36" xr3:uid="{1C64A10A-7FC4-4258-A62B-43B06212544A}" name="22" dataDxfId="294"/>
    <tableColumn id="35" xr3:uid="{FFBDF276-626A-447A-A0F4-E7E78EDC17B4}" name="23" dataDxfId="293"/>
    <tableColumn id="34" xr3:uid="{7E693F8F-B376-48A1-9691-2B1EFFEC77E7}" name="24" dataDxfId="292"/>
    <tableColumn id="33" xr3:uid="{BBD3ABB0-0FEA-4DF0-B0B7-E417E6BF40E1}" name="25" dataDxfId="291"/>
    <tableColumn id="32" xr3:uid="{6F3706DA-AAB4-46A8-B7AB-36C461B04704}" name="26" dataDxfId="290"/>
    <tableColumn id="31" xr3:uid="{8771DA1E-DC48-4640-98D0-9BF514ABF088}" name="27" dataDxfId="289"/>
    <tableColumn id="30" xr3:uid="{F6F48FE7-4B31-45F6-9C90-C56A1AFDE462}" name="28" dataDxfId="288"/>
    <tableColumn id="29" xr3:uid="{7BDABDE2-32A4-4ABF-AF09-62502F6B7D68}" name="29" dataDxfId="287"/>
    <tableColumn id="28" xr3:uid="{552C8688-2A69-47D3-AFF3-7B94E4A5A563}" name="30" dataDxfId="286"/>
    <tableColumn id="25" xr3:uid="{7D18929B-B74F-4405-83F4-DF4F5C13E3E8}" name="31" dataDxfId="285"/>
    <tableColumn id="5" xr3:uid="{AE5733E5-56DE-4157-A3B4-7F889627B2A1}" name="CARTERA" dataDxfId="284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283" dataDxfId="282">
  <autoFilter ref="CK8:CO13" xr:uid="{C7374107-EF62-492E-86AF-6DF3F7708C53}"/>
  <tableColumns count="5">
    <tableColumn id="1" xr3:uid="{041D6CB1-E7ED-47A3-859B-2D4329D91665}" name="VISTA" dataDxfId="281"/>
    <tableColumn id="2" xr3:uid="{0A01B3FA-CC3F-4AFA-A784-F69B00A114D0}" name="1" dataDxfId="280"/>
    <tableColumn id="3" xr3:uid="{90C8A7AE-C8FA-4CB3-9866-23B9F56015C3}" name="2" dataDxfId="279"/>
    <tableColumn id="4" xr3:uid="{00CC8F61-FE80-4AA3-8F50-6C7F93F5C8B7}" name="3" dataDxfId="278"/>
    <tableColumn id="14" xr3:uid="{72F60B70-B948-42FF-8BA2-6325A239D71B}" name="4" dataDxfId="277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276" tableBorderDxfId="275">
  <autoFilter ref="M8:AO61" xr:uid="{10D9C722-BC82-4CBD-88CB-CD727BC4895B}"/>
  <tableColumns count="29">
    <tableColumn id="5" xr3:uid="{3EA8D04F-B731-4091-B799-92E6E8A12619}" name="AL_AC" dataDxfId="274">
      <calculatedColumnFormula>DATA_MARZO_202651[[#This Row],[RECUPERO]]/DATA_MARZO_202651[[#This Row],[META]]</calculatedColumnFormula>
    </tableColumn>
    <tableColumn id="2" xr3:uid="{7E499EF6-2412-4A87-8A0C-22E06B524D4F}" name="CLASIFICACIÓN" dataDxfId="273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272">
      <calculatedColumnFormula>IFERROR(VLOOKUP(DATA_MARZO_202651[[#This Row],[ASER_]],$B:$G,4,0),"")</calculatedColumnFormula>
    </tableColumn>
    <tableColumn id="1" xr3:uid="{60303CD3-4613-4145-8342-86D502299A8B}" name="RECUPERO" dataDxfId="271">
      <calculatedColumnFormula>VLOOKUP(DATA_MARZO_202651[[#This Row],[ASER_]],D1_MARZO_202655[[ASESOR_CRR]:[RECUPERO]],6,0)</calculatedColumnFormula>
    </tableColumn>
    <tableColumn id="6" xr3:uid="{856379E9-6B44-4AE2-9624-4D2FD560D923}" name="META" dataDxfId="270">
      <calculatedColumnFormula>VLOOKUP(DATA_MARZO_202651[[#This Row],[ASER_]],D1_MARZO_202655[[ASESOR_CRR]:[META]],2,0)</calculatedColumnFormula>
    </tableColumn>
    <tableColumn id="7" xr3:uid="{973ABAA2-566A-4673-AFE7-72D690F359B0}" name="ASER_" dataDxfId="269"/>
    <tableColumn id="4" xr3:uid="{6267F15F-68D8-4064-A7C3-4A95739D7D7D}" name="2" dataDxfId="268"/>
    <tableColumn id="8" xr3:uid="{617297D4-5DE5-468D-9D9E-3D5450B8C283}" name="3" dataDxfId="267"/>
    <tableColumn id="9" xr3:uid="{17C8DC6A-03F3-4202-83C1-46E923A2D1DF}" name="4" dataDxfId="266"/>
    <tableColumn id="10" xr3:uid="{4C96E5CA-D293-4DC5-A37E-3DBF6149890A}" name="5" dataDxfId="265"/>
    <tableColumn id="11" xr3:uid="{B792BD3F-46D9-40C4-A2FA-531E9E6115A9}" name="6" dataDxfId="264"/>
    <tableColumn id="12" xr3:uid="{648B1B03-D21B-4A18-881A-71E7191DF504}" name="9" dataDxfId="263"/>
    <tableColumn id="13" xr3:uid="{6EBA52BB-1706-4B79-A879-FE3268ED0BBF}" name="10" dataDxfId="262"/>
    <tableColumn id="14" xr3:uid="{2B12EC67-A932-4DD4-BD48-E7353960E2BF}" name="11" dataDxfId="261"/>
    <tableColumn id="15" xr3:uid="{D7F1E0B7-4D6E-49BF-9418-24F5297694EE}" name="12" dataDxfId="260"/>
    <tableColumn id="35" xr3:uid="{01749D29-46CC-47AC-8AA5-5B3159FC3624}" name="13" dataDxfId="259"/>
    <tableColumn id="36" xr3:uid="{D98199A8-307D-4EA2-AB10-B2B924BF4D53}" name="16" dataDxfId="258"/>
    <tableColumn id="38" xr3:uid="{6512BCB2-C1CC-4DF5-907A-4D7BDBE273C0}" name="17" dataDxfId="257"/>
    <tableColumn id="37" xr3:uid="{48DFBBB8-0BEB-4F05-A9DF-B6D5FEFA7922}" name="18" dataDxfId="256"/>
    <tableColumn id="32" xr3:uid="{DF7F0AD1-F0A8-4092-80DD-52B3202986C6}" name="19" dataDxfId="255"/>
    <tableColumn id="33" xr3:uid="{31379DCE-58EA-49E7-A093-1D4D11F4D719}" name="20" dataDxfId="254"/>
    <tableColumn id="34" xr3:uid="{AF028C85-0295-4506-BD52-A8C2D61B4263}" name="23" dataDxfId="253"/>
    <tableColumn id="26" xr3:uid="{C9F08C31-4D7A-4980-AAF5-AFB091013679}" name="24" dataDxfId="252"/>
    <tableColumn id="30" xr3:uid="{0EA87D7E-6026-4B22-AB9B-1ACD3E4A585C}" name="25" dataDxfId="251"/>
    <tableColumn id="31" xr3:uid="{F68B6077-5CFC-42ED-923A-AF0D719251AB}" name="26" dataDxfId="250"/>
    <tableColumn id="16" xr3:uid="{1C3C20D8-9CDD-4BE1-A12E-4E057E8F52D9}" name="27" dataDxfId="249"/>
    <tableColumn id="17" xr3:uid="{FE4352AA-AED9-41FA-B8EF-EDAF69656302}" name="30" dataDxfId="248"/>
    <tableColumn id="18" xr3:uid="{D67830D0-9348-49E3-8552-7C2C1F60368B}" name="31" dataDxfId="247"/>
    <tableColumn id="29" xr3:uid="{17BA8B4D-6786-4535-AB74-674976645F34}" name="CARTERA ASESOR" dataDxfId="246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45">
  <autoFilter ref="A2:K59" xr:uid="{E01CE6AA-C36B-4BD4-93EB-8762B2545E1A}"/>
  <tableColumns count="11">
    <tableColumn id="1" xr3:uid="{2131FF24-1653-4821-B8CB-2994A6FD2B90}" name="SUPER" dataDxfId="24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43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42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41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40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39"/>
    <tableColumn id="11" xr3:uid="{BD3DF0C1-1E9B-4EE4-A539-1F0A1F585CE9}" name="DNI" dataDxfId="23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37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3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3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234" dataDxfId="232" headerRowBorderDxfId="233" tableBorderDxfId="231" totalsRowBorderDxfId="230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229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28">
      <calculatedColumnFormula>MAX(DITE_MARZO_202656[[#This Row],[SUPER]:[CARTERA]])</calculatedColumnFormula>
    </tableColumn>
    <tableColumn id="4" xr3:uid="{7CD6A40B-DE50-4B4C-8FE0-D559C24C5B7C}" name="ALCANCE SUPERVISOR" dataDxfId="227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26"/>
    <tableColumn id="6" xr3:uid="{15A19F2D-93B5-40FA-93BC-49CBD3FFA864}" name="2" dataDxfId="225"/>
    <tableColumn id="7" xr3:uid="{CF50FCAC-3D6E-4766-8052-F687DB2D3BB2}" name="3" dataDxfId="224"/>
    <tableColumn id="27" xr3:uid="{973979CD-2F5D-4B04-B9B4-B8CF351AC4DD}" name="4" dataDxfId="223"/>
    <tableColumn id="26" xr3:uid="{ACFB9B4D-96FE-4EA7-A28D-2C76FAD3B7FE}" name="5" dataDxfId="222"/>
    <tableColumn id="8" xr3:uid="{C4769E61-F413-4D8E-B1E9-C99CC43BC51E}" name="6" dataDxfId="221"/>
    <tableColumn id="9" xr3:uid="{0B5D79D1-0957-4379-BD0F-09EC6003DABC}" name="9" dataDxfId="220"/>
    <tableColumn id="10" xr3:uid="{7ED4553D-C770-4010-AE78-79CEED9E3688}" name="10" dataDxfId="219"/>
    <tableColumn id="11" xr3:uid="{B5B3A3E3-86EA-4A28-9341-4446DA4EC86F}" name="11" dataDxfId="218"/>
    <tableColumn id="12" xr3:uid="{20F7C89E-C0EA-4863-AD2C-ECE11F3C914C}" name="12" dataDxfId="217"/>
    <tableColumn id="13" xr3:uid="{CB3A9ADF-2A71-4315-9EED-921F3BC80E0B}" name="13" dataDxfId="216"/>
    <tableColumn id="14" xr3:uid="{AB466201-0021-4374-9E9C-FBC6912E7D00}" name="16" dataDxfId="215"/>
    <tableColumn id="15" xr3:uid="{CF0930AA-3683-412F-BB0C-0879E8AA45CA}" name="17" dataDxfId="214"/>
    <tableColumn id="16" xr3:uid="{B6819525-02E5-44DB-9161-5AE240527B5A}" name="18" dataDxfId="213"/>
    <tableColumn id="17" xr3:uid="{EF34C9D6-8F40-4817-8C4C-D79F58BCD150}" name="19" dataDxfId="212"/>
    <tableColumn id="18" xr3:uid="{3E376577-6CA4-4ABE-96FE-93C18911296B}" name="20" dataDxfId="211"/>
    <tableColumn id="19" xr3:uid="{12DC978E-AB73-4385-8B31-891E8DF1BDED}" name="23" dataDxfId="210"/>
    <tableColumn id="20" xr3:uid="{ED0D4DA8-BBB6-4210-8918-15057CC5B929}" name="24" dataDxfId="209"/>
    <tableColumn id="21" xr3:uid="{1D5B24BE-80A3-4E59-9BB5-8887D00E5479}" name="25" dataDxfId="208"/>
    <tableColumn id="22" xr3:uid="{1019D822-005E-4FAA-8B65-BB1C11AF450B}" name="26" dataDxfId="207"/>
    <tableColumn id="23" xr3:uid="{D5474EFB-00D1-4351-A34C-735E9FD53A78}" name="27" dataDxfId="206"/>
    <tableColumn id="24" xr3:uid="{EF9744F2-C4EC-45E4-8844-AE1CA94D83A6}" name="30" dataDxfId="205"/>
    <tableColumn id="36" xr3:uid="{F0ACF623-4A47-44A1-985E-3FB17DBE49F8}" name="31" dataDxfId="204"/>
    <tableColumn id="5" xr3:uid="{75CF2EC1-6198-4A79-A7CA-D258FCB6701B}" name="CARTERA" dataDxfId="203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BS8:BW13" totalsRowShown="0" headerRowDxfId="202" dataDxfId="201">
  <autoFilter ref="BS8:BW13" xr:uid="{14FD1991-0C08-40B6-BA01-224E94C39EEF}"/>
  <tableColumns count="5">
    <tableColumn id="1" xr3:uid="{1B90371C-7E36-4D9A-98B4-8A9074D071F5}" name="VISTA" dataDxfId="200"/>
    <tableColumn id="2" xr3:uid="{CFB2843E-FF0C-4C03-A3A8-DC5F321295BC}" name="1" dataDxfId="199"/>
    <tableColumn id="3" xr3:uid="{A1FBA42F-8A7A-41A4-A8EF-20A008AF07E4}" name="2" dataDxfId="198"/>
    <tableColumn id="4" xr3:uid="{21A28C40-F4BF-4DCC-9046-E9D71906D1CA}" name="3" dataDxfId="197"/>
    <tableColumn id="14" xr3:uid="{BC083383-0C4B-4C67-938E-9492D789F90D}" name="4" dataDxfId="196"/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95" tableBorderDxfId="194">
  <autoFilter ref="M8:AM59" xr:uid="{4674D711-8FDA-49B8-91E7-8E8BFE600256}"/>
  <tableColumns count="27">
    <tableColumn id="5" xr3:uid="{5F132C86-FD60-4105-A05E-7399F10522E1}" name="AL_AC" dataDxfId="193">
      <calculatedColumnFormula>DATA_MARZO_202659[[#This Row],[RECUPERO]]/DATA_MARZO_202659[[#This Row],[META]]</calculatedColumnFormula>
    </tableColumn>
    <tableColumn id="2" xr3:uid="{26123EEE-E738-4097-B64F-DE727558F2E9}" name="CLASIFICACIÓN" dataDxfId="192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91">
      <calculatedColumnFormula>IFERROR(VLOOKUP(DATA_MARZO_202659[[#This Row],[ASER_]],$B:$G,4,0),"")</calculatedColumnFormula>
    </tableColumn>
    <tableColumn id="1" xr3:uid="{2446915D-352F-48FC-A54B-86B7E0D937FA}" name="RECUPERO" dataDxfId="190">
      <calculatedColumnFormula>VLOOKUP(DATA_MARZO_202659[[#This Row],[ASER_]],D1_MARZO_202660[[ASESOR_CRR]:[RECUPERO]],6,0)</calculatedColumnFormula>
    </tableColumn>
    <tableColumn id="6" xr3:uid="{A25A8AC3-9CC7-4A3A-A8D9-212FD3F93687}" name="META" dataDxfId="189">
      <calculatedColumnFormula>VLOOKUP(DATA_MARZO_202659[[#This Row],[ASER_]],D1_MARZO_202660[[ASESOR_CRR]:[META]],2,0)</calculatedColumnFormula>
    </tableColumn>
    <tableColumn id="7" xr3:uid="{C52D2491-CDFB-40B5-A884-909C5FEC445B}" name="ASER_" dataDxfId="188"/>
    <tableColumn id="4" xr3:uid="{DE600806-870A-4C0D-9101-49AAF5AC383F}" name="1" dataDxfId="187"/>
    <tableColumn id="8" xr3:uid="{BE4BC420-81EA-43E8-8BBA-609D8B0F8C88}" name="6" dataDxfId="186"/>
    <tableColumn id="9" xr3:uid="{39C08C78-15AF-4E44-B050-F5D4532C00EE}" name="7" dataDxfId="185"/>
    <tableColumn id="10" xr3:uid="{3A0A15B8-0910-483C-BCCA-F8F4651DA25E}" name="8" dataDxfId="184"/>
    <tableColumn id="11" xr3:uid="{B4BA1A21-248B-4AFC-B040-D29D15754499}" name="9" dataDxfId="183"/>
    <tableColumn id="12" xr3:uid="{14108850-D364-4CF0-976B-8E53F6DE4877}" name="10" dataDxfId="182"/>
    <tableColumn id="13" xr3:uid="{7F673FC8-FC0A-4A15-87D6-B7F1A000710C}" name="13" dataDxfId="181"/>
    <tableColumn id="14" xr3:uid="{3CFB96DE-4D9D-4AFC-8AD0-816CCD4832BD}" name="14" dataDxfId="180"/>
    <tableColumn id="15" xr3:uid="{1BE8AE05-90F3-4DD0-9A61-33DCCF63D95C}" name="15" dataDxfId="179"/>
    <tableColumn id="35" xr3:uid="{4ECF85FD-1D61-48B3-8984-C16A39A2E49F}" name="16" dataDxfId="178"/>
    <tableColumn id="36" xr3:uid="{6663D018-7D0B-4581-A6C2-472754649147}" name="17" dataDxfId="177"/>
    <tableColumn id="38" xr3:uid="{B0110345-7E4C-400C-9AE3-B09313D7CC7C}" name="20" dataDxfId="176"/>
    <tableColumn id="37" xr3:uid="{F0B0FB80-9213-45D7-B0D1-0CEC84136504}" name="21" dataDxfId="175"/>
    <tableColumn id="32" xr3:uid="{3A771CC6-AD9B-421B-AAF1-4E32683000ED}" name="22" dataDxfId="174"/>
    <tableColumn id="33" xr3:uid="{734026D2-0E34-449A-A227-F1A23D2EB1DC}" name="23" dataDxfId="173"/>
    <tableColumn id="34" xr3:uid="{E9E90DE3-01F9-45DB-84EB-C6B787DCB978}" name="24" dataDxfId="172"/>
    <tableColumn id="26" xr3:uid="{7EBC28C2-37A3-4E16-A29B-DB94F8B90247}" name="27" dataDxfId="171"/>
    <tableColumn id="30" xr3:uid="{9EF77477-FA4C-46E8-BA9C-307B5604C40C}" name="28" dataDxfId="170"/>
    <tableColumn id="31" xr3:uid="{0F9E2ED5-E2DC-4A69-AE18-8B9CF2D84585}" name="29" dataDxfId="169"/>
    <tableColumn id="16" xr3:uid="{24C06BFB-17B1-4C60-983A-E34808ADEEDC}" name="30" dataDxfId="168"/>
    <tableColumn id="29" xr3:uid="{9A87A5C0-7BE6-4BFF-85E2-0BBBD687F508}" name="CARTERA ASESOR" dataDxfId="167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166">
  <autoFilter ref="A2:K57" xr:uid="{57141373-C5A3-4BA8-9D78-B5F778D82FB5}"/>
  <tableColumns count="11">
    <tableColumn id="1" xr3:uid="{164AF3BC-0626-49DF-9139-7226B478255C}" name="SUPER" dataDxfId="16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64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163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162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161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160"/>
    <tableColumn id="11" xr3:uid="{DF180A98-FB1C-4258-A98D-429BF8C95154}" name="DNI" dataDxfId="15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5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5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5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155" dataDxfId="153" headerRowBorderDxfId="154" tableBorderDxfId="152" totalsRowBorderDxfId="151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150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149">
      <calculatedColumnFormula>MAX(DITE_MARZO_202661[[#This Row],[SUPER]:[CARTERA]])</calculatedColumnFormula>
    </tableColumn>
    <tableColumn id="4" xr3:uid="{F34C5336-6862-41A0-A409-0FB6019105D8}" name="ALCANCE SUPERVISOR" dataDxfId="148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147"/>
    <tableColumn id="6" xr3:uid="{F2748BC7-F61B-4028-B30C-9B7CFD4C1F43}" name="1" dataDxfId="146"/>
    <tableColumn id="7" xr3:uid="{F1653157-4532-4F05-98E2-0D0A5D116EBD}" name="6" dataDxfId="145"/>
    <tableColumn id="27" xr3:uid="{A0D73469-0ADD-4583-A690-120FBE5A5C22}" name="7" dataDxfId="144"/>
    <tableColumn id="26" xr3:uid="{43AEAD0D-21F8-4C47-A5C4-7018DC41F18D}" name="8" dataDxfId="143"/>
    <tableColumn id="8" xr3:uid="{97E91656-58E1-4629-A463-25DCC7CFA3B0}" name="9" dataDxfId="142"/>
    <tableColumn id="9" xr3:uid="{4E0A9486-6527-4A6B-ACC7-8B01636917F5}" name="10" dataDxfId="141"/>
    <tableColumn id="10" xr3:uid="{0EE2F553-0C54-499A-9ACC-F4DCDCFBBBEA}" name="13" dataDxfId="140"/>
    <tableColumn id="11" xr3:uid="{7289F0C7-72E7-4C8A-A0E7-531EF74F9254}" name="14" dataDxfId="139"/>
    <tableColumn id="12" xr3:uid="{EC9696F2-D4A5-4042-BBE1-E3C64FE72AED}" name="15" dataDxfId="138"/>
    <tableColumn id="13" xr3:uid="{C75045C6-B3C5-407C-B3A9-0F1F46535BC0}" name="16" dataDxfId="137"/>
    <tableColumn id="14" xr3:uid="{B0653272-6948-4A69-B7F5-9DADCB29A13E}" name="17" dataDxfId="136"/>
    <tableColumn id="15" xr3:uid="{0F1968FB-6B80-44F8-BE1A-C368F94B3C13}" name="20" dataDxfId="135"/>
    <tableColumn id="16" xr3:uid="{6D36DBEB-4AF5-426F-A752-698A5D1C3B62}" name="21" dataDxfId="134"/>
    <tableColumn id="17" xr3:uid="{0207C6D9-8D97-4852-BFED-C445D736D0DB}" name="22" dataDxfId="133"/>
    <tableColumn id="18" xr3:uid="{7DDAA5A2-633B-4C3F-B0EE-5FDD92815DC8}" name="23" dataDxfId="132"/>
    <tableColumn id="19" xr3:uid="{44AE6AAE-F0AD-4A2F-BFFB-98D8D3BA8E3C}" name="24" dataDxfId="131"/>
    <tableColumn id="20" xr3:uid="{B3CF3923-DF8A-4F76-B0EB-9BCF1BEB99D7}" name="27" dataDxfId="130"/>
    <tableColumn id="21" xr3:uid="{D1C5440B-A3AC-4083-9DEA-3C61BD3AA4BA}" name="28" dataDxfId="129"/>
    <tableColumn id="22" xr3:uid="{B9DADE9A-D31C-405D-B512-FA0C75505FD3}" name="29" dataDxfId="128"/>
    <tableColumn id="23" xr3:uid="{DDC02FAB-2145-4E5A-A691-0B443835F534}" name="30" dataDxfId="127"/>
    <tableColumn id="5" xr3:uid="{D4A0BEAA-FF12-423C-A01E-2E19D1AD53FF}" name="CARTERA" dataDxfId="126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BO8:BS13" totalsRowShown="0" headerRowDxfId="125" dataDxfId="124">
  <autoFilter ref="BO8:BS13" xr:uid="{32F2C0DF-608D-4449-86C3-ED0D601B4CAB}"/>
  <tableColumns count="5">
    <tableColumn id="1" xr3:uid="{3CE00A77-7414-4C4C-8A91-68EF49780B65}" name="VISTA" dataDxfId="123"/>
    <tableColumn id="2" xr3:uid="{56B0F96B-21BA-4827-B2B1-B18358246F09}" name="1" dataDxfId="122"/>
    <tableColumn id="3" xr3:uid="{1E4D191E-FF72-4608-80E3-C9FEAF37BDCC}" name="2" dataDxfId="121"/>
    <tableColumn id="4" xr3:uid="{C83CA394-AE26-46CE-A122-E8F3B2632CBE}" name="3" dataDxfId="120"/>
    <tableColumn id="14" xr3:uid="{6F542B49-75AA-4A9E-8EF8-DB967DF24F23}" name="4" dataDxfId="119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6" totalsRowShown="0" headerRowDxfId="118">
  <autoFilter ref="A2:K56" xr:uid="{CEADAD3D-0C27-4778-BBDF-CD1636DD9E90}"/>
  <tableColumns count="11">
    <tableColumn id="1" xr3:uid="{4A64A390-AB89-48FF-B540-1CCF03489458}" name="SUPER" dataDxfId="117"/>
    <tableColumn id="2" xr3:uid="{45101E4F-DB4B-4554-B6B5-ADB5F0B1770F}" name="ASESOR_CRR" dataDxfId="116"/>
    <tableColumn id="5" xr3:uid="{E8ED1EF9-2793-4A14-9FB0-C2C88FAAF77A}" name="META" dataDxfId="115"/>
    <tableColumn id="6" xr3:uid="{9A1D0047-70F8-4EF2-B183-E872A9F6E0D4}" name="ALCANCE" dataDxfId="114"/>
    <tableColumn id="7" xr3:uid="{DB2D050C-1682-4246-A04F-385DB2970EEC}" name="SUPER2" dataDxfId="113"/>
    <tableColumn id="3" xr3:uid="{3432E335-BE7B-4784-A694-9F2A48385AC0}" name="ASESOR"/>
    <tableColumn id="4" xr3:uid="{267B73DC-69BA-4ECE-83A5-7572A6145E6D}" name="RECUPERO" dataDxfId="112"/>
    <tableColumn id="11" xr3:uid="{881B540A-A1A2-4344-A3DD-35C5E8D9728F}" name="DNI" dataDxfId="111"/>
    <tableColumn id="12" xr3:uid="{319F9868-3DC8-43BB-B95D-50902B671ECD}" name="FECHA DE INICIO" dataDxfId="110"/>
    <tableColumn id="8" xr3:uid="{CFF0EDA1-6698-4F60-A351-0F390F5F97C2}" name="ESTADO" dataDxfId="109"/>
    <tableColumn id="9" xr3:uid="{7B85EA5D-A52D-4E16-BAAE-ABE3F31106B9}" name="SEGMENTO" dataDxfId="108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N56" totalsRowShown="0" headerRowBorderDxfId="107" tableBorderDxfId="106">
  <autoFilter ref="M8:AN56" xr:uid="{99EC4EFF-C4F5-47B9-B9CA-C539D3E1DA6A}"/>
  <tableColumns count="28">
    <tableColumn id="5" xr3:uid="{7D4E3052-A2A5-45E4-91B9-517C4637DCB1}" name="AL_AC" dataDxfId="105"/>
    <tableColumn id="2" xr3:uid="{A35BC57C-E121-4AEE-9DD5-5E00BD1723E4}" name="CLASIFICACIÓN" dataDxfId="104"/>
    <tableColumn id="3" xr3:uid="{5017548B-527B-4318-AA2A-51FA1DE29854}" name="SUPERVISOR" dataDxfId="103"/>
    <tableColumn id="1" xr3:uid="{6D53B6EC-2DC5-49C1-8E40-1AD9A3C0E8BF}" name="RECUPERO" dataDxfId="102"/>
    <tableColumn id="6" xr3:uid="{69340D94-209B-4BC0-AC07-C87931DE975C}" name="META" dataDxfId="101"/>
    <tableColumn id="7" xr3:uid="{B8C4559C-F742-49D3-962B-6456909CF17B}" name="ASER_" dataDxfId="100"/>
    <tableColumn id="4" xr3:uid="{06C89008-F3A6-4B1C-A6FE-0BD295BB59E4}" name="4" dataDxfId="99"/>
    <tableColumn id="8" xr3:uid="{5556AB1B-7833-4E23-8AB5-D539848D6383}" name="5" dataDxfId="98"/>
    <tableColumn id="9" xr3:uid="{C5734845-9EDA-4C5F-89EA-F080D98A8239}" name="6" dataDxfId="97"/>
    <tableColumn id="10" xr3:uid="{1787F0B7-7514-41B6-A063-2E9817BDD209}" name="7" dataDxfId="96"/>
    <tableColumn id="11" xr3:uid="{502C75B1-4204-4753-96FD-DF400011296A}" name="8" dataDxfId="95"/>
    <tableColumn id="12" xr3:uid="{0A6F4D7B-8E06-4B62-8294-5D8F05A8CB0A}" name="11" dataDxfId="94"/>
    <tableColumn id="13" xr3:uid="{A9CA6C72-9D2E-4C2B-BAAE-3A7ACDFEEA4B}" name="12" dataDxfId="93"/>
    <tableColumn id="14" xr3:uid="{BA7BFB3C-8A7A-4F64-B9DB-4A638E309109}" name="13" dataDxfId="92"/>
    <tableColumn id="15" xr3:uid="{4D649C8E-48CA-4509-BFE1-60D3F323CD73}" name="14" dataDxfId="91"/>
    <tableColumn id="35" xr3:uid="{1290719A-B443-4CB4-8E81-B6D3D13267BD}" name="15" dataDxfId="90"/>
    <tableColumn id="36" xr3:uid="{F4A801E4-9557-413D-BEF6-08675AB9E824}" name="18" dataDxfId="89"/>
    <tableColumn id="38" xr3:uid="{9ADEDB42-FBDC-466B-A80E-100DAAC1E533}" name="19" dataDxfId="88"/>
    <tableColumn id="37" xr3:uid="{C5A7C01F-4B4D-4858-A0C5-80590A65D0D9}" name="20" dataDxfId="87"/>
    <tableColumn id="32" xr3:uid="{34FB8588-1641-468D-8A9C-CE05703D6D8A}" name="21" dataDxfId="86"/>
    <tableColumn id="33" xr3:uid="{3EC631B2-B479-4B54-B367-7F04C010ADF8}" name="22" dataDxfId="85"/>
    <tableColumn id="34" xr3:uid="{81C745CF-6C9F-41AD-910D-BF4C140A845E}" name="25" dataDxfId="84"/>
    <tableColumn id="26" xr3:uid="{CEA0AFFE-054C-4B9C-9EAB-5D0AFC7D2E4D}" name="26" dataDxfId="83"/>
    <tableColumn id="30" xr3:uid="{18AF48FD-9B2C-4DC4-ABA7-2E8C8E44BE7D}" name="27" dataDxfId="82"/>
    <tableColumn id="31" xr3:uid="{8D03E2DA-BC26-4007-85DF-8A561242C9DF}" name="28" dataDxfId="81"/>
    <tableColumn id="16" xr3:uid="{DCA40FF9-CF3B-4DFE-A664-963D7B4A36C1}" name="29" dataDxfId="80"/>
    <tableColumn id="17" xr3:uid="{47EFE678-2E07-48FF-B66F-12E198D87A66}" name="30" dataDxfId="79"/>
    <tableColumn id="29" xr3:uid="{3FE111A9-252B-47CB-BAAC-E0952DF12A10}" name="CARTERA ASESOR" dataDxfId="78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P8:BO13" totalsRowShown="0" headerRowDxfId="77" dataDxfId="75" headerRowBorderDxfId="76" tableBorderDxfId="74" totalsRowBorderDxfId="73">
  <autoFilter ref="AP8:BO13" xr:uid="{ACCC8997-AD88-48E1-8E55-FAFAE7D6A0A2}"/>
  <sortState xmlns:xlrd2="http://schemas.microsoft.com/office/spreadsheetml/2017/richdata2" ref="AP9:BO13">
    <sortCondition descending="1" ref="AS8:AS13"/>
  </sortState>
  <tableColumns count="26">
    <tableColumn id="2" xr3:uid="{B3F89A57-FAF6-4B9C-8100-C2101A360C23}" name="META SUPER" dataDxfId="72"/>
    <tableColumn id="3" xr3:uid="{8704DF31-E2F5-496F-8E14-9B19DB4AE2AE}" name="RECUPERO SUPERVISOR" dataDxfId="71"/>
    <tableColumn id="4" xr3:uid="{97F5BE93-4CF2-44FA-A977-F098658E2535}" name="ALCANCE SUPERVISOR" dataDxfId="70"/>
    <tableColumn id="1" xr3:uid="{EFE838F8-24F6-436F-ACEA-EF88C3C03F4E}" name="SUPER" dataDxfId="69"/>
    <tableColumn id="6" xr3:uid="{338E93CB-D49A-4A74-9593-BA526028EC2D}" name="4" dataDxfId="68"/>
    <tableColumn id="7" xr3:uid="{2784BC62-1DE5-4506-B637-74149480FC40}" name="5" dataDxfId="67"/>
    <tableColumn id="27" xr3:uid="{A815FAB3-0A3D-47A4-8A84-0827A96FA900}" name="6" dataDxfId="66"/>
    <tableColumn id="26" xr3:uid="{00E49E0E-3D8A-4E02-93BA-F06EF5E524A6}" name="7" dataDxfId="65"/>
    <tableColumn id="8" xr3:uid="{4FA69ECA-2769-4837-B0A9-2A77529734C5}" name="8" dataDxfId="64"/>
    <tableColumn id="9" xr3:uid="{236FB28A-D0BC-4549-AACF-DF2DC6EA3B00}" name="11" dataDxfId="63"/>
    <tableColumn id="10" xr3:uid="{EE15861B-D0A7-4A31-8DB1-BD88685DAA17}" name="12" dataDxfId="62"/>
    <tableColumn id="11" xr3:uid="{1FB86A47-3B16-4C03-B440-9E25AB66C3EE}" name="13" dataDxfId="61"/>
    <tableColumn id="12" xr3:uid="{C942E9E0-6CDD-4A0A-B1C1-C8558750820D}" name="14" dataDxfId="60"/>
    <tableColumn id="13" xr3:uid="{6928162A-9065-47CE-8C1B-4EF16CE8AFFE}" name="15" dataDxfId="59"/>
    <tableColumn id="14" xr3:uid="{D3ABC4C5-278D-4A76-8B33-9CF4632077DA}" name="18" dataDxfId="58"/>
    <tableColumn id="15" xr3:uid="{5D617563-FB40-4BB2-A012-A3710427A6B5}" name="19" dataDxfId="57"/>
    <tableColumn id="16" xr3:uid="{D0253AAF-BDF5-4176-B0CE-EA507BBA0DD8}" name="20" dataDxfId="56"/>
    <tableColumn id="17" xr3:uid="{EBB5E4B5-E2B2-4210-9DF9-B6C235B5DD20}" name="21" dataDxfId="55"/>
    <tableColumn id="18" xr3:uid="{190C9D96-D142-49D6-8A87-8C8A6489CC6E}" name="22" dataDxfId="54"/>
    <tableColumn id="19" xr3:uid="{F6CE2D74-54EB-4D6E-B006-29B78E00B956}" name="25" dataDxfId="53"/>
    <tableColumn id="20" xr3:uid="{FA09505D-E5DD-4041-8124-23A2BC1A34E6}" name="26" dataDxfId="52"/>
    <tableColumn id="21" xr3:uid="{FCE405CC-978E-47A4-B9A9-9484D7649714}" name="27" dataDxfId="51"/>
    <tableColumn id="22" xr3:uid="{F00C44AE-506F-4BB4-90B1-25E3A5370980}" name="28" dataDxfId="50"/>
    <tableColumn id="23" xr3:uid="{85629680-93C9-4151-8AF4-4E814AFF502F}" name="29" dataDxfId="49"/>
    <tableColumn id="24" xr3:uid="{B32A0522-105D-4219-8A74-2FF6BA7BE363}" name="30" dataDxfId="48"/>
    <tableColumn id="5" xr3:uid="{68D5371C-E40A-415D-BEBB-02E2D98BFFF0}" name="CARTERA" dataDxfId="47"/>
  </tableColumns>
  <tableStyleInfo name="TableStyleMedium1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BQ8:BU13" totalsRowShown="0" headerRowDxfId="46" dataDxfId="45">
  <autoFilter ref="BQ8:BU13" xr:uid="{6A23029B-24FA-409E-A5D3-C14C1CED561D}"/>
  <tableColumns count="5">
    <tableColumn id="1" xr3:uid="{5A64E687-6603-4C1D-A60E-6EA92192BA1C}" name="VISTA" dataDxfId="44"/>
    <tableColumn id="2" xr3:uid="{356C54C9-5E0A-4E89-9455-FB3E249A49F5}" name="1" dataDxfId="43"/>
    <tableColumn id="3" xr3:uid="{E36B4FAA-F4DE-4844-A6B9-D151405BB942}" name="2" dataDxfId="42"/>
    <tableColumn id="4" xr3:uid="{3BE37E62-6390-46D5-95BA-EED63D9055C8}" name="3" dataDxfId="41"/>
    <tableColumn id="14" xr3:uid="{AC914FEC-5036-4985-9CBF-12C32BB6AC18}" name="4" dataDxfId="40"/>
  </tableColumns>
  <tableStyleInfo name="TableStyleMedium1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6" totalsRowShown="0" headerRowBorderDxfId="1439" tableBorderDxfId="1438">
  <autoFilter ref="M8:AN56" xr:uid="{C43AC382-896C-48E3-967E-003D8C3BB4E1}"/>
  <tableColumns count="28">
    <tableColumn id="5" xr3:uid="{3070F4BF-8DA0-42C9-A329-60BF3937C6CD}" name="AL_AC" dataDxfId="1437">
      <calculatedColumnFormula>DATA_MAYO_2026[[#This Row],[RECUPERO]]/DATA_MAYO_2026[[#This Row],[META]]</calculatedColumnFormula>
    </tableColumn>
    <tableColumn id="2" xr3:uid="{6F4F1AB6-BBA7-498F-8826-77193C5F7DE1}" name="CLASIFICACIÓN" dataDxfId="1436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435">
      <calculatedColumnFormula>IFERROR(VLOOKUP(DATA_MAYO_2026[[#This Row],[ASER_]],$B:$G,4,0),"")</calculatedColumnFormula>
    </tableColumn>
    <tableColumn id="1" xr3:uid="{9CEE94D1-F610-44F2-BECC-051BA76BFF42}" name="RECUPERO" dataDxfId="1434">
      <calculatedColumnFormula>VLOOKUP(DATA_MAYO_2026[[#This Row],[ASER_]],D1_MAYO_2026[[ASESOR_CRR]:[RECUPERO]],6,0)</calculatedColumnFormula>
    </tableColumn>
    <tableColumn id="6" xr3:uid="{3562AB11-2CE4-4155-B81B-115DFB69AAAB}" name="META" dataDxfId="1433">
      <calculatedColumnFormula>VLOOKUP(DATA_MAYO_2026[[#This Row],[ASER_]],D1_MAYO_2026[[ASESOR_CRR]:[META]],2,0)</calculatedColumnFormula>
    </tableColumn>
    <tableColumn id="7" xr3:uid="{AC7A2592-ACAD-4ED6-8351-E4B65FF33302}" name="ASER_" dataDxfId="1432"/>
    <tableColumn id="4" xr3:uid="{DA0D3C8E-070D-4088-AECD-5F2EBC6508EA}" name="1" dataDxfId="1431"/>
    <tableColumn id="8" xr3:uid="{D7FBF1F2-5A46-485F-925D-86EC9088EE46}" name="2" dataDxfId="1430"/>
    <tableColumn id="9" xr3:uid="{98D48677-E650-4067-8686-1CC9080B6D71}" name="3" dataDxfId="1429"/>
    <tableColumn id="10" xr3:uid="{A974A4A9-21AF-43B2-9C93-C6F103E8C411}" name="4" dataDxfId="1428"/>
    <tableColumn id="11" xr3:uid="{D058D028-4AAB-47B9-A7D3-876CEDD146AA}" name="5" dataDxfId="1427"/>
    <tableColumn id="12" xr3:uid="{307618CA-E43D-42A3-8C03-88388003A5BF}" name="8" dataDxfId="1426"/>
    <tableColumn id="13" xr3:uid="{65D16E27-3C15-4385-9A4F-B28821EF4DF6}" name="9" dataDxfId="1425"/>
    <tableColumn id="14" xr3:uid="{5A29EA5C-756B-4F6D-B764-BBEF2AB98C7D}" name="10" dataDxfId="1424"/>
    <tableColumn id="15" xr3:uid="{3B9CE493-BFF8-40F7-8EBA-E6D80D76579A}" name="11" dataDxfId="1423"/>
    <tableColumn id="35" xr3:uid="{937A2A56-212E-4F5D-82A6-A611A736B874}" name="12" dataDxfId="1422"/>
    <tableColumn id="36" xr3:uid="{BDD4E521-FEB6-4C6D-A99C-4DEF1151ECB2}" name="15" dataDxfId="1421"/>
    <tableColumn id="38" xr3:uid="{8A3F13C2-2724-40B9-B643-549845061201}" name="16" dataDxfId="1420"/>
    <tableColumn id="37" xr3:uid="{1B44AA59-76C8-45D9-8D04-DE465519029A}" name="17" dataDxfId="1419"/>
    <tableColumn id="32" xr3:uid="{671123B0-2D4B-4251-A9E4-5E6081CC9B0D}" name="18" dataDxfId="1418"/>
    <tableColumn id="33" xr3:uid="{60129480-1A31-44E0-9812-1991A66734F8}" name="19" dataDxfId="1417"/>
    <tableColumn id="34" xr3:uid="{FDFC525F-FDF7-4915-B1C4-C85C973F5DA2}" name="22" dataDxfId="1416"/>
    <tableColumn id="26" xr3:uid="{B6EB21BB-98AE-4702-A51D-97935B8D2065}" name="23" dataDxfId="1415"/>
    <tableColumn id="30" xr3:uid="{60395B11-6EC8-498F-AE14-A906778E013B}" name="24" dataDxfId="1414"/>
    <tableColumn id="31" xr3:uid="{D6095057-15EB-4616-A6CE-8131684C14BF}" name="25" dataDxfId="1413"/>
    <tableColumn id="16" xr3:uid="{AEBDE2A8-76B9-42D9-9059-4EA0D9C9EF1E}" name="26" dataDxfId="1412"/>
    <tableColumn id="17" xr3:uid="{0874DB56-268A-4369-AFDE-AC61ECA55C23}" name="30" dataDxfId="1411"/>
    <tableColumn id="29" xr3:uid="{D20EC82C-02AB-47E1-8B4F-0454088553EB}" name="CARTERA ASESOR" dataDxfId="1410"/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1409">
  <autoFilter ref="A2:K55" xr:uid="{AB1967BC-98FE-49B9-B96E-7F91454A75DF}"/>
  <tableColumns count="11">
    <tableColumn id="1" xr3:uid="{E8C9BFA3-A821-4545-B3F0-1D85338E10F0}" name="SUPER" dataDxfId="1408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07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06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05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04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03"/>
    <tableColumn id="11" xr3:uid="{F601E667-9F29-4288-9F5A-767AD7CB84C9}" name="DNI" dataDxfId="1402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01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40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39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1398" dataDxfId="1396" headerRowBorderDxfId="1397" tableBorderDxfId="1395" totalsRowBorderDxfId="1394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393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392">
      <calculatedColumnFormula>MAX(DITE_MAYO_2026[[#This Row],[SUPER]:[CARTERA]])</calculatedColumnFormula>
    </tableColumn>
    <tableColumn id="4" xr3:uid="{F9F9E33D-CF47-4A7B-B383-5185C72E6DBF}" name="ALCANCE SUPERVISOR" dataDxfId="1391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390"/>
    <tableColumn id="6" xr3:uid="{C6BD95E9-37E9-4C3B-8FAC-71C063D3CCCF}" name="1" dataDxfId="1389"/>
    <tableColumn id="7" xr3:uid="{154D80CB-9358-4F70-B790-869141CEED69}" name="2" dataDxfId="1388"/>
    <tableColumn id="27" xr3:uid="{B1E200F5-8C17-45BD-9A07-4B3CFCF2F55B}" name="3" dataDxfId="1387"/>
    <tableColumn id="26" xr3:uid="{C4A34376-F48F-4D30-891F-680F0DC972B5}" name="4" dataDxfId="1386"/>
    <tableColumn id="8" xr3:uid="{B8634A52-4E10-47C7-A2E2-7268D75FF3B1}" name="5" dataDxfId="1385"/>
    <tableColumn id="9" xr3:uid="{50F52F97-2FFF-429B-8205-9821B5E2DDA3}" name="8" dataDxfId="1384"/>
    <tableColumn id="10" xr3:uid="{6CA0D076-C021-4ECD-9708-296693BD3D20}" name="9" dataDxfId="1383"/>
    <tableColumn id="11" xr3:uid="{60AC6543-9932-43CA-8508-68010867604A}" name="10" dataDxfId="1382"/>
    <tableColumn id="12" xr3:uid="{0838B302-CF6C-41FA-9981-2C61DC3D728B}" name="11" dataDxfId="1381"/>
    <tableColumn id="13" xr3:uid="{26042530-89B3-48FD-877D-23191B67C000}" name="12" dataDxfId="1380"/>
    <tableColumn id="14" xr3:uid="{995CAE1C-81F5-4376-9FBF-9057F92CEBA2}" name="15" dataDxfId="1379"/>
    <tableColumn id="15" xr3:uid="{CE078F22-32E6-477A-8610-B39D8802D198}" name="16" dataDxfId="1378"/>
    <tableColumn id="16" xr3:uid="{E61DEB3E-541F-4914-B1D0-C31E52B10974}" name="17" dataDxfId="1377"/>
    <tableColumn id="17" xr3:uid="{EC1E57C1-8228-4A17-A0ED-ACC28C9F0842}" name="18" dataDxfId="1376"/>
    <tableColumn id="18" xr3:uid="{2DA8EC35-62DF-44D7-9B0C-1DA9FD7CFD91}" name="19" dataDxfId="1375"/>
    <tableColumn id="19" xr3:uid="{302180D2-EA42-43C4-9FEA-201681FA861E}" name="22" dataDxfId="1374"/>
    <tableColumn id="20" xr3:uid="{451825B8-387D-40FA-8E98-2EFAE991267E}" name="23" dataDxfId="1373"/>
    <tableColumn id="21" xr3:uid="{026C2977-2F45-419E-AE54-92E82A6FE474}" name="24" dataDxfId="1372"/>
    <tableColumn id="22" xr3:uid="{3BBAF7E2-3A2C-4E90-AE74-EEF9947AB60E}" name="25" dataDxfId="1371"/>
    <tableColumn id="23" xr3:uid="{8879B076-C842-409F-9B19-61F59EF05584}" name="26" dataDxfId="1370"/>
    <tableColumn id="24" xr3:uid="{AF13A28F-47F7-4494-B809-B096327E1B45}" name="30" dataDxfId="1369"/>
    <tableColumn id="5" xr3:uid="{E0FECB44-CCD1-447F-A9BF-090DD9D8B323}" name="CARTERA" dataDxfId="1368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367" dataDxfId="1366">
  <autoFilter ref="BQ8:BU13" xr:uid="{C9FCF86D-1275-4B72-BE74-6F156A04A60F}"/>
  <tableColumns count="5">
    <tableColumn id="1" xr3:uid="{D4A2D135-5FEA-4A06-89AF-37C3FE1C2F48}" name="VISTA" dataDxfId="1365"/>
    <tableColumn id="2" xr3:uid="{4FF6DB9A-B454-446F-997B-A00F368BEC51}" name="1" dataDxfId="1364"/>
    <tableColumn id="3" xr3:uid="{8B26053F-A062-4D4B-AAC8-2984C8D90026}" name="2" dataDxfId="1363"/>
    <tableColumn id="4" xr3:uid="{70518B20-4375-4037-8000-83326D8CF440}" name="3" dataDxfId="1362"/>
    <tableColumn id="14" xr3:uid="{28C3DE23-A40F-42FD-9BED-2CB4EF12CD03}" name="4" dataDxfId="1361"/>
  </tableColumns>
  <tableStyleInfo name="TableStyleMedium1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9"/>
    <tableColumn id="2" xr3:uid="{4006F32F-EE4A-427A-AF49-74D52FBF6D53}" uniqueName="2" name="PUESTO REAL" queryTableFieldId="10"/>
    <tableColumn id="3" xr3:uid="{E33DD98B-2314-40D0-9DFA-F987324F30A3}" uniqueName="3" name="FEC_NAC" queryTableFieldId="3" dataDxfId="38"/>
    <tableColumn id="4" xr3:uid="{8397B954-43F8-46B6-880D-47B541CAB0B9}" uniqueName="4" name="NOMBRE" queryTableFieldId="4" dataDxfId="37"/>
    <tableColumn id="8" xr3:uid="{C558150D-EEDC-4907-8F09-51F784EDF9BF}" uniqueName="8" name="PUESTO" queryTableFieldId="8" dataDxfId="36"/>
    <tableColumn id="7" xr3:uid="{C74AABE2-4219-45A4-BAE7-8D08B65D7B0D}" uniqueName="7" name="MES" queryTableFieldId="7" dataDxfId="35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4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8" tableType="queryTable" totalsRowShown="0">
  <autoFilter ref="A1:J588" xr:uid="{D00BB622-375D-40B1-BDB9-BF21F38BF1B6}"/>
  <tableColumns count="10">
    <tableColumn id="1" xr3:uid="{74DC8A6E-5A2D-484F-A76B-6E9216604DDA}" uniqueName="1" name="FECHA" queryTableFieldId="1" dataDxfId="33"/>
    <tableColumn id="2" xr3:uid="{4CE5A949-AEFE-46EE-A6C7-63B5F40645ED}" uniqueName="2" name="ASESOR" queryTableFieldId="2" dataDxfId="32"/>
    <tableColumn id="3" xr3:uid="{FC855FAD-67D1-4191-8099-B240DE5A7E19}" uniqueName="3" name="DNI" queryTableFieldId="3"/>
    <tableColumn id="4" xr3:uid="{B28762A1-8785-4BA1-B48A-2105A7540479}" uniqueName="4" name="EQUIPO" queryTableFieldId="4" dataDxfId="31"/>
    <tableColumn id="5" xr3:uid="{4F3B4D22-3444-4707-91B7-A75F49F6498B}" uniqueName="5" name="CONDICION" queryTableFieldId="5" dataDxfId="30"/>
    <tableColumn id="6" xr3:uid="{8D887E6F-5C9F-49FF-A6D9-8DCCAC8D9020}" uniqueName="6" name="TIPO" queryTableFieldId="6" dataDxfId="29"/>
    <tableColumn id="7" xr3:uid="{36632EEE-E592-453A-A97A-3195965F4742}" uniqueName="7" name="FECHA DE INGRESO" queryTableFieldId="7" dataDxfId="28"/>
    <tableColumn id="8" xr3:uid="{D33CB618-ED5B-4D3C-80A3-516C71713539}" uniqueName="8" name="MESES ANTIGÜEDAD" queryTableFieldId="8"/>
    <tableColumn id="9" xr3:uid="{705D9621-0524-4854-8C27-BF2096F130C6}" uniqueName="9" name="SEGMENTO" queryTableFieldId="9" dataDxfId="27"/>
    <tableColumn id="10" xr3:uid="{EA137E28-70F4-408B-9000-9FD7EB104A9B}" uniqueName="10" name="FECHA DE CESE" queryTableFieldId="10" dataDxfId="26"/>
  </tableColumns>
  <tableStyleInfo name="TableStyleLight14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25" headerRowBorderDxfId="24" tableBorderDxfId="23" totalsRowBorderDxfId="22">
  <autoFilter ref="A1:G214" xr:uid="{C41E08BB-0323-438E-BFE0-76BBB5F11D04}"/>
  <tableColumns count="7">
    <tableColumn id="1" xr3:uid="{392AC838-52ED-4D24-AEEF-DBB8AB8874AD}" name="CONCAT" dataDxfId="21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0"/>
    <tableColumn id="2" xr3:uid="{6AF5A16E-DFBE-42B7-BDA1-6E8694A629C3}" name="mes" dataDxfId="19"/>
    <tableColumn id="4" xr3:uid="{10D1F902-532A-4C8C-AB27-C2F522F14EA7}" name="Equipo" dataDxfId="18"/>
    <tableColumn id="5" xr3:uid="{75A35478-8934-432E-843B-D174D5C58C71}" name="Meta_Equipo" dataDxfId="17"/>
    <tableColumn id="6" xr3:uid="{C4DF57EE-8F57-44C8-ABE6-43EEF1F9DA62}" name="Meta_Asesor" dataDxfId="16"/>
    <tableColumn id="3" xr3:uid="{95E3CE54-9C14-4F51-963D-FFEEB667B07A}" name="SEGG" dataDxfId="15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table" Target="../tables/table64.xml"/><Relationship Id="rId4" Type="http://schemas.openxmlformats.org/officeDocument/2006/relationships/table" Target="../tables/table6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0.xml"/><Relationship Id="rId2" Type="http://schemas.openxmlformats.org/officeDocument/2006/relationships/table" Target="../tables/table69.xml"/><Relationship Id="rId1" Type="http://schemas.openxmlformats.org/officeDocument/2006/relationships/table" Target="../tables/table68.xml"/><Relationship Id="rId4" Type="http://schemas.openxmlformats.org/officeDocument/2006/relationships/table" Target="../tables/table7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4.xml"/><Relationship Id="rId2" Type="http://schemas.openxmlformats.org/officeDocument/2006/relationships/table" Target="../tables/table73.xml"/><Relationship Id="rId1" Type="http://schemas.openxmlformats.org/officeDocument/2006/relationships/table" Target="../tables/table72.xml"/><Relationship Id="rId4" Type="http://schemas.openxmlformats.org/officeDocument/2006/relationships/table" Target="../tables/table75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3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636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2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636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636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636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636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636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636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636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636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X1" zoomScale="70" zoomScaleNormal="70" workbookViewId="0">
      <selection activeCell="CL15" sqref="CL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636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AT1" zoomScale="70" zoomScaleNormal="70" workbookViewId="0">
      <selection activeCell="CK26" sqref="CK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9" priority="1" operator="containsText" text="kenneth">
      <formula>NOT(ISERROR(SEARCH("kenneth",E3)))</formula>
    </cfRule>
  </conditionalFormatting>
  <conditionalFormatting sqref="R9:R59">
    <cfRule type="duplicateValues" dxfId="8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W61"/>
  <sheetViews>
    <sheetView topLeftCell="BJ1" zoomScale="70" zoomScaleNormal="70" workbookViewId="0">
      <selection activeCell="BS7" sqref="BS7:BW13"/>
    </sheetView>
  </sheetViews>
  <sheetFormatPr baseColWidth="10" defaultRowHeight="15" x14ac:dyDescent="0.25"/>
  <cols>
    <col min="71" max="71" width="17.7109375" bestFit="1" customWidth="1"/>
    <col min="72" max="72" width="12" bestFit="1" customWidth="1"/>
    <col min="73" max="73" width="11.5703125" bestFit="1" customWidth="1"/>
    <col min="74" max="74" width="11" bestFit="1" customWidth="1"/>
    <col min="75" max="75" width="10.7109375" bestFit="1" customWidth="1"/>
  </cols>
  <sheetData>
    <row r="1" spans="1:7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7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5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75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75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75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75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BS7" t="s">
        <v>636</v>
      </c>
      <c r="BT7" t="s">
        <v>176</v>
      </c>
      <c r="BU7" t="s">
        <v>139</v>
      </c>
      <c r="BV7" t="s">
        <v>140</v>
      </c>
      <c r="BW7" t="s">
        <v>141</v>
      </c>
    </row>
    <row r="8" spans="1:75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  <c r="BS8" s="74" t="s">
        <v>637</v>
      </c>
      <c r="BT8" s="74" t="s">
        <v>533</v>
      </c>
      <c r="BU8" s="74" t="s">
        <v>503</v>
      </c>
      <c r="BV8" s="74" t="s">
        <v>525</v>
      </c>
      <c r="BW8" s="74" t="s">
        <v>529</v>
      </c>
    </row>
    <row r="9" spans="1:75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9" t="s">
        <v>3</v>
      </c>
      <c r="BT9" t="s">
        <v>2</v>
      </c>
      <c r="BU9" t="s">
        <v>2</v>
      </c>
      <c r="BV9" t="s">
        <v>2</v>
      </c>
      <c r="BW9" t="s">
        <v>3</v>
      </c>
    </row>
    <row r="10" spans="1:75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10" t="s">
        <v>6</v>
      </c>
      <c r="BT10" t="s">
        <v>6</v>
      </c>
      <c r="BU10" t="s">
        <v>6</v>
      </c>
      <c r="BV10" t="s">
        <v>6</v>
      </c>
      <c r="BW10" t="s">
        <v>6</v>
      </c>
    </row>
    <row r="11" spans="1:75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1" t="s">
        <v>2</v>
      </c>
      <c r="BT11" t="s">
        <v>3</v>
      </c>
      <c r="BU11" t="s">
        <v>3</v>
      </c>
      <c r="BV11" t="s">
        <v>3</v>
      </c>
      <c r="BW11" t="s">
        <v>2</v>
      </c>
    </row>
    <row r="12" spans="1:75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2" t="s">
        <v>125</v>
      </c>
      <c r="BT12" t="s">
        <v>4</v>
      </c>
      <c r="BU12" t="s">
        <v>4</v>
      </c>
      <c r="BV12" t="s">
        <v>125</v>
      </c>
      <c r="BW12" t="s">
        <v>125</v>
      </c>
    </row>
    <row r="13" spans="1:75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S13" t="s">
        <v>7</v>
      </c>
      <c r="BT13" t="s">
        <v>7</v>
      </c>
      <c r="BU13" t="s">
        <v>125</v>
      </c>
      <c r="BV13" t="s">
        <v>124</v>
      </c>
      <c r="BW13" t="s">
        <v>7</v>
      </c>
    </row>
    <row r="14" spans="1:75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5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75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7" priority="1" operator="containsText" text="kenneth">
      <formula>NOT(ISERROR(SEARCH("kenneth",E3)))</formula>
    </cfRule>
  </conditionalFormatting>
  <conditionalFormatting sqref="R9:R61">
    <cfRule type="duplicateValues" dxfId="6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E59"/>
  <sheetViews>
    <sheetView topLeftCell="BF6" zoomScale="80" zoomScaleNormal="80" workbookViewId="0">
      <selection activeCell="BQ20" sqref="BQ20"/>
    </sheetView>
  </sheetViews>
  <sheetFormatPr baseColWidth="10" defaultRowHeight="15" x14ac:dyDescent="0.25"/>
  <cols>
    <col min="2" max="2" width="23.5703125" bestFit="1" customWidth="1"/>
    <col min="67" max="67" width="16.28515625" bestFit="1" customWidth="1"/>
    <col min="68" max="71" width="9.5703125" bestFit="1" customWidth="1"/>
  </cols>
  <sheetData>
    <row r="1" spans="1:8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3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3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3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3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3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BO7" t="s">
        <v>636</v>
      </c>
      <c r="BP7" t="s">
        <v>139</v>
      </c>
      <c r="BQ7" t="s">
        <v>140</v>
      </c>
      <c r="BR7" t="s">
        <v>141</v>
      </c>
      <c r="BS7" t="s">
        <v>142</v>
      </c>
    </row>
    <row r="8" spans="1:83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  <c r="BO8" s="74" t="s">
        <v>637</v>
      </c>
      <c r="BP8" s="74" t="s">
        <v>533</v>
      </c>
      <c r="BQ8" s="74" t="s">
        <v>503</v>
      </c>
      <c r="BR8" s="74" t="s">
        <v>525</v>
      </c>
      <c r="BS8" s="74" t="s">
        <v>529</v>
      </c>
    </row>
    <row r="9" spans="1:83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9" t="s">
        <v>3</v>
      </c>
      <c r="BP9" t="s">
        <v>2</v>
      </c>
      <c r="BQ9" t="s">
        <v>2</v>
      </c>
      <c r="BR9" t="s">
        <v>3</v>
      </c>
      <c r="BS9" t="s">
        <v>3</v>
      </c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</row>
    <row r="10" spans="1:83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10" t="s">
        <v>6</v>
      </c>
      <c r="BP10" t="s">
        <v>6</v>
      </c>
      <c r="BQ10" t="s">
        <v>6</v>
      </c>
      <c r="BR10" t="s">
        <v>6</v>
      </c>
      <c r="BS10" t="s">
        <v>6</v>
      </c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</row>
    <row r="11" spans="1:83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1" t="s">
        <v>2</v>
      </c>
      <c r="BP11" t="s">
        <v>3</v>
      </c>
      <c r="BQ11" t="s">
        <v>3</v>
      </c>
      <c r="BR11" t="s">
        <v>2</v>
      </c>
      <c r="BS11" t="s">
        <v>2</v>
      </c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</row>
    <row r="12" spans="1:83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2" t="s">
        <v>125</v>
      </c>
      <c r="BP12" t="s">
        <v>4</v>
      </c>
      <c r="BQ12" t="s">
        <v>125</v>
      </c>
      <c r="BR12" t="s">
        <v>125</v>
      </c>
      <c r="BS12" t="s">
        <v>125</v>
      </c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</row>
    <row r="13" spans="1:83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O13" t="s">
        <v>7</v>
      </c>
      <c r="BP13" t="s">
        <v>125</v>
      </c>
      <c r="BQ13" t="s">
        <v>124</v>
      </c>
      <c r="BR13" t="s">
        <v>7</v>
      </c>
      <c r="BS13" t="s">
        <v>7</v>
      </c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</row>
    <row r="14" spans="1:83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3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3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5" priority="1" operator="containsText" text="kenneth">
      <formula>NOT(ISERROR(SEARCH("kenneth",E3)))</formula>
    </cfRule>
  </conditionalFormatting>
  <conditionalFormatting sqref="R9:R59">
    <cfRule type="duplicateValues" dxfId="4" priority="4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BU56"/>
  <sheetViews>
    <sheetView workbookViewId="0">
      <selection activeCell="E9" sqref="E9:J18"/>
    </sheetView>
  </sheetViews>
  <sheetFormatPr baseColWidth="10" defaultRowHeight="15" x14ac:dyDescent="0.25"/>
  <sheetData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">
        <v>602</v>
      </c>
      <c r="B3" s="62" t="s">
        <v>17</v>
      </c>
      <c r="C3" s="62" t="e">
        <v>#N/A</v>
      </c>
      <c r="D3" s="63"/>
      <c r="E3" s="63" t="s">
        <v>602</v>
      </c>
      <c r="F3" s="62" t="s">
        <v>17</v>
      </c>
      <c r="G3" s="62"/>
      <c r="H3" s="62">
        <v>70876605</v>
      </c>
      <c r="I3" s="64">
        <v>44886</v>
      </c>
      <c r="J3" s="64" t="s">
        <v>602</v>
      </c>
      <c r="K3" s="64" t="s">
        <v>602</v>
      </c>
      <c r="L3" s="56"/>
      <c r="M3" s="33">
        <v>2026</v>
      </c>
      <c r="N3" s="33" t="s">
        <v>143</v>
      </c>
      <c r="O3" s="33">
        <v>21</v>
      </c>
    </row>
    <row r="4" spans="1:73" x14ac:dyDescent="0.25">
      <c r="A4" s="62" t="s">
        <v>500</v>
      </c>
      <c r="B4" s="62" t="s">
        <v>38</v>
      </c>
      <c r="C4" s="62" t="e">
        <v>#N/A</v>
      </c>
      <c r="D4" s="63"/>
      <c r="E4" s="63" t="s">
        <v>500</v>
      </c>
      <c r="F4" s="62" t="s">
        <v>38</v>
      </c>
      <c r="G4" s="62"/>
      <c r="H4" s="62">
        <v>47411966</v>
      </c>
      <c r="I4" s="64">
        <v>45800</v>
      </c>
      <c r="J4" s="64" t="s">
        <v>500</v>
      </c>
      <c r="K4" s="64" t="s">
        <v>500</v>
      </c>
      <c r="L4" s="56"/>
      <c r="N4" s="5"/>
      <c r="S4" s="45"/>
    </row>
    <row r="5" spans="1:73" x14ac:dyDescent="0.25">
      <c r="A5" s="62" t="s">
        <v>500</v>
      </c>
      <c r="B5" s="62" t="s">
        <v>15</v>
      </c>
      <c r="C5" s="62" t="e">
        <v>#N/A</v>
      </c>
      <c r="D5" s="63"/>
      <c r="E5" s="63" t="s">
        <v>500</v>
      </c>
      <c r="F5" s="62" t="s">
        <v>15</v>
      </c>
      <c r="G5" s="62"/>
      <c r="H5" s="62">
        <v>47587400</v>
      </c>
      <c r="I5" s="64">
        <v>44733</v>
      </c>
      <c r="J5" s="64" t="s">
        <v>500</v>
      </c>
      <c r="K5" s="64" t="s">
        <v>500</v>
      </c>
      <c r="L5" s="56"/>
      <c r="N5" s="5"/>
      <c r="S5" s="45"/>
      <c r="BG5" s="45"/>
    </row>
    <row r="6" spans="1:73" x14ac:dyDescent="0.25">
      <c r="A6" s="66" t="s">
        <v>500</v>
      </c>
      <c r="B6" s="66" t="s">
        <v>50</v>
      </c>
      <c r="C6" s="62" t="e">
        <v>#N/A</v>
      </c>
      <c r="D6" s="63"/>
      <c r="E6" s="67" t="s">
        <v>500</v>
      </c>
      <c r="F6" s="66" t="s">
        <v>50</v>
      </c>
      <c r="G6" s="73"/>
      <c r="H6" s="66">
        <v>72733809</v>
      </c>
      <c r="I6" s="68">
        <v>45789</v>
      </c>
      <c r="J6" s="68" t="s">
        <v>500</v>
      </c>
      <c r="K6" s="68" t="s">
        <v>500</v>
      </c>
      <c r="L6" s="56"/>
      <c r="N6" s="5"/>
      <c r="S6" s="45"/>
    </row>
    <row r="7" spans="1:73" x14ac:dyDescent="0.25">
      <c r="A7" s="66" t="s">
        <v>602</v>
      </c>
      <c r="B7" s="66" t="s">
        <v>81</v>
      </c>
      <c r="C7" s="62" t="e">
        <v>#N/A</v>
      </c>
      <c r="D7" s="63" t="s">
        <v>548</v>
      </c>
      <c r="E7" s="67" t="s">
        <v>602</v>
      </c>
      <c r="F7" s="66" t="s">
        <v>81</v>
      </c>
      <c r="G7" s="73"/>
      <c r="H7" s="66">
        <v>72716299</v>
      </c>
      <c r="I7" s="68">
        <v>45511</v>
      </c>
      <c r="J7" s="68" t="s">
        <v>602</v>
      </c>
      <c r="K7" s="68" t="s">
        <v>602</v>
      </c>
      <c r="L7" s="56"/>
      <c r="M7" s="1"/>
      <c r="N7" s="5"/>
      <c r="BQ7" t="s">
        <v>636</v>
      </c>
      <c r="BR7" t="s">
        <v>140</v>
      </c>
      <c r="BS7" t="s">
        <v>141</v>
      </c>
      <c r="BT7" t="s">
        <v>142</v>
      </c>
      <c r="BU7" t="s">
        <v>143</v>
      </c>
    </row>
    <row r="8" spans="1:73" x14ac:dyDescent="0.25">
      <c r="A8" s="66" t="s">
        <v>500</v>
      </c>
      <c r="B8" s="66" t="s">
        <v>73</v>
      </c>
      <c r="C8" s="66" t="e">
        <v>#N/A</v>
      </c>
      <c r="D8" s="67" t="s">
        <v>548</v>
      </c>
      <c r="E8" s="67" t="s">
        <v>500</v>
      </c>
      <c r="F8" s="66" t="s">
        <v>73</v>
      </c>
      <c r="G8" s="73"/>
      <c r="H8" s="66">
        <v>40318129</v>
      </c>
      <c r="I8" s="68">
        <v>45141</v>
      </c>
      <c r="J8" s="68" t="s">
        <v>500</v>
      </c>
      <c r="K8" s="68" t="s">
        <v>500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">
        <v>2</v>
      </c>
      <c r="B9" s="34" t="s">
        <v>13</v>
      </c>
      <c r="C9" s="34">
        <v>44700</v>
      </c>
      <c r="D9" s="35">
        <v>1.2533333333333334</v>
      </c>
      <c r="E9" s="35" t="s">
        <v>2</v>
      </c>
      <c r="F9" s="34" t="s">
        <v>13</v>
      </c>
      <c r="G9" s="36">
        <v>56024</v>
      </c>
      <c r="H9" s="34">
        <v>72512391</v>
      </c>
      <c r="I9" s="61">
        <v>44809</v>
      </c>
      <c r="J9" s="61" t="s">
        <v>501</v>
      </c>
      <c r="K9" s="61" t="s">
        <v>159</v>
      </c>
      <c r="L9" s="56"/>
      <c r="M9" s="5">
        <v>0.1360178970917226</v>
      </c>
      <c r="N9" s="5" t="s">
        <v>165</v>
      </c>
      <c r="O9" s="55" t="s">
        <v>7</v>
      </c>
      <c r="P9" s="6">
        <v>6080</v>
      </c>
      <c r="Q9" s="6"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Z9">
        <v>0</v>
      </c>
      <c r="AA9">
        <v>0</v>
      </c>
      <c r="AB9">
        <v>2250</v>
      </c>
      <c r="AC9">
        <v>0</v>
      </c>
      <c r="AD9">
        <v>250</v>
      </c>
      <c r="AE9">
        <v>0</v>
      </c>
      <c r="AF9">
        <v>180</v>
      </c>
      <c r="AG9">
        <v>0</v>
      </c>
      <c r="AH9">
        <v>0</v>
      </c>
      <c r="AI9">
        <v>0</v>
      </c>
      <c r="AJ9">
        <v>0</v>
      </c>
      <c r="AK9">
        <v>1500</v>
      </c>
      <c r="AL9">
        <v>0</v>
      </c>
      <c r="AM9">
        <v>0</v>
      </c>
      <c r="AN9" s="55" t="s">
        <v>159</v>
      </c>
      <c r="AP9" s="10">
        <v>384414</v>
      </c>
      <c r="AQ9" s="10">
        <v>353764</v>
      </c>
      <c r="AR9" s="16">
        <v>0.92026825245698651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>
        <v>171227</v>
      </c>
      <c r="BG9" s="46">
        <v>190217</v>
      </c>
      <c r="BH9" s="46">
        <v>206282</v>
      </c>
      <c r="BI9" s="46">
        <v>224724</v>
      </c>
      <c r="BJ9" s="46">
        <v>272574</v>
      </c>
      <c r="BK9" s="46">
        <v>282794</v>
      </c>
      <c r="BL9" s="46">
        <v>300837</v>
      </c>
      <c r="BM9" s="46">
        <v>346480</v>
      </c>
      <c r="BN9" s="46">
        <v>353764</v>
      </c>
      <c r="BO9" s="10" t="s">
        <v>209</v>
      </c>
      <c r="BQ9" t="s">
        <v>3</v>
      </c>
      <c r="BR9" t="s">
        <v>2</v>
      </c>
      <c r="BS9" t="s">
        <v>3</v>
      </c>
      <c r="BT9" t="s">
        <v>3</v>
      </c>
      <c r="BU9" t="s">
        <v>3</v>
      </c>
    </row>
    <row r="10" spans="1:73" x14ac:dyDescent="0.25">
      <c r="A10" s="34" t="s">
        <v>2</v>
      </c>
      <c r="B10" s="34" t="s">
        <v>24</v>
      </c>
      <c r="C10" s="34">
        <v>44700</v>
      </c>
      <c r="D10" s="35">
        <v>1.1901118568232663</v>
      </c>
      <c r="E10" s="35" t="s">
        <v>2</v>
      </c>
      <c r="F10" s="34" t="s">
        <v>24</v>
      </c>
      <c r="G10" s="36">
        <v>53198</v>
      </c>
      <c r="H10" s="34">
        <v>43614775</v>
      </c>
      <c r="I10" s="61">
        <v>45334</v>
      </c>
      <c r="J10" s="61" t="s">
        <v>501</v>
      </c>
      <c r="K10" s="61" t="s">
        <v>159</v>
      </c>
      <c r="L10" s="56"/>
      <c r="M10" s="5">
        <v>0.8530201342281879</v>
      </c>
      <c r="N10" s="5" t="s">
        <v>163</v>
      </c>
      <c r="O10" s="55" t="s">
        <v>7</v>
      </c>
      <c r="P10" s="6">
        <v>38130</v>
      </c>
      <c r="Q10" s="6"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Z10">
        <v>0</v>
      </c>
      <c r="AA10">
        <v>0</v>
      </c>
      <c r="AB10">
        <v>3300</v>
      </c>
      <c r="AC10">
        <v>0</v>
      </c>
      <c r="AD10">
        <v>500</v>
      </c>
      <c r="AE10">
        <v>0</v>
      </c>
      <c r="AF10">
        <v>0</v>
      </c>
      <c r="AG10">
        <v>0</v>
      </c>
      <c r="AH10">
        <v>0</v>
      </c>
      <c r="AI10">
        <v>6300</v>
      </c>
      <c r="AJ10">
        <v>6000</v>
      </c>
      <c r="AK10">
        <v>2200</v>
      </c>
      <c r="AL10">
        <v>1625</v>
      </c>
      <c r="AM10">
        <v>1855</v>
      </c>
      <c r="AN10" s="55" t="s">
        <v>159</v>
      </c>
      <c r="AP10" s="11">
        <v>429088</v>
      </c>
      <c r="AQ10" s="11">
        <v>350806.17</v>
      </c>
      <c r="AR10" s="17">
        <v>0.81756229491386379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>
        <v>179194.17</v>
      </c>
      <c r="BG10" s="46">
        <v>187274.17</v>
      </c>
      <c r="BH10" s="46">
        <v>204274.17</v>
      </c>
      <c r="BI10" s="46">
        <v>210434.17</v>
      </c>
      <c r="BJ10" s="46">
        <v>245174.17</v>
      </c>
      <c r="BK10" s="46">
        <v>252770.17</v>
      </c>
      <c r="BL10" s="46">
        <v>262130.17</v>
      </c>
      <c r="BM10" s="46">
        <v>325795.17</v>
      </c>
      <c r="BN10" s="46">
        <v>350806.17</v>
      </c>
      <c r="BO10" s="11" t="s">
        <v>209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">
        <v>2</v>
      </c>
      <c r="B11" s="34" t="s">
        <v>22</v>
      </c>
      <c r="C11" s="34">
        <v>44700</v>
      </c>
      <c r="D11" s="35">
        <v>1.1412498881431767</v>
      </c>
      <c r="E11" s="35" t="s">
        <v>2</v>
      </c>
      <c r="F11" s="34" t="s">
        <v>22</v>
      </c>
      <c r="G11" s="36">
        <v>51013.87</v>
      </c>
      <c r="H11" s="34">
        <v>70551168</v>
      </c>
      <c r="I11" s="61">
        <v>45295</v>
      </c>
      <c r="J11" s="61" t="s">
        <v>501</v>
      </c>
      <c r="K11" s="61" t="s">
        <v>159</v>
      </c>
      <c r="L11" s="56"/>
      <c r="M11" s="5">
        <v>0.73328859060402685</v>
      </c>
      <c r="N11" s="5" t="s">
        <v>163</v>
      </c>
      <c r="O11" s="55" t="s">
        <v>7</v>
      </c>
      <c r="P11" s="6">
        <v>32778</v>
      </c>
      <c r="Q11" s="6"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Z11">
        <v>0</v>
      </c>
      <c r="AA11">
        <v>300</v>
      </c>
      <c r="AB11">
        <v>228</v>
      </c>
      <c r="AC11">
        <v>8900</v>
      </c>
      <c r="AD11">
        <v>0</v>
      </c>
      <c r="AE11">
        <v>350</v>
      </c>
      <c r="AF11">
        <v>0</v>
      </c>
      <c r="AG11">
        <v>0</v>
      </c>
      <c r="AH11">
        <v>0</v>
      </c>
      <c r="AI11">
        <v>0</v>
      </c>
      <c r="AJ11">
        <v>8200</v>
      </c>
      <c r="AK11">
        <v>0</v>
      </c>
      <c r="AL11">
        <v>4000</v>
      </c>
      <c r="AM11">
        <v>1000</v>
      </c>
      <c r="AN11" s="55" t="s">
        <v>159</v>
      </c>
      <c r="AP11" s="10">
        <v>446424</v>
      </c>
      <c r="AQ11" s="10">
        <v>384789.87</v>
      </c>
      <c r="AR11" s="16">
        <v>0.86193813504650285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>
        <v>182246.87</v>
      </c>
      <c r="BG11" s="46">
        <v>210467.87</v>
      </c>
      <c r="BH11" s="46">
        <v>224052.87</v>
      </c>
      <c r="BI11" s="46">
        <v>243573.87</v>
      </c>
      <c r="BJ11" s="46">
        <v>264925.87</v>
      </c>
      <c r="BK11" s="46">
        <v>279195.87</v>
      </c>
      <c r="BL11" s="46">
        <v>305264.87</v>
      </c>
      <c r="BM11" s="46">
        <v>356561.87</v>
      </c>
      <c r="BN11" s="46">
        <v>384789.87</v>
      </c>
      <c r="BO11" s="10" t="s">
        <v>159</v>
      </c>
      <c r="BQ11" t="s">
        <v>2</v>
      </c>
      <c r="BR11" t="s">
        <v>3</v>
      </c>
      <c r="BS11" t="s">
        <v>2</v>
      </c>
      <c r="BT11" t="s">
        <v>2</v>
      </c>
      <c r="BU11" t="s">
        <v>2</v>
      </c>
    </row>
    <row r="12" spans="1:73" x14ac:dyDescent="0.25">
      <c r="A12" s="34" t="s">
        <v>2</v>
      </c>
      <c r="B12" s="34" t="s">
        <v>10</v>
      </c>
      <c r="C12" s="34">
        <v>44700</v>
      </c>
      <c r="D12" s="35">
        <v>0.94208053691275173</v>
      </c>
      <c r="E12" s="35" t="s">
        <v>2</v>
      </c>
      <c r="F12" t="s">
        <v>10</v>
      </c>
      <c r="G12" s="3">
        <v>42111</v>
      </c>
      <c r="H12">
        <v>40980108</v>
      </c>
      <c r="I12" s="56">
        <v>44704</v>
      </c>
      <c r="J12" s="56" t="s">
        <v>501</v>
      </c>
      <c r="K12" s="61" t="s">
        <v>159</v>
      </c>
      <c r="L12" s="56"/>
      <c r="M12" s="5">
        <v>0.85123042505592839</v>
      </c>
      <c r="N12" s="5" t="s">
        <v>163</v>
      </c>
      <c r="O12" s="55" t="s">
        <v>7</v>
      </c>
      <c r="P12" s="6">
        <v>38050</v>
      </c>
      <c r="Q12" s="6"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Z12">
        <v>0</v>
      </c>
      <c r="AA12">
        <v>0</v>
      </c>
      <c r="AB12">
        <v>6000</v>
      </c>
      <c r="AC12">
        <v>0</v>
      </c>
      <c r="AD12">
        <v>0</v>
      </c>
      <c r="AE12">
        <v>0</v>
      </c>
      <c r="AF12">
        <v>0</v>
      </c>
      <c r="AG12">
        <v>1200</v>
      </c>
      <c r="AH12">
        <v>2155</v>
      </c>
      <c r="AI12">
        <v>0</v>
      </c>
      <c r="AJ12">
        <v>8500</v>
      </c>
      <c r="AK12">
        <v>335</v>
      </c>
      <c r="AL12">
        <v>14260</v>
      </c>
      <c r="AM12">
        <v>0</v>
      </c>
      <c r="AN12" s="55" t="s">
        <v>159</v>
      </c>
      <c r="AP12" s="11">
        <v>290167</v>
      </c>
      <c r="AQ12" s="11">
        <v>241451</v>
      </c>
      <c r="AR12" s="17">
        <v>0.83211047431306795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>
        <v>123152</v>
      </c>
      <c r="BG12" s="46">
        <v>140804</v>
      </c>
      <c r="BH12" s="46">
        <v>152994</v>
      </c>
      <c r="BI12" s="46">
        <v>163276</v>
      </c>
      <c r="BJ12" s="46">
        <v>181004</v>
      </c>
      <c r="BK12" s="46">
        <v>192904</v>
      </c>
      <c r="BL12" s="46">
        <v>221047</v>
      </c>
      <c r="BM12" s="46">
        <v>232082</v>
      </c>
      <c r="BN12" s="46">
        <v>241451</v>
      </c>
      <c r="BO12" s="11" t="s">
        <v>175</v>
      </c>
      <c r="BQ12" t="s">
        <v>604</v>
      </c>
      <c r="BR12" t="s">
        <v>124</v>
      </c>
      <c r="BS12" t="s">
        <v>7</v>
      </c>
      <c r="BT12" t="s">
        <v>7</v>
      </c>
      <c r="BU12" t="s">
        <v>604</v>
      </c>
    </row>
    <row r="13" spans="1:73" x14ac:dyDescent="0.25">
      <c r="A13" s="34" t="s">
        <v>2</v>
      </c>
      <c r="B13" s="34" t="s">
        <v>25</v>
      </c>
      <c r="C13" s="34">
        <v>44700</v>
      </c>
      <c r="D13" s="35">
        <v>0.88145413870246081</v>
      </c>
      <c r="E13" s="35" t="s">
        <v>2</v>
      </c>
      <c r="F13" t="s">
        <v>25</v>
      </c>
      <c r="G13" s="3">
        <v>39401</v>
      </c>
      <c r="H13">
        <v>72373931</v>
      </c>
      <c r="I13" s="56">
        <v>44818</v>
      </c>
      <c r="J13" s="56" t="s">
        <v>501</v>
      </c>
      <c r="K13" s="56" t="s">
        <v>159</v>
      </c>
      <c r="L13" s="56"/>
      <c r="M13" s="5">
        <v>0.48143176733780763</v>
      </c>
      <c r="N13" s="5" t="s">
        <v>164</v>
      </c>
      <c r="O13" s="55" t="s">
        <v>7</v>
      </c>
      <c r="P13" s="6">
        <v>21520</v>
      </c>
      <c r="Q13" s="6"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Z13">
        <v>0</v>
      </c>
      <c r="AA13">
        <v>0</v>
      </c>
      <c r="AB13">
        <v>0</v>
      </c>
      <c r="AC13">
        <v>3000</v>
      </c>
      <c r="AD13">
        <v>0</v>
      </c>
      <c r="AE13">
        <v>200</v>
      </c>
      <c r="AF13">
        <v>1280</v>
      </c>
      <c r="AG13">
        <v>0</v>
      </c>
      <c r="AH13">
        <v>0</v>
      </c>
      <c r="AI13">
        <v>0</v>
      </c>
      <c r="AJ13">
        <v>7500</v>
      </c>
      <c r="AK13">
        <v>0</v>
      </c>
      <c r="AL13">
        <v>6890</v>
      </c>
      <c r="AM13">
        <v>0</v>
      </c>
      <c r="AN13" s="55" t="s">
        <v>159</v>
      </c>
      <c r="AP13" s="10">
        <v>446424</v>
      </c>
      <c r="AQ13" s="10">
        <v>340539</v>
      </c>
      <c r="AR13" s="16">
        <v>0.76281517122735332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>
        <v>133837</v>
      </c>
      <c r="BG13" s="46">
        <v>144644</v>
      </c>
      <c r="BH13" s="46">
        <v>154998</v>
      </c>
      <c r="BI13" s="46">
        <v>162803</v>
      </c>
      <c r="BJ13" s="46">
        <v>191675</v>
      </c>
      <c r="BK13" s="46">
        <v>232375</v>
      </c>
      <c r="BL13" s="46">
        <v>253583</v>
      </c>
      <c r="BM13" s="46">
        <v>319792</v>
      </c>
      <c r="BN13" s="46">
        <v>340539</v>
      </c>
      <c r="BO13" s="10" t="s">
        <v>159</v>
      </c>
      <c r="BQ13" t="s">
        <v>7</v>
      </c>
      <c r="BR13" t="s">
        <v>125</v>
      </c>
      <c r="BS13" t="s">
        <v>125</v>
      </c>
      <c r="BT13" t="s">
        <v>125</v>
      </c>
      <c r="BU13" t="s">
        <v>7</v>
      </c>
    </row>
    <row r="14" spans="1:73" x14ac:dyDescent="0.25">
      <c r="A14" s="34" t="s">
        <v>2</v>
      </c>
      <c r="B14" s="34" t="s">
        <v>65</v>
      </c>
      <c r="C14" s="34">
        <v>44700</v>
      </c>
      <c r="D14" s="35">
        <v>0.85384787472035795</v>
      </c>
      <c r="E14" s="35" t="s">
        <v>2</v>
      </c>
      <c r="F14" t="s">
        <v>65</v>
      </c>
      <c r="G14" s="3">
        <v>38167</v>
      </c>
      <c r="H14">
        <v>47659267</v>
      </c>
      <c r="I14" s="56">
        <v>45019</v>
      </c>
      <c r="J14" s="56" t="s">
        <v>501</v>
      </c>
      <c r="K14" s="56" t="s">
        <v>159</v>
      </c>
      <c r="L14" s="56"/>
      <c r="M14" s="5">
        <v>1.0455480984340044</v>
      </c>
      <c r="N14" s="5" t="s">
        <v>162</v>
      </c>
      <c r="O14" s="55" t="s">
        <v>7</v>
      </c>
      <c r="P14" s="6">
        <v>46736</v>
      </c>
      <c r="Q14" s="6"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Z14">
        <v>0</v>
      </c>
      <c r="AA14">
        <v>0</v>
      </c>
      <c r="AB14">
        <v>130</v>
      </c>
      <c r="AC14">
        <v>0</v>
      </c>
      <c r="AD14">
        <v>2700</v>
      </c>
      <c r="AE14">
        <v>0</v>
      </c>
      <c r="AF14">
        <v>614</v>
      </c>
      <c r="AG14">
        <v>300</v>
      </c>
      <c r="AH14">
        <v>400</v>
      </c>
      <c r="AI14">
        <v>8000</v>
      </c>
      <c r="AJ14">
        <v>6500</v>
      </c>
      <c r="AK14">
        <v>4100</v>
      </c>
      <c r="AL14">
        <v>4000</v>
      </c>
      <c r="AM14">
        <v>850</v>
      </c>
      <c r="AN14" s="55" t="s">
        <v>159</v>
      </c>
    </row>
    <row r="15" spans="1:73" x14ac:dyDescent="0.25">
      <c r="A15" s="34" t="s">
        <v>2</v>
      </c>
      <c r="B15" s="34" t="s">
        <v>42</v>
      </c>
      <c r="C15" s="34">
        <v>44700</v>
      </c>
      <c r="D15" s="35">
        <v>0.78812080536912754</v>
      </c>
      <c r="E15" s="35" t="s">
        <v>2</v>
      </c>
      <c r="F15" t="s">
        <v>42</v>
      </c>
      <c r="G15" s="3">
        <v>35229</v>
      </c>
      <c r="H15">
        <v>73725129</v>
      </c>
      <c r="I15" s="56">
        <v>45398</v>
      </c>
      <c r="J15" s="56" t="s">
        <v>501</v>
      </c>
      <c r="K15" s="56" t="s">
        <v>159</v>
      </c>
      <c r="L15" s="56"/>
      <c r="M15" s="5">
        <v>1.5928299776286354</v>
      </c>
      <c r="N15" s="5" t="s">
        <v>162</v>
      </c>
      <c r="O15" s="55" t="s">
        <v>7</v>
      </c>
      <c r="P15" s="6">
        <v>71199.5</v>
      </c>
      <c r="Q15" s="6"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Z15">
        <v>1500</v>
      </c>
      <c r="AA15">
        <v>1200</v>
      </c>
      <c r="AB15">
        <v>2700</v>
      </c>
      <c r="AC15">
        <v>2000</v>
      </c>
      <c r="AD15">
        <v>5560</v>
      </c>
      <c r="AE15">
        <v>0</v>
      </c>
      <c r="AF15">
        <v>0</v>
      </c>
      <c r="AG15">
        <v>4288</v>
      </c>
      <c r="AH15">
        <v>800</v>
      </c>
      <c r="AI15">
        <v>5640</v>
      </c>
      <c r="AJ15">
        <v>4000</v>
      </c>
      <c r="AK15">
        <v>11700</v>
      </c>
      <c r="AL15">
        <v>1550</v>
      </c>
      <c r="AM15">
        <v>15711.5</v>
      </c>
      <c r="AN15" s="55" t="s">
        <v>159</v>
      </c>
      <c r="AY15" s="45"/>
      <c r="BA15" s="45"/>
      <c r="BB15" s="45"/>
      <c r="BD15" s="45"/>
    </row>
    <row r="16" spans="1:73" x14ac:dyDescent="0.25">
      <c r="A16" s="34" t="s">
        <v>2</v>
      </c>
      <c r="B16" s="34" t="s">
        <v>37</v>
      </c>
      <c r="C16" s="34">
        <v>44700</v>
      </c>
      <c r="D16" s="35">
        <v>0.70691275167785239</v>
      </c>
      <c r="E16" s="35" t="s">
        <v>2</v>
      </c>
      <c r="F16" t="s">
        <v>37</v>
      </c>
      <c r="G16" s="3">
        <v>31599</v>
      </c>
      <c r="H16">
        <v>70988976</v>
      </c>
      <c r="I16" s="56">
        <v>45112</v>
      </c>
      <c r="J16" s="56" t="s">
        <v>501</v>
      </c>
      <c r="K16" s="56" t="s">
        <v>159</v>
      </c>
      <c r="L16" s="56"/>
      <c r="M16" s="5">
        <v>0.76570469798657714</v>
      </c>
      <c r="N16" s="5" t="s">
        <v>163</v>
      </c>
      <c r="O16" s="55" t="s">
        <v>7</v>
      </c>
      <c r="P16" s="6">
        <v>34227</v>
      </c>
      <c r="Q16" s="6"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Z16">
        <v>0</v>
      </c>
      <c r="AA16">
        <v>0</v>
      </c>
      <c r="AB16">
        <v>2500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307</v>
      </c>
      <c r="AL16">
        <v>19400</v>
      </c>
      <c r="AM16">
        <v>0</v>
      </c>
      <c r="AN16" s="55" t="s">
        <v>159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">
        <v>2</v>
      </c>
      <c r="B17" s="34" t="s">
        <v>31</v>
      </c>
      <c r="C17" s="34">
        <v>44700</v>
      </c>
      <c r="D17" s="35">
        <v>0.59116331096196872</v>
      </c>
      <c r="E17" s="35" t="s">
        <v>2</v>
      </c>
      <c r="F17" t="s">
        <v>31</v>
      </c>
      <c r="G17" s="3">
        <v>26425</v>
      </c>
      <c r="H17">
        <v>75882265</v>
      </c>
      <c r="I17" s="56">
        <v>46141</v>
      </c>
      <c r="J17" s="56" t="s">
        <v>501</v>
      </c>
      <c r="K17" s="56" t="s">
        <v>159</v>
      </c>
      <c r="L17" s="56"/>
      <c r="M17" s="5">
        <v>0.7966219239373602</v>
      </c>
      <c r="N17" s="5" t="s">
        <v>163</v>
      </c>
      <c r="O17" s="55" t="s">
        <v>7</v>
      </c>
      <c r="P17" s="6">
        <v>35609</v>
      </c>
      <c r="Q17" s="6"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Z17">
        <v>0</v>
      </c>
      <c r="AA17">
        <v>0</v>
      </c>
      <c r="AB17">
        <v>500</v>
      </c>
      <c r="AC17">
        <v>0</v>
      </c>
      <c r="AD17">
        <v>300</v>
      </c>
      <c r="AE17">
        <v>0</v>
      </c>
      <c r="AF17">
        <v>8733</v>
      </c>
      <c r="AG17">
        <v>3816</v>
      </c>
      <c r="AH17">
        <v>0</v>
      </c>
      <c r="AI17">
        <v>1600</v>
      </c>
      <c r="AJ17">
        <v>0</v>
      </c>
      <c r="AK17">
        <v>636</v>
      </c>
      <c r="AL17">
        <v>8087</v>
      </c>
      <c r="AM17">
        <v>1200</v>
      </c>
      <c r="AN17" s="55" t="s">
        <v>159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">
        <v>6</v>
      </c>
      <c r="B18" s="34" t="s">
        <v>97</v>
      </c>
      <c r="C18" s="34">
        <v>61300</v>
      </c>
      <c r="D18" s="35">
        <v>1.1421071778140293</v>
      </c>
      <c r="E18" s="35" t="s">
        <v>6</v>
      </c>
      <c r="F18" t="s">
        <v>97</v>
      </c>
      <c r="G18" s="3">
        <v>70011.17</v>
      </c>
      <c r="H18">
        <v>74602206</v>
      </c>
      <c r="I18" s="56">
        <v>45884</v>
      </c>
      <c r="J18" s="56" t="s">
        <v>501</v>
      </c>
      <c r="K18" s="56" t="s">
        <v>209</v>
      </c>
      <c r="L18" s="56"/>
      <c r="M18" s="5">
        <v>0.36261744966442955</v>
      </c>
      <c r="N18" s="5" t="s">
        <v>165</v>
      </c>
      <c r="O18" s="55" t="s">
        <v>7</v>
      </c>
      <c r="P18" s="6">
        <v>16209</v>
      </c>
      <c r="Q18" s="6"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700</v>
      </c>
      <c r="AD18">
        <v>0</v>
      </c>
      <c r="AE18">
        <v>1500</v>
      </c>
      <c r="AF18">
        <v>0</v>
      </c>
      <c r="AG18">
        <v>0</v>
      </c>
      <c r="AH18">
        <v>0</v>
      </c>
      <c r="AI18">
        <v>7732</v>
      </c>
      <c r="AJ18">
        <v>0</v>
      </c>
      <c r="AK18">
        <v>430</v>
      </c>
      <c r="AL18">
        <v>1397</v>
      </c>
      <c r="AM18">
        <v>450</v>
      </c>
      <c r="AN18" s="55" t="s">
        <v>159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">
        <v>6</v>
      </c>
      <c r="B19" s="34" t="s">
        <v>34</v>
      </c>
      <c r="C19" s="34">
        <v>61300</v>
      </c>
      <c r="D19" s="35">
        <v>1.1226753670473084</v>
      </c>
      <c r="E19" s="35" t="s">
        <v>6</v>
      </c>
      <c r="F19" t="s">
        <v>34</v>
      </c>
      <c r="G19" s="3">
        <v>68820</v>
      </c>
      <c r="H19">
        <v>76824571</v>
      </c>
      <c r="I19" s="56">
        <v>45173</v>
      </c>
      <c r="J19" s="56" t="s">
        <v>501</v>
      </c>
      <c r="K19" s="56" t="s">
        <v>209</v>
      </c>
      <c r="L19" s="56"/>
      <c r="M19" s="5">
        <v>0.18261011419249593</v>
      </c>
      <c r="N19" s="5" t="s">
        <v>165</v>
      </c>
      <c r="O19" s="55" t="s">
        <v>6</v>
      </c>
      <c r="P19" s="6">
        <v>11194</v>
      </c>
      <c r="Q19" s="6"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A19">
        <v>0</v>
      </c>
      <c r="AB19">
        <v>1500</v>
      </c>
      <c r="AC19">
        <v>0</v>
      </c>
      <c r="AD19">
        <v>350</v>
      </c>
      <c r="AE19">
        <v>0</v>
      </c>
      <c r="AF19">
        <v>2930</v>
      </c>
      <c r="AG19">
        <v>0</v>
      </c>
      <c r="AH19">
        <v>0</v>
      </c>
      <c r="AI19">
        <v>1900</v>
      </c>
      <c r="AJ19">
        <v>0</v>
      </c>
      <c r="AK19">
        <v>1254</v>
      </c>
      <c r="AL19">
        <v>2500</v>
      </c>
      <c r="AM19">
        <v>0</v>
      </c>
      <c r="AN19" s="55" t="s">
        <v>209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">
        <v>6</v>
      </c>
      <c r="B20" s="34" t="s">
        <v>11</v>
      </c>
      <c r="C20" s="34">
        <v>61300</v>
      </c>
      <c r="D20" s="35">
        <v>1.1106362153344209</v>
      </c>
      <c r="E20" s="35" t="s">
        <v>6</v>
      </c>
      <c r="F20" t="s">
        <v>11</v>
      </c>
      <c r="G20" s="3">
        <v>68082</v>
      </c>
      <c r="H20">
        <v>45139159</v>
      </c>
      <c r="I20" s="56">
        <v>45369</v>
      </c>
      <c r="J20" s="56" t="s">
        <v>501</v>
      </c>
      <c r="K20" s="56" t="s">
        <v>209</v>
      </c>
      <c r="L20" s="56"/>
      <c r="M20" s="5">
        <v>0.85006525285481238</v>
      </c>
      <c r="N20" s="5" t="s">
        <v>163</v>
      </c>
      <c r="O20" s="55" t="s">
        <v>6</v>
      </c>
      <c r="P20" s="6">
        <v>52109</v>
      </c>
      <c r="Q20" s="6"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A20">
        <v>5850</v>
      </c>
      <c r="AB20">
        <v>2930</v>
      </c>
      <c r="AC20">
        <v>1500</v>
      </c>
      <c r="AD20">
        <v>3160</v>
      </c>
      <c r="AE20">
        <v>3178</v>
      </c>
      <c r="AF20">
        <v>500</v>
      </c>
      <c r="AG20">
        <v>5000</v>
      </c>
      <c r="AH20">
        <v>0</v>
      </c>
      <c r="AI20">
        <v>900</v>
      </c>
      <c r="AJ20">
        <v>500</v>
      </c>
      <c r="AK20">
        <v>1401</v>
      </c>
      <c r="AL20">
        <v>12960</v>
      </c>
      <c r="AM20">
        <v>8270</v>
      </c>
      <c r="AN20" s="55" t="s">
        <v>209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">
        <v>6</v>
      </c>
      <c r="B21" s="34" t="s">
        <v>35</v>
      </c>
      <c r="C21" s="34">
        <v>61300</v>
      </c>
      <c r="D21" s="35">
        <v>0.85006525285481238</v>
      </c>
      <c r="E21" s="35" t="s">
        <v>6</v>
      </c>
      <c r="F21" t="s">
        <v>35</v>
      </c>
      <c r="G21" s="3">
        <v>52109</v>
      </c>
      <c r="H21">
        <v>10491198</v>
      </c>
      <c r="I21" s="56">
        <v>44746</v>
      </c>
      <c r="J21" s="56" t="s">
        <v>501</v>
      </c>
      <c r="K21" s="56" t="s">
        <v>209</v>
      </c>
      <c r="L21" s="56"/>
      <c r="M21" s="5">
        <v>1.1421071778140293</v>
      </c>
      <c r="N21" s="5" t="s">
        <v>162</v>
      </c>
      <c r="O21" s="55" t="s">
        <v>6</v>
      </c>
      <c r="P21" s="6">
        <v>70011.17</v>
      </c>
      <c r="Q21" s="6"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A21">
        <v>5000</v>
      </c>
      <c r="AB21">
        <v>1235</v>
      </c>
      <c r="AC21">
        <v>6070</v>
      </c>
      <c r="AD21">
        <v>4220</v>
      </c>
      <c r="AE21">
        <v>3000</v>
      </c>
      <c r="AF21">
        <v>500</v>
      </c>
      <c r="AG21">
        <v>1760</v>
      </c>
      <c r="AH21">
        <v>3820</v>
      </c>
      <c r="AI21">
        <v>0</v>
      </c>
      <c r="AJ21">
        <v>400</v>
      </c>
      <c r="AK21">
        <v>2905</v>
      </c>
      <c r="AL21">
        <v>5155</v>
      </c>
      <c r="AM21">
        <v>13110</v>
      </c>
      <c r="AN21" s="55" t="s">
        <v>209</v>
      </c>
      <c r="AT21" s="45"/>
      <c r="BH21" s="45"/>
      <c r="BI21" s="47"/>
      <c r="BL21" s="45"/>
      <c r="BM21" s="45"/>
    </row>
    <row r="22" spans="1:66" x14ac:dyDescent="0.25">
      <c r="A22" s="34" t="s">
        <v>6</v>
      </c>
      <c r="B22" s="34" t="s">
        <v>105</v>
      </c>
      <c r="C22" s="34">
        <v>61300</v>
      </c>
      <c r="D22" s="35">
        <v>0.71125611745513861</v>
      </c>
      <c r="E22" s="35" t="s">
        <v>6</v>
      </c>
      <c r="F22" t="s">
        <v>105</v>
      </c>
      <c r="G22" s="3">
        <v>43600</v>
      </c>
      <c r="H22">
        <v>48344037</v>
      </c>
      <c r="I22" s="56">
        <v>46027</v>
      </c>
      <c r="J22" s="56" t="s">
        <v>501</v>
      </c>
      <c r="K22" s="56" t="s">
        <v>209</v>
      </c>
      <c r="L22" s="56"/>
      <c r="M22" s="5">
        <v>0.71125611745513861</v>
      </c>
      <c r="N22" s="5" t="s">
        <v>163</v>
      </c>
      <c r="O22" s="55" t="s">
        <v>6</v>
      </c>
      <c r="P22" s="6">
        <v>43600</v>
      </c>
      <c r="Q22" s="6"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A22">
        <v>0</v>
      </c>
      <c r="AB22">
        <v>20000</v>
      </c>
      <c r="AC22">
        <v>0</v>
      </c>
      <c r="AD22">
        <v>0</v>
      </c>
      <c r="AE22">
        <v>100</v>
      </c>
      <c r="AF22">
        <v>0</v>
      </c>
      <c r="AG22">
        <v>0</v>
      </c>
      <c r="AH22">
        <v>0</v>
      </c>
      <c r="AI22">
        <v>2000</v>
      </c>
      <c r="AJ22">
        <v>0</v>
      </c>
      <c r="AK22">
        <v>5000</v>
      </c>
      <c r="AL22">
        <v>3500</v>
      </c>
      <c r="AM22">
        <v>0</v>
      </c>
      <c r="AN22" s="55" t="s">
        <v>209</v>
      </c>
      <c r="AT22" s="47"/>
      <c r="BH22" s="47"/>
      <c r="BI22" s="45"/>
      <c r="BL22" s="45"/>
    </row>
    <row r="23" spans="1:66" x14ac:dyDescent="0.25">
      <c r="A23" s="34" t="s">
        <v>6</v>
      </c>
      <c r="B23" s="34" t="s">
        <v>19</v>
      </c>
      <c r="C23" s="34">
        <v>61300</v>
      </c>
      <c r="D23" s="35">
        <v>0.60342577487765092</v>
      </c>
      <c r="E23" s="35" t="s">
        <v>6</v>
      </c>
      <c r="F23" t="s">
        <v>19</v>
      </c>
      <c r="G23" s="3">
        <v>36990</v>
      </c>
      <c r="H23">
        <v>76656128</v>
      </c>
      <c r="I23" s="56">
        <v>44671</v>
      </c>
      <c r="J23" s="56" t="s">
        <v>501</v>
      </c>
      <c r="K23" s="56" t="s">
        <v>209</v>
      </c>
      <c r="L23" s="56"/>
      <c r="M23" s="5">
        <v>1.1106362153344209</v>
      </c>
      <c r="N23" s="5" t="s">
        <v>162</v>
      </c>
      <c r="O23" s="55" t="s">
        <v>6</v>
      </c>
      <c r="P23" s="6">
        <v>68082</v>
      </c>
      <c r="Q23" s="6"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A23">
        <v>3000</v>
      </c>
      <c r="AB23">
        <v>0</v>
      </c>
      <c r="AC23">
        <v>0</v>
      </c>
      <c r="AD23">
        <v>750</v>
      </c>
      <c r="AE23">
        <v>500</v>
      </c>
      <c r="AF23">
        <v>1000</v>
      </c>
      <c r="AG23">
        <v>7500</v>
      </c>
      <c r="AH23">
        <v>0</v>
      </c>
      <c r="AI23">
        <v>9840</v>
      </c>
      <c r="AJ23">
        <v>4111</v>
      </c>
      <c r="AK23">
        <v>1200</v>
      </c>
      <c r="AL23">
        <v>12700</v>
      </c>
      <c r="AM23">
        <v>3431</v>
      </c>
      <c r="AN23" s="55" t="s">
        <v>209</v>
      </c>
      <c r="BH23" s="45"/>
    </row>
    <row r="24" spans="1:66" x14ac:dyDescent="0.25">
      <c r="A24" s="34" t="s">
        <v>6</v>
      </c>
      <c r="B24" s="34" t="s">
        <v>76</v>
      </c>
      <c r="C24" s="34">
        <v>61300</v>
      </c>
      <c r="D24" s="35">
        <v>0.18261011419249593</v>
      </c>
      <c r="E24" s="35" t="s">
        <v>6</v>
      </c>
      <c r="F24" t="s">
        <v>76</v>
      </c>
      <c r="G24" s="3">
        <v>11194</v>
      </c>
      <c r="H24">
        <v>60914051</v>
      </c>
      <c r="I24" s="56">
        <v>44817</v>
      </c>
      <c r="J24" s="56" t="s">
        <v>501</v>
      </c>
      <c r="K24" s="56" t="s">
        <v>209</v>
      </c>
      <c r="L24" s="56"/>
      <c r="M24" s="5">
        <v>0.60342577487765092</v>
      </c>
      <c r="N24" s="5" t="s">
        <v>164</v>
      </c>
      <c r="O24" s="55" t="s">
        <v>6</v>
      </c>
      <c r="P24" s="6">
        <v>36990</v>
      </c>
      <c r="Q24" s="6"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A24">
        <v>0</v>
      </c>
      <c r="AB24">
        <v>0</v>
      </c>
      <c r="AC24">
        <v>0</v>
      </c>
      <c r="AD24">
        <v>1050</v>
      </c>
      <c r="AE24">
        <v>300</v>
      </c>
      <c r="AF24">
        <v>0</v>
      </c>
      <c r="AG24">
        <v>3000</v>
      </c>
      <c r="AH24">
        <v>480</v>
      </c>
      <c r="AI24">
        <v>7600</v>
      </c>
      <c r="AJ24">
        <v>2585</v>
      </c>
      <c r="AK24">
        <v>0</v>
      </c>
      <c r="AL24">
        <v>3250</v>
      </c>
      <c r="AM24">
        <v>0</v>
      </c>
      <c r="AN24" s="55" t="s">
        <v>209</v>
      </c>
      <c r="BL24" s="45"/>
    </row>
    <row r="25" spans="1:66" x14ac:dyDescent="0.25">
      <c r="A25" s="34" t="s">
        <v>3</v>
      </c>
      <c r="B25" s="34" t="s">
        <v>79</v>
      </c>
      <c r="C25" s="34">
        <v>38500</v>
      </c>
      <c r="D25" s="35">
        <v>1.484935064935065</v>
      </c>
      <c r="E25" s="35" t="s">
        <v>3</v>
      </c>
      <c r="F25" t="s">
        <v>79</v>
      </c>
      <c r="G25" s="3">
        <v>57170</v>
      </c>
      <c r="H25">
        <v>71262377</v>
      </c>
      <c r="I25" s="56">
        <v>45145</v>
      </c>
      <c r="J25" s="56" t="s">
        <v>501</v>
      </c>
      <c r="K25" s="56" t="s">
        <v>209</v>
      </c>
      <c r="L25" s="56"/>
      <c r="M25" s="5">
        <v>1.1226753670473084</v>
      </c>
      <c r="N25" s="5" t="s">
        <v>162</v>
      </c>
      <c r="O25" s="55" t="s">
        <v>6</v>
      </c>
      <c r="P25" s="6">
        <v>68820</v>
      </c>
      <c r="Q25" s="6"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A25">
        <v>0</v>
      </c>
      <c r="AB25">
        <v>3000</v>
      </c>
      <c r="AC25">
        <v>600</v>
      </c>
      <c r="AD25">
        <v>3000</v>
      </c>
      <c r="AE25">
        <v>0</v>
      </c>
      <c r="AF25">
        <v>3150</v>
      </c>
      <c r="AG25">
        <v>0</v>
      </c>
      <c r="AH25">
        <v>1600</v>
      </c>
      <c r="AI25">
        <v>12500</v>
      </c>
      <c r="AJ25">
        <v>0</v>
      </c>
      <c r="AK25">
        <v>0</v>
      </c>
      <c r="AL25">
        <v>21200</v>
      </c>
      <c r="AM25">
        <v>200</v>
      </c>
      <c r="AN25" s="55" t="s">
        <v>209</v>
      </c>
    </row>
    <row r="26" spans="1:66" x14ac:dyDescent="0.25">
      <c r="A26" s="34" t="s">
        <v>3</v>
      </c>
      <c r="B26" s="34" t="s">
        <v>29</v>
      </c>
      <c r="C26" s="34">
        <v>38500</v>
      </c>
      <c r="D26" s="35">
        <v>1.0765194805194804</v>
      </c>
      <c r="E26" s="35" t="s">
        <v>3</v>
      </c>
      <c r="F26" t="s">
        <v>29</v>
      </c>
      <c r="G26" s="3">
        <v>41446</v>
      </c>
      <c r="H26">
        <v>72758956</v>
      </c>
      <c r="I26" s="56">
        <v>44685</v>
      </c>
      <c r="J26" s="56" t="s">
        <v>501</v>
      </c>
      <c r="K26" s="56" t="s">
        <v>209</v>
      </c>
      <c r="L26" s="56"/>
      <c r="M26" s="5">
        <v>0.8433506493506493</v>
      </c>
      <c r="N26" s="5" t="s">
        <v>163</v>
      </c>
      <c r="O26" s="55" t="s">
        <v>3</v>
      </c>
      <c r="P26" s="6">
        <v>32469</v>
      </c>
      <c r="Q26" s="6">
        <v>38500</v>
      </c>
      <c r="R26" t="s">
        <v>58</v>
      </c>
      <c r="S26" s="45">
        <v>3100</v>
      </c>
      <c r="T26">
        <v>100</v>
      </c>
      <c r="U26">
        <v>0</v>
      </c>
      <c r="V26">
        <v>0</v>
      </c>
      <c r="W26">
        <v>290</v>
      </c>
      <c r="X26">
        <v>1250</v>
      </c>
      <c r="Y26">
        <v>0</v>
      </c>
      <c r="Z26">
        <v>0</v>
      </c>
      <c r="AA26">
        <v>500</v>
      </c>
      <c r="AB26">
        <v>500</v>
      </c>
      <c r="AC26">
        <v>200</v>
      </c>
      <c r="AD26">
        <v>150</v>
      </c>
      <c r="AE26">
        <v>3000</v>
      </c>
      <c r="AF26">
        <v>2300</v>
      </c>
      <c r="AG26">
        <v>0</v>
      </c>
      <c r="AH26">
        <v>3200</v>
      </c>
      <c r="AI26">
        <v>1350</v>
      </c>
      <c r="AJ26">
        <v>3650</v>
      </c>
      <c r="AK26">
        <v>9313</v>
      </c>
      <c r="AL26">
        <v>0</v>
      </c>
      <c r="AM26">
        <v>3566</v>
      </c>
      <c r="AN26" s="55" t="s">
        <v>209</v>
      </c>
    </row>
    <row r="27" spans="1:66" x14ac:dyDescent="0.25">
      <c r="A27" s="34" t="s">
        <v>3</v>
      </c>
      <c r="B27" s="34" t="s">
        <v>564</v>
      </c>
      <c r="C27" s="34">
        <v>38500</v>
      </c>
      <c r="D27" s="35">
        <v>1.0003116883116883</v>
      </c>
      <c r="E27" s="35" t="s">
        <v>3</v>
      </c>
      <c r="F27" t="s">
        <v>627</v>
      </c>
      <c r="G27" s="3">
        <v>38512</v>
      </c>
      <c r="H27">
        <v>43184866</v>
      </c>
      <c r="I27" s="56">
        <v>46083</v>
      </c>
      <c r="J27" s="56" t="s">
        <v>501</v>
      </c>
      <c r="K27" s="56" t="s">
        <v>209</v>
      </c>
      <c r="L27" s="56"/>
      <c r="M27" s="5">
        <v>0.8617402597402597</v>
      </c>
      <c r="N27" s="5" t="s">
        <v>163</v>
      </c>
      <c r="O27" s="55" t="s">
        <v>3</v>
      </c>
      <c r="P27" s="6">
        <v>33177</v>
      </c>
      <c r="Q27" s="6">
        <v>38500</v>
      </c>
      <c r="R27" t="s">
        <v>68</v>
      </c>
      <c r="S27">
        <v>2900</v>
      </c>
      <c r="T27">
        <v>0</v>
      </c>
      <c r="U27">
        <v>2000</v>
      </c>
      <c r="V27">
        <v>2800</v>
      </c>
      <c r="W27">
        <v>673</v>
      </c>
      <c r="X27">
        <v>0</v>
      </c>
      <c r="Y27">
        <v>341</v>
      </c>
      <c r="Z27">
        <v>485</v>
      </c>
      <c r="AA27">
        <v>500</v>
      </c>
      <c r="AB27">
        <v>500</v>
      </c>
      <c r="AC27">
        <v>500</v>
      </c>
      <c r="AD27">
        <v>0</v>
      </c>
      <c r="AE27">
        <v>4435</v>
      </c>
      <c r="AF27">
        <v>7513</v>
      </c>
      <c r="AG27">
        <v>1200</v>
      </c>
      <c r="AH27">
        <v>890</v>
      </c>
      <c r="AI27">
        <v>2200</v>
      </c>
      <c r="AJ27">
        <v>0</v>
      </c>
      <c r="AK27">
        <v>0</v>
      </c>
      <c r="AL27">
        <v>6193</v>
      </c>
      <c r="AM27">
        <v>0</v>
      </c>
      <c r="AN27" s="55" t="s">
        <v>209</v>
      </c>
    </row>
    <row r="28" spans="1:66" x14ac:dyDescent="0.25">
      <c r="A28" s="34" t="s">
        <v>3</v>
      </c>
      <c r="B28" s="34" t="s">
        <v>493</v>
      </c>
      <c r="C28" s="34">
        <v>38500</v>
      </c>
      <c r="D28" s="35">
        <v>0.91488311688311685</v>
      </c>
      <c r="E28" s="35" t="s">
        <v>3</v>
      </c>
      <c r="F28" t="s">
        <v>493</v>
      </c>
      <c r="G28" s="3">
        <v>35223</v>
      </c>
      <c r="H28">
        <v>75026229</v>
      </c>
      <c r="I28" s="56">
        <v>46052</v>
      </c>
      <c r="J28" s="56" t="s">
        <v>501</v>
      </c>
      <c r="K28" s="56" t="s">
        <v>209</v>
      </c>
      <c r="L28" s="56"/>
      <c r="M28" s="5">
        <v>0.91488311688311685</v>
      </c>
      <c r="N28" s="5" t="s">
        <v>163</v>
      </c>
      <c r="O28" s="55" t="s">
        <v>3</v>
      </c>
      <c r="P28" s="6">
        <v>35223</v>
      </c>
      <c r="Q28" s="6">
        <v>38500</v>
      </c>
      <c r="R28" t="s">
        <v>493</v>
      </c>
      <c r="S28">
        <v>750</v>
      </c>
      <c r="T28">
        <v>2000</v>
      </c>
      <c r="U28">
        <v>750</v>
      </c>
      <c r="V28">
        <v>0</v>
      </c>
      <c r="W28">
        <v>4200</v>
      </c>
      <c r="X28">
        <v>7000</v>
      </c>
      <c r="Y28">
        <v>450</v>
      </c>
      <c r="Z28">
        <v>0</v>
      </c>
      <c r="AA28">
        <v>500</v>
      </c>
      <c r="AB28">
        <v>500</v>
      </c>
      <c r="AC28">
        <v>0</v>
      </c>
      <c r="AD28">
        <v>250</v>
      </c>
      <c r="AE28">
        <v>500</v>
      </c>
      <c r="AF28">
        <v>4120</v>
      </c>
      <c r="AG28">
        <v>300</v>
      </c>
      <c r="AH28">
        <v>713</v>
      </c>
      <c r="AI28">
        <v>0</v>
      </c>
      <c r="AJ28">
        <v>2650</v>
      </c>
      <c r="AK28">
        <v>500</v>
      </c>
      <c r="AL28">
        <v>10000</v>
      </c>
      <c r="AM28">
        <v>0</v>
      </c>
      <c r="AN28" s="55" t="s">
        <v>209</v>
      </c>
    </row>
    <row r="29" spans="1:66" x14ac:dyDescent="0.25">
      <c r="A29" s="34" t="s">
        <v>3</v>
      </c>
      <c r="B29" s="34" t="s">
        <v>96</v>
      </c>
      <c r="C29" s="34">
        <v>38500</v>
      </c>
      <c r="D29" s="35">
        <v>0.8836623376623377</v>
      </c>
      <c r="E29" s="35" t="s">
        <v>3</v>
      </c>
      <c r="F29" t="s">
        <v>96</v>
      </c>
      <c r="G29" s="3">
        <v>34021</v>
      </c>
      <c r="H29">
        <v>46793103</v>
      </c>
      <c r="I29" s="56">
        <v>45882</v>
      </c>
      <c r="J29" s="56" t="s">
        <v>501</v>
      </c>
      <c r="K29" s="56" t="s">
        <v>209</v>
      </c>
      <c r="L29" s="56"/>
      <c r="M29" s="5">
        <v>1.0765194805194804</v>
      </c>
      <c r="N29" s="5" t="s">
        <v>162</v>
      </c>
      <c r="O29" s="55" t="s">
        <v>3</v>
      </c>
      <c r="P29" s="6">
        <v>41446</v>
      </c>
      <c r="Q29" s="6">
        <v>38500</v>
      </c>
      <c r="R29" t="s">
        <v>29</v>
      </c>
      <c r="S29" s="47">
        <v>383.4</v>
      </c>
      <c r="T29">
        <v>196</v>
      </c>
      <c r="U29" s="45">
        <v>1885</v>
      </c>
      <c r="V29">
        <v>1000</v>
      </c>
      <c r="W29">
        <v>275.39999999999998</v>
      </c>
      <c r="X29">
        <v>1521</v>
      </c>
      <c r="Y29">
        <v>600</v>
      </c>
      <c r="Z29">
        <v>150</v>
      </c>
      <c r="AA29">
        <v>500</v>
      </c>
      <c r="AB29">
        <v>500</v>
      </c>
      <c r="AC29">
        <v>5200</v>
      </c>
      <c r="AD29">
        <v>1360</v>
      </c>
      <c r="AE29">
        <v>584</v>
      </c>
      <c r="AF29">
        <v>5474.2</v>
      </c>
      <c r="AG29">
        <v>1075</v>
      </c>
      <c r="AH29">
        <v>2359</v>
      </c>
      <c r="AI29">
        <v>3500</v>
      </c>
      <c r="AJ29">
        <v>2700</v>
      </c>
      <c r="AK29">
        <v>5650</v>
      </c>
      <c r="AL29">
        <v>6533</v>
      </c>
      <c r="AM29">
        <v>0</v>
      </c>
      <c r="AN29" s="55" t="s">
        <v>209</v>
      </c>
    </row>
    <row r="30" spans="1:66" x14ac:dyDescent="0.25">
      <c r="A30" s="34" t="s">
        <v>3</v>
      </c>
      <c r="B30" s="34" t="s">
        <v>68</v>
      </c>
      <c r="C30" s="34">
        <v>38500</v>
      </c>
      <c r="D30" s="35">
        <v>0.8617402597402597</v>
      </c>
      <c r="E30" s="35" t="s">
        <v>3</v>
      </c>
      <c r="F30" t="s">
        <v>68</v>
      </c>
      <c r="G30" s="3">
        <v>33177</v>
      </c>
      <c r="H30">
        <v>73257316</v>
      </c>
      <c r="I30" s="56">
        <v>45363</v>
      </c>
      <c r="J30" s="56" t="s">
        <v>501</v>
      </c>
      <c r="K30" s="56" t="s">
        <v>209</v>
      </c>
      <c r="L30" s="56"/>
      <c r="M30" s="5">
        <v>0.59392207792207796</v>
      </c>
      <c r="N30" s="5" t="s">
        <v>164</v>
      </c>
      <c r="O30" s="55" t="s">
        <v>3</v>
      </c>
      <c r="P30" s="6">
        <v>22866</v>
      </c>
      <c r="Q30" s="6">
        <v>38500</v>
      </c>
      <c r="R30" t="s">
        <v>85</v>
      </c>
      <c r="S30" s="47">
        <v>250</v>
      </c>
      <c r="T30">
        <v>700</v>
      </c>
      <c r="U30">
        <v>9500</v>
      </c>
      <c r="V30">
        <v>0</v>
      </c>
      <c r="W30">
        <v>0</v>
      </c>
      <c r="X30">
        <v>270</v>
      </c>
      <c r="Y30">
        <v>1000</v>
      </c>
      <c r="Z30">
        <v>0</v>
      </c>
      <c r="AA30">
        <v>0</v>
      </c>
      <c r="AB30">
        <v>0</v>
      </c>
      <c r="AC30">
        <v>300</v>
      </c>
      <c r="AD30">
        <v>348</v>
      </c>
      <c r="AE30">
        <v>2735</v>
      </c>
      <c r="AF30">
        <v>0</v>
      </c>
      <c r="AG30">
        <v>2000</v>
      </c>
      <c r="AH30">
        <v>0</v>
      </c>
      <c r="AI30">
        <v>0</v>
      </c>
      <c r="AJ30">
        <v>0</v>
      </c>
      <c r="AK30">
        <v>0</v>
      </c>
      <c r="AL30">
        <v>5550</v>
      </c>
      <c r="AM30">
        <v>1143</v>
      </c>
      <c r="AN30" s="55" t="s">
        <v>209</v>
      </c>
    </row>
    <row r="31" spans="1:66" x14ac:dyDescent="0.25">
      <c r="A31" s="34" t="s">
        <v>3</v>
      </c>
      <c r="B31" s="34" t="s">
        <v>58</v>
      </c>
      <c r="C31" s="34">
        <v>38500</v>
      </c>
      <c r="D31" s="35">
        <v>0.8433506493506493</v>
      </c>
      <c r="E31" s="35" t="s">
        <v>3</v>
      </c>
      <c r="F31" t="s">
        <v>58</v>
      </c>
      <c r="G31" s="3">
        <v>32469</v>
      </c>
      <c r="H31">
        <v>72519113</v>
      </c>
      <c r="I31" s="56">
        <v>43119</v>
      </c>
      <c r="J31" s="56" t="s">
        <v>501</v>
      </c>
      <c r="K31" s="56" t="s">
        <v>209</v>
      </c>
      <c r="L31" s="56"/>
      <c r="M31" s="5">
        <v>1.484935064935065</v>
      </c>
      <c r="N31" s="54" t="s">
        <v>162</v>
      </c>
      <c r="O31" s="55" t="s">
        <v>3</v>
      </c>
      <c r="P31" s="6">
        <v>57170</v>
      </c>
      <c r="Q31" s="6">
        <v>38500</v>
      </c>
      <c r="R31" t="s">
        <v>79</v>
      </c>
      <c r="S31" s="47">
        <v>0</v>
      </c>
      <c r="T31">
        <v>15500</v>
      </c>
      <c r="U31">
        <v>1150</v>
      </c>
      <c r="V31">
        <v>0</v>
      </c>
      <c r="W31">
        <v>0</v>
      </c>
      <c r="X31">
        <v>0</v>
      </c>
      <c r="Y31">
        <v>1000</v>
      </c>
      <c r="Z31">
        <v>550</v>
      </c>
      <c r="AA31">
        <v>0</v>
      </c>
      <c r="AB31">
        <v>0</v>
      </c>
      <c r="AC31">
        <v>2600</v>
      </c>
      <c r="AD31">
        <v>2520</v>
      </c>
      <c r="AE31">
        <v>15000</v>
      </c>
      <c r="AF31">
        <v>0</v>
      </c>
      <c r="AG31">
        <v>7000</v>
      </c>
      <c r="AH31">
        <v>0</v>
      </c>
      <c r="AI31">
        <v>0</v>
      </c>
      <c r="AJ31">
        <v>520</v>
      </c>
      <c r="AK31">
        <v>2080</v>
      </c>
      <c r="AL31">
        <v>8950</v>
      </c>
      <c r="AM31">
        <v>0</v>
      </c>
      <c r="AN31" s="55" t="s">
        <v>209</v>
      </c>
    </row>
    <row r="32" spans="1:66" x14ac:dyDescent="0.25">
      <c r="A32" s="34" t="s">
        <v>3</v>
      </c>
      <c r="B32" s="34" t="s">
        <v>32</v>
      </c>
      <c r="C32" s="34">
        <v>38500</v>
      </c>
      <c r="D32" s="35">
        <v>0.78355844155844157</v>
      </c>
      <c r="E32" s="35" t="s">
        <v>3</v>
      </c>
      <c r="F32" t="s">
        <v>32</v>
      </c>
      <c r="G32" s="3">
        <v>30167</v>
      </c>
      <c r="H32">
        <v>48584670</v>
      </c>
      <c r="I32" s="56">
        <v>45526</v>
      </c>
      <c r="J32" s="56" t="s">
        <v>501</v>
      </c>
      <c r="K32" s="56" t="s">
        <v>209</v>
      </c>
      <c r="L32" s="56"/>
      <c r="M32" s="5">
        <v>0.8836623376623377</v>
      </c>
      <c r="N32" s="54" t="s">
        <v>163</v>
      </c>
      <c r="O32" s="55" t="s">
        <v>3</v>
      </c>
      <c r="P32" s="6">
        <v>34021</v>
      </c>
      <c r="Q32" s="6">
        <v>38500</v>
      </c>
      <c r="R32" t="s">
        <v>96</v>
      </c>
      <c r="S32" s="47">
        <v>0</v>
      </c>
      <c r="T32">
        <v>976</v>
      </c>
      <c r="U32">
        <v>2500</v>
      </c>
      <c r="V32">
        <v>0</v>
      </c>
      <c r="W32">
        <v>0</v>
      </c>
      <c r="X32">
        <v>1510</v>
      </c>
      <c r="Y32">
        <v>660</v>
      </c>
      <c r="Z32">
        <v>900</v>
      </c>
      <c r="AA32">
        <v>500</v>
      </c>
      <c r="AB32">
        <v>500</v>
      </c>
      <c r="AC32">
        <v>7650</v>
      </c>
      <c r="AD32">
        <v>300</v>
      </c>
      <c r="AE32">
        <v>500</v>
      </c>
      <c r="AF32">
        <v>2600</v>
      </c>
      <c r="AG32">
        <v>1200</v>
      </c>
      <c r="AH32">
        <v>1200</v>
      </c>
      <c r="AI32">
        <v>8000</v>
      </c>
      <c r="AJ32">
        <v>0</v>
      </c>
      <c r="AK32">
        <v>500</v>
      </c>
      <c r="AL32">
        <v>4300</v>
      </c>
      <c r="AM32">
        <v>525</v>
      </c>
      <c r="AN32" s="55" t="s">
        <v>209</v>
      </c>
    </row>
    <row r="33" spans="1:40" x14ac:dyDescent="0.25">
      <c r="A33" s="34" t="s">
        <v>3</v>
      </c>
      <c r="B33" s="34" t="s">
        <v>85</v>
      </c>
      <c r="C33" s="34">
        <v>38500</v>
      </c>
      <c r="D33" s="35">
        <v>0.59392207792207796</v>
      </c>
      <c r="E33" s="35" t="s">
        <v>3</v>
      </c>
      <c r="F33" t="s">
        <v>85</v>
      </c>
      <c r="G33" s="3">
        <v>22866</v>
      </c>
      <c r="H33">
        <v>70477743</v>
      </c>
      <c r="I33" s="56">
        <v>46055</v>
      </c>
      <c r="J33" s="56" t="s">
        <v>501</v>
      </c>
      <c r="K33" s="56" t="s">
        <v>209</v>
      </c>
      <c r="L33" s="56"/>
      <c r="M33" s="5">
        <v>0.78355844155844157</v>
      </c>
      <c r="N33" s="54" t="s">
        <v>163</v>
      </c>
      <c r="O33" s="55" t="s">
        <v>3</v>
      </c>
      <c r="P33" s="6">
        <v>30167</v>
      </c>
      <c r="Q33" s="6">
        <v>38500</v>
      </c>
      <c r="R33" t="s">
        <v>32</v>
      </c>
      <c r="S33" s="47">
        <v>0</v>
      </c>
      <c r="T33">
        <v>0</v>
      </c>
      <c r="U33">
        <v>3000</v>
      </c>
      <c r="V33">
        <v>0</v>
      </c>
      <c r="W33">
        <v>412</v>
      </c>
      <c r="X33">
        <v>5000</v>
      </c>
      <c r="Y33">
        <v>0</v>
      </c>
      <c r="Z33">
        <v>0</v>
      </c>
      <c r="AA33">
        <v>45</v>
      </c>
      <c r="AB33" s="6">
        <v>45</v>
      </c>
      <c r="AC33" s="6">
        <v>4000</v>
      </c>
      <c r="AD33" s="6">
        <v>0</v>
      </c>
      <c r="AE33" s="6">
        <v>1180</v>
      </c>
      <c r="AF33" s="6">
        <v>100</v>
      </c>
      <c r="AG33" s="6">
        <v>1450</v>
      </c>
      <c r="AH33" s="6">
        <v>10080</v>
      </c>
      <c r="AI33">
        <v>0</v>
      </c>
      <c r="AJ33">
        <v>300</v>
      </c>
      <c r="AK33">
        <v>0</v>
      </c>
      <c r="AL33">
        <v>2400</v>
      </c>
      <c r="AM33">
        <v>780</v>
      </c>
      <c r="AN33" s="55" t="s">
        <v>209</v>
      </c>
    </row>
    <row r="34" spans="1:40" x14ac:dyDescent="0.25">
      <c r="A34" s="34" t="s">
        <v>604</v>
      </c>
      <c r="B34" s="34" t="s">
        <v>55</v>
      </c>
      <c r="C34" s="34">
        <v>18100</v>
      </c>
      <c r="D34" s="35">
        <v>1.1293922651933701</v>
      </c>
      <c r="E34" s="35" t="s">
        <v>604</v>
      </c>
      <c r="F34" t="s">
        <v>55</v>
      </c>
      <c r="G34" s="3">
        <v>20442</v>
      </c>
      <c r="H34">
        <v>45119892</v>
      </c>
      <c r="I34" s="56">
        <v>45813</v>
      </c>
      <c r="J34" s="56" t="s">
        <v>501</v>
      </c>
      <c r="K34" s="56" t="s">
        <v>587</v>
      </c>
      <c r="L34" s="56"/>
      <c r="M34" s="5">
        <v>1.0003116883116883</v>
      </c>
      <c r="N34" s="54" t="s">
        <v>162</v>
      </c>
      <c r="O34" s="55" t="s">
        <v>3</v>
      </c>
      <c r="P34" s="6">
        <v>38512</v>
      </c>
      <c r="Q34" s="6">
        <v>38500</v>
      </c>
      <c r="R34" t="s">
        <v>564</v>
      </c>
      <c r="S34" s="47">
        <v>0</v>
      </c>
      <c r="T34">
        <v>500</v>
      </c>
      <c r="U34">
        <v>500</v>
      </c>
      <c r="V34">
        <v>1405</v>
      </c>
      <c r="W34">
        <v>0</v>
      </c>
      <c r="X34">
        <v>250</v>
      </c>
      <c r="Y34">
        <v>0</v>
      </c>
      <c r="Z34">
        <v>1800</v>
      </c>
      <c r="AA34">
        <v>500</v>
      </c>
      <c r="AB34" s="6">
        <v>500</v>
      </c>
      <c r="AC34" s="6">
        <v>0</v>
      </c>
      <c r="AD34" s="6">
        <v>4500</v>
      </c>
      <c r="AE34" s="6">
        <v>0</v>
      </c>
      <c r="AF34" s="6">
        <v>5562</v>
      </c>
      <c r="AG34" s="6">
        <v>1800</v>
      </c>
      <c r="AH34" s="6">
        <v>0</v>
      </c>
      <c r="AI34">
        <v>18300</v>
      </c>
      <c r="AJ34">
        <v>400</v>
      </c>
      <c r="AK34">
        <v>0</v>
      </c>
      <c r="AL34">
        <v>1720</v>
      </c>
      <c r="AM34">
        <v>1125</v>
      </c>
      <c r="AN34" s="55" t="s">
        <v>209</v>
      </c>
    </row>
    <row r="35" spans="1:40" x14ac:dyDescent="0.25">
      <c r="A35" s="34" t="s">
        <v>604</v>
      </c>
      <c r="B35" s="34" t="s">
        <v>41</v>
      </c>
      <c r="C35" s="34">
        <v>18100</v>
      </c>
      <c r="D35" s="35">
        <v>1.071878453038674</v>
      </c>
      <c r="E35" s="35" t="s">
        <v>604</v>
      </c>
      <c r="F35" t="s">
        <v>41</v>
      </c>
      <c r="G35" s="3">
        <v>19401</v>
      </c>
      <c r="H35">
        <v>46461021</v>
      </c>
      <c r="I35" s="56">
        <v>45302</v>
      </c>
      <c r="J35" s="56" t="s">
        <v>501</v>
      </c>
      <c r="K35" s="56" t="s">
        <v>587</v>
      </c>
      <c r="L35" s="56"/>
      <c r="M35" s="5">
        <v>0.78812080536912754</v>
      </c>
      <c r="N35" s="54" t="s">
        <v>163</v>
      </c>
      <c r="O35" s="55" t="s">
        <v>2</v>
      </c>
      <c r="P35" s="6">
        <v>35229</v>
      </c>
      <c r="Q35" s="6">
        <v>44700</v>
      </c>
      <c r="R35" t="s">
        <v>42</v>
      </c>
      <c r="S35" s="45">
        <v>400</v>
      </c>
      <c r="T35">
        <v>0</v>
      </c>
      <c r="U35">
        <v>1300</v>
      </c>
      <c r="V35">
        <v>0</v>
      </c>
      <c r="W35" s="5">
        <v>875</v>
      </c>
      <c r="X35" s="6">
        <v>0</v>
      </c>
      <c r="Y35" s="6">
        <v>0</v>
      </c>
      <c r="Z35" s="6">
        <v>1885</v>
      </c>
      <c r="AA35" s="6">
        <v>300</v>
      </c>
      <c r="AB35" s="6">
        <v>2000</v>
      </c>
      <c r="AC35" s="6">
        <v>0</v>
      </c>
      <c r="AD35" s="6">
        <v>0</v>
      </c>
      <c r="AE35" s="6">
        <v>0</v>
      </c>
      <c r="AF35" s="6">
        <v>0</v>
      </c>
      <c r="AG35" s="6">
        <v>5550</v>
      </c>
      <c r="AH35" s="6">
        <v>1560</v>
      </c>
      <c r="AI35" s="6">
        <v>0</v>
      </c>
      <c r="AJ35" s="6">
        <v>10850</v>
      </c>
      <c r="AK35" s="6">
        <v>400</v>
      </c>
      <c r="AL35" s="6">
        <v>10109</v>
      </c>
      <c r="AM35" s="6">
        <v>0</v>
      </c>
      <c r="AN35" s="55" t="s">
        <v>159</v>
      </c>
    </row>
    <row r="36" spans="1:40" x14ac:dyDescent="0.25">
      <c r="A36" s="34" t="s">
        <v>604</v>
      </c>
      <c r="B36" s="34" t="s">
        <v>549</v>
      </c>
      <c r="C36" s="34">
        <v>18100</v>
      </c>
      <c r="D36" s="35">
        <v>0.78088397790055253</v>
      </c>
      <c r="E36" s="35" t="s">
        <v>604</v>
      </c>
      <c r="F36" t="s">
        <v>549</v>
      </c>
      <c r="G36" s="3">
        <v>14134</v>
      </c>
      <c r="H36">
        <v>73233992</v>
      </c>
      <c r="I36" s="56">
        <v>46065</v>
      </c>
      <c r="J36" s="56" t="s">
        <v>501</v>
      </c>
      <c r="K36" s="56" t="s">
        <v>587</v>
      </c>
      <c r="L36" s="56"/>
      <c r="M36" s="5">
        <v>0.85384787472035795</v>
      </c>
      <c r="N36" s="54" t="s">
        <v>163</v>
      </c>
      <c r="O36" s="55" t="s">
        <v>2</v>
      </c>
      <c r="P36" s="6">
        <v>38167</v>
      </c>
      <c r="Q36" s="6">
        <v>44700</v>
      </c>
      <c r="R36" t="s">
        <v>65</v>
      </c>
      <c r="S36" s="45">
        <v>1565</v>
      </c>
      <c r="T36">
        <v>0</v>
      </c>
      <c r="U36">
        <v>2785</v>
      </c>
      <c r="V36">
        <v>0</v>
      </c>
      <c r="W36" s="5">
        <v>1685</v>
      </c>
      <c r="X36" s="6">
        <v>268</v>
      </c>
      <c r="Y36" s="6">
        <v>574</v>
      </c>
      <c r="Z36" s="6">
        <v>3550</v>
      </c>
      <c r="AA36" s="6">
        <v>0</v>
      </c>
      <c r="AB36" s="6">
        <v>6443</v>
      </c>
      <c r="AC36" s="6">
        <v>578</v>
      </c>
      <c r="AD36" s="6">
        <v>1440</v>
      </c>
      <c r="AE36" s="6">
        <v>1450</v>
      </c>
      <c r="AF36" s="6">
        <v>2439</v>
      </c>
      <c r="AG36" s="6">
        <v>805</v>
      </c>
      <c r="AH36" s="6">
        <v>500</v>
      </c>
      <c r="AI36" s="6">
        <v>4800</v>
      </c>
      <c r="AJ36" s="6">
        <v>290</v>
      </c>
      <c r="AK36" s="6">
        <v>3000</v>
      </c>
      <c r="AL36" s="6">
        <v>5274</v>
      </c>
      <c r="AM36" s="6">
        <v>721</v>
      </c>
      <c r="AN36" s="55" t="s">
        <v>159</v>
      </c>
    </row>
    <row r="37" spans="1:40" x14ac:dyDescent="0.25">
      <c r="A37" s="34" t="s">
        <v>604</v>
      </c>
      <c r="B37" s="34" t="s">
        <v>601</v>
      </c>
      <c r="C37" s="34">
        <v>18100</v>
      </c>
      <c r="D37" s="35">
        <v>0.16850828729281769</v>
      </c>
      <c r="E37" s="35" t="s">
        <v>604</v>
      </c>
      <c r="F37" t="s">
        <v>601</v>
      </c>
      <c r="G37" s="3">
        <v>3050</v>
      </c>
      <c r="H37">
        <v>77710185</v>
      </c>
      <c r="I37" s="56">
        <v>46141</v>
      </c>
      <c r="J37" s="56" t="s">
        <v>501</v>
      </c>
      <c r="K37" s="56" t="s">
        <v>587</v>
      </c>
      <c r="L37" s="56"/>
      <c r="M37" s="5">
        <v>0.94208053691275173</v>
      </c>
      <c r="N37" s="54" t="s">
        <v>163</v>
      </c>
      <c r="O37" s="55" t="s">
        <v>2</v>
      </c>
      <c r="P37" s="6">
        <v>42111</v>
      </c>
      <c r="Q37" s="6">
        <v>44700</v>
      </c>
      <c r="R37" t="s">
        <v>10</v>
      </c>
      <c r="S37" s="45">
        <v>0</v>
      </c>
      <c r="T37">
        <v>0</v>
      </c>
      <c r="U37">
        <v>16987</v>
      </c>
      <c r="V37">
        <v>0</v>
      </c>
      <c r="W37" s="5">
        <v>0</v>
      </c>
      <c r="X37" s="6">
        <v>0</v>
      </c>
      <c r="Y37" s="6">
        <v>0</v>
      </c>
      <c r="Z37" s="6">
        <v>0</v>
      </c>
      <c r="AA37" s="6">
        <v>10300</v>
      </c>
      <c r="AB37" s="6">
        <v>2500</v>
      </c>
      <c r="AC37" s="6">
        <v>1000</v>
      </c>
      <c r="AD37" s="6">
        <v>0</v>
      </c>
      <c r="AE37" s="6">
        <v>4200</v>
      </c>
      <c r="AF37" s="6">
        <v>812</v>
      </c>
      <c r="AG37" s="6">
        <v>0</v>
      </c>
      <c r="AH37" s="6">
        <v>0</v>
      </c>
      <c r="AI37" s="6">
        <v>0</v>
      </c>
      <c r="AJ37" s="6">
        <v>0</v>
      </c>
      <c r="AK37" s="6">
        <v>0</v>
      </c>
      <c r="AL37" s="6">
        <v>5667</v>
      </c>
      <c r="AM37" s="6">
        <v>0</v>
      </c>
      <c r="AN37" s="55" t="s">
        <v>159</v>
      </c>
    </row>
    <row r="38" spans="1:40" x14ac:dyDescent="0.25">
      <c r="A38" s="34" t="s">
        <v>604</v>
      </c>
      <c r="B38" s="34" t="s">
        <v>599</v>
      </c>
      <c r="C38" s="34">
        <v>18100</v>
      </c>
      <c r="D38" s="35">
        <v>0.15497237569060773</v>
      </c>
      <c r="E38" s="35" t="s">
        <v>604</v>
      </c>
      <c r="F38" t="s">
        <v>599</v>
      </c>
      <c r="G38" s="3">
        <v>2805</v>
      </c>
      <c r="H38">
        <v>42227234</v>
      </c>
      <c r="I38" s="56">
        <v>46121</v>
      </c>
      <c r="J38" s="56" t="s">
        <v>501</v>
      </c>
      <c r="K38" s="56" t="s">
        <v>587</v>
      </c>
      <c r="L38" s="56"/>
      <c r="M38" s="5">
        <v>0.70691275167785239</v>
      </c>
      <c r="N38" s="54" t="s">
        <v>163</v>
      </c>
      <c r="O38" s="55" t="s">
        <v>2</v>
      </c>
      <c r="P38" s="6">
        <v>31599</v>
      </c>
      <c r="Q38" s="6">
        <v>44700</v>
      </c>
      <c r="R38" t="s">
        <v>37</v>
      </c>
      <c r="S38" s="45">
        <v>0</v>
      </c>
      <c r="T38">
        <v>6000</v>
      </c>
      <c r="U38">
        <v>0</v>
      </c>
      <c r="V38">
        <v>950</v>
      </c>
      <c r="W38" s="5">
        <v>0</v>
      </c>
      <c r="X38" s="6">
        <v>0</v>
      </c>
      <c r="Y38" s="6">
        <v>150</v>
      </c>
      <c r="Z38" s="6">
        <v>350</v>
      </c>
      <c r="AA38" s="6">
        <v>1191</v>
      </c>
      <c r="AB38" s="6">
        <v>850</v>
      </c>
      <c r="AC38" s="6">
        <v>0</v>
      </c>
      <c r="AD38" s="6">
        <v>0</v>
      </c>
      <c r="AE38" s="6">
        <v>1925</v>
      </c>
      <c r="AF38" s="6">
        <v>0</v>
      </c>
      <c r="AG38" s="6">
        <v>0</v>
      </c>
      <c r="AH38" s="6">
        <v>0</v>
      </c>
      <c r="AI38" s="6">
        <v>2500</v>
      </c>
      <c r="AJ38" s="6">
        <v>330</v>
      </c>
      <c r="AK38" s="6">
        <v>13619</v>
      </c>
      <c r="AL38" s="6">
        <v>1100</v>
      </c>
      <c r="AM38" s="6">
        <v>2634</v>
      </c>
      <c r="AN38" s="55" t="s">
        <v>159</v>
      </c>
    </row>
    <row r="39" spans="1:40" x14ac:dyDescent="0.25">
      <c r="A39" s="34" t="s">
        <v>604</v>
      </c>
      <c r="B39" s="34" t="s">
        <v>566</v>
      </c>
      <c r="C39" s="34">
        <v>18100</v>
      </c>
      <c r="D39" s="35">
        <v>0.11906077348066299</v>
      </c>
      <c r="E39" s="35" t="s">
        <v>604</v>
      </c>
      <c r="F39" t="s">
        <v>566</v>
      </c>
      <c r="G39" s="3">
        <v>2155</v>
      </c>
      <c r="H39">
        <v>75693756</v>
      </c>
      <c r="I39" s="56">
        <v>46084</v>
      </c>
      <c r="J39" s="56" t="s">
        <v>501</v>
      </c>
      <c r="K39" s="56" t="s">
        <v>587</v>
      </c>
      <c r="L39" s="56"/>
      <c r="M39" s="5">
        <v>1.1901118568232663</v>
      </c>
      <c r="N39" s="54" t="s">
        <v>162</v>
      </c>
      <c r="O39" s="55" t="s">
        <v>2</v>
      </c>
      <c r="P39" s="6">
        <v>53198</v>
      </c>
      <c r="Q39" s="6">
        <v>44700</v>
      </c>
      <c r="R39" t="s">
        <v>24</v>
      </c>
      <c r="S39" s="45">
        <v>0</v>
      </c>
      <c r="T39">
        <v>700</v>
      </c>
      <c r="U39">
        <v>0</v>
      </c>
      <c r="V39">
        <v>6250</v>
      </c>
      <c r="W39" s="5">
        <v>0</v>
      </c>
      <c r="X39" s="6">
        <v>0</v>
      </c>
      <c r="Y39" s="6">
        <v>0</v>
      </c>
      <c r="Z39" s="6">
        <v>5290</v>
      </c>
      <c r="AA39" s="6">
        <v>2600</v>
      </c>
      <c r="AB39" s="6">
        <v>0</v>
      </c>
      <c r="AC39" s="6">
        <v>10100</v>
      </c>
      <c r="AD39" s="6">
        <v>4000</v>
      </c>
      <c r="AE39" s="6">
        <v>450</v>
      </c>
      <c r="AF39" s="6">
        <v>1085</v>
      </c>
      <c r="AG39" s="6">
        <v>780</v>
      </c>
      <c r="AH39" s="6">
        <v>5910</v>
      </c>
      <c r="AI39" s="6">
        <v>0</v>
      </c>
      <c r="AJ39" s="6">
        <v>1000</v>
      </c>
      <c r="AK39" s="6">
        <v>750</v>
      </c>
      <c r="AL39" s="6">
        <v>4000</v>
      </c>
      <c r="AM39" s="6">
        <v>10243</v>
      </c>
      <c r="AN39" s="55" t="s">
        <v>159</v>
      </c>
    </row>
    <row r="40" spans="1:40" x14ac:dyDescent="0.25">
      <c r="A40" s="34" t="s">
        <v>604</v>
      </c>
      <c r="B40" s="34" t="s">
        <v>77</v>
      </c>
      <c r="C40" s="34">
        <v>22800</v>
      </c>
      <c r="D40" s="35">
        <v>1.3173245614035087</v>
      </c>
      <c r="E40" s="35" t="s">
        <v>604</v>
      </c>
      <c r="F40" t="s">
        <v>626</v>
      </c>
      <c r="G40" s="3">
        <v>30035</v>
      </c>
      <c r="H40">
        <v>42251780</v>
      </c>
      <c r="I40" s="56">
        <v>44838</v>
      </c>
      <c r="J40" s="56" t="s">
        <v>501</v>
      </c>
      <c r="K40" s="56" t="s">
        <v>586</v>
      </c>
      <c r="L40" s="56"/>
      <c r="M40" s="5">
        <v>1.2533333333333334</v>
      </c>
      <c r="N40" s="54" t="s">
        <v>162</v>
      </c>
      <c r="O40" s="55" t="s">
        <v>2</v>
      </c>
      <c r="P40" s="6">
        <v>56024</v>
      </c>
      <c r="Q40" s="6">
        <v>44700</v>
      </c>
      <c r="R40" t="s">
        <v>13</v>
      </c>
      <c r="S40">
        <v>1600</v>
      </c>
      <c r="T40">
        <v>0</v>
      </c>
      <c r="U40">
        <v>0</v>
      </c>
      <c r="V40">
        <v>0</v>
      </c>
      <c r="W40" s="5">
        <v>0</v>
      </c>
      <c r="X40" s="6">
        <v>2001</v>
      </c>
      <c r="Y40" s="6">
        <v>10000</v>
      </c>
      <c r="Z40" s="6">
        <v>500</v>
      </c>
      <c r="AA40" s="6">
        <v>1500</v>
      </c>
      <c r="AB40" s="6">
        <v>700</v>
      </c>
      <c r="AC40" s="6">
        <v>0</v>
      </c>
      <c r="AD40" s="6">
        <v>0</v>
      </c>
      <c r="AE40" s="6">
        <v>1300</v>
      </c>
      <c r="AF40" s="6">
        <v>9000</v>
      </c>
      <c r="AG40" s="6">
        <v>3250</v>
      </c>
      <c r="AH40" s="6">
        <v>8550</v>
      </c>
      <c r="AI40" s="6">
        <v>1000</v>
      </c>
      <c r="AJ40" s="6">
        <v>0</v>
      </c>
      <c r="AK40" s="6">
        <v>8000</v>
      </c>
      <c r="AL40" s="6">
        <v>7500</v>
      </c>
      <c r="AM40" s="6">
        <v>1123</v>
      </c>
      <c r="AN40" s="55" t="s">
        <v>159</v>
      </c>
    </row>
    <row r="41" spans="1:40" x14ac:dyDescent="0.25">
      <c r="A41" s="34" t="s">
        <v>604</v>
      </c>
      <c r="B41" s="34" t="s">
        <v>48</v>
      </c>
      <c r="C41" s="34">
        <v>22800</v>
      </c>
      <c r="D41" s="35">
        <v>1.1355701754385965</v>
      </c>
      <c r="E41" s="35" t="s">
        <v>604</v>
      </c>
      <c r="F41" t="s">
        <v>48</v>
      </c>
      <c r="G41" s="3">
        <v>25891</v>
      </c>
      <c r="H41">
        <v>43307898</v>
      </c>
      <c r="I41" s="56">
        <v>44746</v>
      </c>
      <c r="J41" s="56" t="s">
        <v>501</v>
      </c>
      <c r="K41" s="56" t="s">
        <v>586</v>
      </c>
      <c r="L41" s="56"/>
      <c r="M41" s="5">
        <v>0.88145413870246081</v>
      </c>
      <c r="N41" s="54" t="s">
        <v>163</v>
      </c>
      <c r="O41" s="55" t="s">
        <v>2</v>
      </c>
      <c r="P41" s="6">
        <v>39401</v>
      </c>
      <c r="Q41" s="6">
        <v>44700</v>
      </c>
      <c r="R41" t="s">
        <v>25</v>
      </c>
      <c r="S41" s="45">
        <v>1100</v>
      </c>
      <c r="T41">
        <v>0</v>
      </c>
      <c r="U41">
        <v>3080</v>
      </c>
      <c r="V41">
        <v>500</v>
      </c>
      <c r="W41">
        <v>400</v>
      </c>
      <c r="X41" s="5">
        <v>2000</v>
      </c>
      <c r="Y41" s="77">
        <v>525</v>
      </c>
      <c r="Z41" s="6">
        <v>1500</v>
      </c>
      <c r="AA41" s="6">
        <v>0</v>
      </c>
      <c r="AB41" s="6">
        <v>0</v>
      </c>
      <c r="AC41" s="6">
        <v>0</v>
      </c>
      <c r="AD41" s="6">
        <v>390</v>
      </c>
      <c r="AE41" s="6">
        <v>500</v>
      </c>
      <c r="AF41" s="6">
        <v>11785</v>
      </c>
      <c r="AG41" s="6">
        <v>1400</v>
      </c>
      <c r="AH41" s="6">
        <v>0</v>
      </c>
      <c r="AI41" s="6">
        <v>10252</v>
      </c>
      <c r="AJ41" s="6">
        <v>0</v>
      </c>
      <c r="AK41" s="6">
        <v>300</v>
      </c>
      <c r="AL41" s="6">
        <v>4212</v>
      </c>
      <c r="AM41" s="6">
        <v>1457</v>
      </c>
      <c r="AN41" s="55" t="s">
        <v>159</v>
      </c>
    </row>
    <row r="42" spans="1:40" x14ac:dyDescent="0.25">
      <c r="A42" s="34" t="s">
        <v>604</v>
      </c>
      <c r="B42" s="34" t="s">
        <v>109</v>
      </c>
      <c r="C42" s="34">
        <v>22800</v>
      </c>
      <c r="D42" s="35">
        <v>1.0237719298245613</v>
      </c>
      <c r="E42" s="35" t="s">
        <v>604</v>
      </c>
      <c r="F42" t="s">
        <v>109</v>
      </c>
      <c r="G42" s="3">
        <v>23342</v>
      </c>
      <c r="H42">
        <v>74626735</v>
      </c>
      <c r="I42" s="56">
        <v>46024</v>
      </c>
      <c r="J42" s="56" t="s">
        <v>501</v>
      </c>
      <c r="K42" s="56" t="s">
        <v>586</v>
      </c>
      <c r="L42" s="56"/>
      <c r="M42" s="5">
        <v>1.1412498881431767</v>
      </c>
      <c r="N42" s="54" t="s">
        <v>162</v>
      </c>
      <c r="O42" s="55" t="s">
        <v>2</v>
      </c>
      <c r="P42" s="6">
        <v>51013.87</v>
      </c>
      <c r="Q42" s="6">
        <v>44700</v>
      </c>
      <c r="R42" t="s">
        <v>22</v>
      </c>
      <c r="S42" s="45">
        <v>2000</v>
      </c>
      <c r="T42">
        <v>0</v>
      </c>
      <c r="U42">
        <v>0</v>
      </c>
      <c r="V42">
        <v>0</v>
      </c>
      <c r="W42">
        <v>4713.87</v>
      </c>
      <c r="X42" s="5">
        <v>0</v>
      </c>
      <c r="Y42" s="6">
        <v>0</v>
      </c>
      <c r="Z42" s="6">
        <v>0</v>
      </c>
      <c r="AA42" s="6">
        <v>0</v>
      </c>
      <c r="AB42" s="6">
        <v>10300</v>
      </c>
      <c r="AC42" s="6">
        <v>500</v>
      </c>
      <c r="AD42" s="6">
        <v>400</v>
      </c>
      <c r="AE42" s="6">
        <v>0</v>
      </c>
      <c r="AF42" s="6">
        <v>3100</v>
      </c>
      <c r="AG42" s="6">
        <v>0</v>
      </c>
      <c r="AH42" s="6">
        <v>3000</v>
      </c>
      <c r="AI42" s="6">
        <v>2800</v>
      </c>
      <c r="AJ42" s="6">
        <v>1800</v>
      </c>
      <c r="AK42" s="6">
        <v>0</v>
      </c>
      <c r="AL42" s="6">
        <v>10600</v>
      </c>
      <c r="AM42" s="6">
        <v>11800</v>
      </c>
      <c r="AN42" s="55" t="s">
        <v>159</v>
      </c>
    </row>
    <row r="43" spans="1:40" x14ac:dyDescent="0.25">
      <c r="A43" s="34" t="s">
        <v>604</v>
      </c>
      <c r="B43" s="34" t="s">
        <v>495</v>
      </c>
      <c r="C43" s="34">
        <v>22800</v>
      </c>
      <c r="D43" s="35">
        <v>0.98333333333333328</v>
      </c>
      <c r="E43" s="35" t="s">
        <v>604</v>
      </c>
      <c r="F43" t="s">
        <v>495</v>
      </c>
      <c r="G43" s="3">
        <v>22420</v>
      </c>
      <c r="H43">
        <v>62792399</v>
      </c>
      <c r="I43" s="56">
        <v>46052</v>
      </c>
      <c r="J43" s="56" t="s">
        <v>501</v>
      </c>
      <c r="K43" s="56" t="s">
        <v>586</v>
      </c>
      <c r="L43" s="56"/>
      <c r="M43" s="5">
        <v>0.59116331096196872</v>
      </c>
      <c r="N43" s="54" t="s">
        <v>164</v>
      </c>
      <c r="O43" s="55" t="s">
        <v>2</v>
      </c>
      <c r="P43" s="6">
        <v>26425</v>
      </c>
      <c r="Q43" s="6">
        <v>44700</v>
      </c>
      <c r="R43" t="s">
        <v>31</v>
      </c>
      <c r="S43" s="45">
        <v>0</v>
      </c>
      <c r="T43">
        <v>2000</v>
      </c>
      <c r="U43">
        <v>11264</v>
      </c>
      <c r="V43">
        <v>0</v>
      </c>
      <c r="W43">
        <v>0</v>
      </c>
      <c r="X43" s="5">
        <v>0</v>
      </c>
      <c r="Y43" s="6">
        <v>0</v>
      </c>
      <c r="Z43" s="6">
        <v>2000</v>
      </c>
      <c r="AA43" s="6">
        <v>0</v>
      </c>
      <c r="AB43" s="6">
        <v>225</v>
      </c>
      <c r="AC43" s="6">
        <v>0</v>
      </c>
      <c r="AD43" s="6">
        <v>6736</v>
      </c>
      <c r="AE43" s="6">
        <v>0</v>
      </c>
      <c r="AF43" s="6">
        <v>0</v>
      </c>
      <c r="AG43" s="6">
        <v>1800</v>
      </c>
      <c r="AH43" s="6">
        <v>0</v>
      </c>
      <c r="AI43" s="6">
        <v>0</v>
      </c>
      <c r="AJ43" s="6">
        <v>0</v>
      </c>
      <c r="AK43" s="6">
        <v>0</v>
      </c>
      <c r="AL43" s="6">
        <v>2400</v>
      </c>
      <c r="AM43" s="6">
        <v>0</v>
      </c>
      <c r="AN43" s="55" t="s">
        <v>159</v>
      </c>
    </row>
    <row r="44" spans="1:40" x14ac:dyDescent="0.25">
      <c r="A44" s="34" t="s">
        <v>604</v>
      </c>
      <c r="B44" s="34" t="s">
        <v>600</v>
      </c>
      <c r="C44" s="34">
        <v>22800</v>
      </c>
      <c r="D44" s="35">
        <v>0.87850877192982457</v>
      </c>
      <c r="E44" s="35" t="s">
        <v>604</v>
      </c>
      <c r="F44" t="s">
        <v>600</v>
      </c>
      <c r="G44" s="3">
        <v>20030</v>
      </c>
      <c r="H44">
        <v>73623874</v>
      </c>
      <c r="I44" s="56">
        <v>46139</v>
      </c>
      <c r="J44" s="56" t="s">
        <v>501</v>
      </c>
      <c r="K44" s="56" t="s">
        <v>586</v>
      </c>
      <c r="L44" s="56"/>
      <c r="M44" s="5">
        <v>0.98333333333333328</v>
      </c>
      <c r="N44" s="54" t="s">
        <v>163</v>
      </c>
      <c r="O44" s="55" t="s">
        <v>604</v>
      </c>
      <c r="P44" s="6">
        <v>22420</v>
      </c>
      <c r="Q44" s="6">
        <v>22800</v>
      </c>
      <c r="R44" t="s">
        <v>495</v>
      </c>
      <c r="S44" s="45">
        <v>600</v>
      </c>
      <c r="T44">
        <v>2000</v>
      </c>
      <c r="U44">
        <v>0</v>
      </c>
      <c r="V44">
        <v>1200</v>
      </c>
      <c r="W44">
        <v>1500</v>
      </c>
      <c r="X44" s="5">
        <v>400</v>
      </c>
      <c r="Y44" s="6">
        <v>0</v>
      </c>
      <c r="Z44" s="6">
        <v>2000</v>
      </c>
      <c r="AA44" s="6">
        <v>250</v>
      </c>
      <c r="AB44" s="6">
        <v>410</v>
      </c>
      <c r="AC44" s="6">
        <v>1600</v>
      </c>
      <c r="AD44" s="6">
        <v>0</v>
      </c>
      <c r="AE44" s="6">
        <v>2000</v>
      </c>
      <c r="AF44" s="6">
        <v>0</v>
      </c>
      <c r="AG44" s="6">
        <v>5500</v>
      </c>
      <c r="AH44" s="6">
        <v>250</v>
      </c>
      <c r="AI44" s="6">
        <v>1650</v>
      </c>
      <c r="AJ44" s="6">
        <v>0</v>
      </c>
      <c r="AK44" s="6">
        <v>1200</v>
      </c>
      <c r="AL44" s="6">
        <v>1010</v>
      </c>
      <c r="AM44" s="6">
        <v>850</v>
      </c>
      <c r="AN44" s="55" t="s">
        <v>586</v>
      </c>
    </row>
    <row r="45" spans="1:40" x14ac:dyDescent="0.25">
      <c r="A45" s="34" t="s">
        <v>604</v>
      </c>
      <c r="B45" s="34" t="s">
        <v>49</v>
      </c>
      <c r="C45" s="34">
        <v>22800</v>
      </c>
      <c r="D45" s="35">
        <v>0.76166666666666671</v>
      </c>
      <c r="E45" s="35" t="s">
        <v>604</v>
      </c>
      <c r="F45" t="s">
        <v>49</v>
      </c>
      <c r="G45" s="3">
        <v>17366</v>
      </c>
      <c r="H45">
        <v>40702064</v>
      </c>
      <c r="I45" s="56">
        <v>43313</v>
      </c>
      <c r="J45" s="56" t="s">
        <v>501</v>
      </c>
      <c r="K45" s="56" t="s">
        <v>586</v>
      </c>
      <c r="L45" s="56"/>
      <c r="M45" s="5">
        <v>1.0237719298245613</v>
      </c>
      <c r="N45" s="54" t="s">
        <v>162</v>
      </c>
      <c r="O45" s="55" t="s">
        <v>604</v>
      </c>
      <c r="P45" s="6">
        <v>23342</v>
      </c>
      <c r="Q45" s="6">
        <v>22800</v>
      </c>
      <c r="R45" t="s">
        <v>109</v>
      </c>
      <c r="S45" s="45">
        <v>0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405</v>
      </c>
      <c r="AB45" s="6">
        <v>3900</v>
      </c>
      <c r="AC45" s="6">
        <v>0</v>
      </c>
      <c r="AD45" s="6">
        <v>273</v>
      </c>
      <c r="AE45" s="6">
        <v>0</v>
      </c>
      <c r="AF45" s="6">
        <v>802</v>
      </c>
      <c r="AG45" s="6">
        <v>0</v>
      </c>
      <c r="AH45" s="6">
        <v>802</v>
      </c>
      <c r="AI45" s="6">
        <v>7800</v>
      </c>
      <c r="AJ45" s="6">
        <v>3500</v>
      </c>
      <c r="AK45" s="6">
        <v>4100</v>
      </c>
      <c r="AL45" s="6">
        <v>1500</v>
      </c>
      <c r="AM45" s="6">
        <v>260</v>
      </c>
      <c r="AN45" s="55" t="s">
        <v>586</v>
      </c>
    </row>
    <row r="46" spans="1:40" x14ac:dyDescent="0.25">
      <c r="A46" s="34" t="s">
        <v>604</v>
      </c>
      <c r="B46" s="34" t="s">
        <v>78</v>
      </c>
      <c r="C46" s="34">
        <v>22800</v>
      </c>
      <c r="D46" s="35">
        <v>0.743859649122807</v>
      </c>
      <c r="E46" s="35" t="s">
        <v>604</v>
      </c>
      <c r="F46" t="s">
        <v>78</v>
      </c>
      <c r="G46" s="3">
        <v>16960</v>
      </c>
      <c r="H46">
        <v>10706451</v>
      </c>
      <c r="I46" s="56">
        <v>44943</v>
      </c>
      <c r="J46" s="56" t="s">
        <v>501</v>
      </c>
      <c r="K46" s="56" t="s">
        <v>586</v>
      </c>
      <c r="L46" s="56"/>
      <c r="M46" s="5">
        <v>0.76166666666666671</v>
      </c>
      <c r="N46" s="54" t="s">
        <v>163</v>
      </c>
      <c r="O46" s="55" t="s">
        <v>604</v>
      </c>
      <c r="P46" s="6">
        <v>17366</v>
      </c>
      <c r="Q46" s="6">
        <v>22800</v>
      </c>
      <c r="R46" t="s">
        <v>49</v>
      </c>
      <c r="S46">
        <v>5800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1344</v>
      </c>
      <c r="AC46" s="6">
        <v>3706</v>
      </c>
      <c r="AD46" s="6">
        <v>0</v>
      </c>
      <c r="AE46" s="6">
        <v>0</v>
      </c>
      <c r="AF46" s="6">
        <v>400</v>
      </c>
      <c r="AG46" s="6">
        <v>0</v>
      </c>
      <c r="AH46" s="6">
        <v>0</v>
      </c>
      <c r="AI46" s="6">
        <v>308</v>
      </c>
      <c r="AJ46" s="6">
        <v>2000</v>
      </c>
      <c r="AK46" s="6">
        <v>2500</v>
      </c>
      <c r="AL46" s="6">
        <v>1000</v>
      </c>
      <c r="AM46" s="6">
        <v>308</v>
      </c>
      <c r="AN46" s="55" t="s">
        <v>586</v>
      </c>
    </row>
    <row r="47" spans="1:40" x14ac:dyDescent="0.25">
      <c r="A47" s="34" t="s">
        <v>7</v>
      </c>
      <c r="B47" s="34" t="s">
        <v>59</v>
      </c>
      <c r="C47" s="34">
        <v>44700</v>
      </c>
      <c r="D47" s="35">
        <v>1.5928299776286354</v>
      </c>
      <c r="E47" s="35" t="s">
        <v>7</v>
      </c>
      <c r="F47" t="s">
        <v>628</v>
      </c>
      <c r="G47" s="3">
        <v>71199.5</v>
      </c>
      <c r="H47">
        <v>60870839</v>
      </c>
      <c r="I47" s="56">
        <v>45344</v>
      </c>
      <c r="J47" s="56" t="s">
        <v>501</v>
      </c>
      <c r="K47" s="56" t="s">
        <v>159</v>
      </c>
      <c r="L47" s="56"/>
      <c r="M47" s="5">
        <v>1.3173245614035087</v>
      </c>
      <c r="N47" s="54" t="s">
        <v>162</v>
      </c>
      <c r="O47" s="55" t="s">
        <v>604</v>
      </c>
      <c r="P47" s="6">
        <v>30035</v>
      </c>
      <c r="Q47" s="6">
        <v>22800</v>
      </c>
      <c r="R47" t="s">
        <v>77</v>
      </c>
      <c r="S47">
        <v>4924</v>
      </c>
      <c r="T47">
        <v>865</v>
      </c>
      <c r="U47">
        <v>3500</v>
      </c>
      <c r="V47">
        <v>0</v>
      </c>
      <c r="W47">
        <v>220</v>
      </c>
      <c r="X47" s="5">
        <v>0</v>
      </c>
      <c r="Y47" s="6">
        <v>0</v>
      </c>
      <c r="Z47" s="6">
        <v>160</v>
      </c>
      <c r="AA47" s="6">
        <v>0</v>
      </c>
      <c r="AB47" s="6">
        <v>2100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420</v>
      </c>
      <c r="AI47" s="6">
        <v>0</v>
      </c>
      <c r="AJ47" s="6">
        <v>0</v>
      </c>
      <c r="AK47" s="6">
        <v>12016</v>
      </c>
      <c r="AL47" s="6">
        <v>2000</v>
      </c>
      <c r="AM47" s="6">
        <v>3830</v>
      </c>
      <c r="AN47" s="55" t="s">
        <v>586</v>
      </c>
    </row>
    <row r="48" spans="1:40" x14ac:dyDescent="0.25">
      <c r="A48" s="34" t="s">
        <v>7</v>
      </c>
      <c r="B48" s="34" t="s">
        <v>61</v>
      </c>
      <c r="C48" s="34">
        <v>44700</v>
      </c>
      <c r="D48" s="35">
        <v>1.0455480984340044</v>
      </c>
      <c r="E48" s="35" t="s">
        <v>7</v>
      </c>
      <c r="F48" t="s">
        <v>61</v>
      </c>
      <c r="G48" s="3">
        <v>46736</v>
      </c>
      <c r="H48">
        <v>44001162</v>
      </c>
      <c r="I48" s="56">
        <v>44907</v>
      </c>
      <c r="J48" s="56" t="s">
        <v>501</v>
      </c>
      <c r="K48" s="56" t="s">
        <v>159</v>
      </c>
      <c r="L48" s="56"/>
      <c r="M48" s="5">
        <v>0.87850877192982457</v>
      </c>
      <c r="N48" s="54" t="s">
        <v>163</v>
      </c>
      <c r="O48" s="55" t="s">
        <v>604</v>
      </c>
      <c r="P48" s="6">
        <v>20030</v>
      </c>
      <c r="Q48" s="6">
        <v>22800</v>
      </c>
      <c r="R48" t="s">
        <v>600</v>
      </c>
      <c r="S48" s="3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1000</v>
      </c>
      <c r="AA48" s="6">
        <v>2700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530</v>
      </c>
      <c r="AJ48" s="6">
        <v>0</v>
      </c>
      <c r="AK48" s="6">
        <v>2800</v>
      </c>
      <c r="AL48" s="6">
        <v>0</v>
      </c>
      <c r="AM48" s="6">
        <v>0</v>
      </c>
      <c r="AN48" s="55" t="s">
        <v>586</v>
      </c>
    </row>
    <row r="49" spans="1:40" x14ac:dyDescent="0.25">
      <c r="A49" s="34" t="s">
        <v>7</v>
      </c>
      <c r="B49" s="34" t="s">
        <v>18</v>
      </c>
      <c r="C49" s="34">
        <v>44700</v>
      </c>
      <c r="D49" s="35">
        <v>0.8530201342281879</v>
      </c>
      <c r="E49" s="35" t="s">
        <v>7</v>
      </c>
      <c r="F49" t="s">
        <v>18</v>
      </c>
      <c r="G49" s="3">
        <v>38130</v>
      </c>
      <c r="H49">
        <v>76214436</v>
      </c>
      <c r="I49" s="56">
        <v>45132</v>
      </c>
      <c r="J49" s="56" t="s">
        <v>501</v>
      </c>
      <c r="K49" s="56" t="s">
        <v>159</v>
      </c>
      <c r="L49" s="56"/>
      <c r="M49" s="5">
        <v>1.1355701754385965</v>
      </c>
      <c r="N49" s="54" t="s">
        <v>162</v>
      </c>
      <c r="O49" s="55" t="s">
        <v>604</v>
      </c>
      <c r="P49" s="6">
        <v>25891</v>
      </c>
      <c r="Q49" s="6">
        <v>22800</v>
      </c>
      <c r="R49" t="s">
        <v>48</v>
      </c>
      <c r="S49" s="3">
        <v>0</v>
      </c>
      <c r="T49">
        <v>0</v>
      </c>
      <c r="U49">
        <v>0</v>
      </c>
      <c r="V49">
        <v>550</v>
      </c>
      <c r="W49">
        <v>10000</v>
      </c>
      <c r="X49" s="5">
        <v>0</v>
      </c>
      <c r="Y49" s="6">
        <v>770</v>
      </c>
      <c r="Z49" s="6">
        <v>0</v>
      </c>
      <c r="AA49" s="6">
        <v>0</v>
      </c>
      <c r="AB49" s="6">
        <v>1900</v>
      </c>
      <c r="AC49" s="6">
        <v>0</v>
      </c>
      <c r="AD49" s="6">
        <v>0</v>
      </c>
      <c r="AE49" s="6">
        <v>1300</v>
      </c>
      <c r="AF49" s="6">
        <v>600</v>
      </c>
      <c r="AG49" s="6">
        <v>2500</v>
      </c>
      <c r="AH49" s="6">
        <v>6880</v>
      </c>
      <c r="AI49" s="6">
        <v>0</v>
      </c>
      <c r="AJ49" s="6">
        <v>0</v>
      </c>
      <c r="AK49" s="6">
        <v>0</v>
      </c>
      <c r="AL49" s="6">
        <v>1100</v>
      </c>
      <c r="AM49" s="6">
        <v>291</v>
      </c>
      <c r="AN49" s="55" t="s">
        <v>586</v>
      </c>
    </row>
    <row r="50" spans="1:40" x14ac:dyDescent="0.25">
      <c r="A50" s="34" t="s">
        <v>7</v>
      </c>
      <c r="B50" s="34" t="s">
        <v>80</v>
      </c>
      <c r="C50" s="34">
        <v>44700</v>
      </c>
      <c r="D50" s="35">
        <v>0.85123042505592839</v>
      </c>
      <c r="E50" s="35" t="s">
        <v>7</v>
      </c>
      <c r="F50" t="s">
        <v>630</v>
      </c>
      <c r="G50" s="3">
        <v>38050</v>
      </c>
      <c r="H50">
        <v>45084594</v>
      </c>
      <c r="I50" s="56">
        <v>45281</v>
      </c>
      <c r="J50" s="56" t="s">
        <v>501</v>
      </c>
      <c r="K50" s="56" t="s">
        <v>159</v>
      </c>
      <c r="L50" s="56"/>
      <c r="M50" s="5">
        <v>0.743859649122807</v>
      </c>
      <c r="N50" s="54" t="s">
        <v>163</v>
      </c>
      <c r="O50" s="55" t="s">
        <v>604</v>
      </c>
      <c r="P50" s="6">
        <v>16960</v>
      </c>
      <c r="Q50" s="6">
        <v>22800</v>
      </c>
      <c r="R50" t="s">
        <v>78</v>
      </c>
      <c r="S50" s="3">
        <v>0</v>
      </c>
      <c r="T50">
        <v>2000</v>
      </c>
      <c r="U50">
        <v>0</v>
      </c>
      <c r="V50">
        <v>0</v>
      </c>
      <c r="W50">
        <v>0</v>
      </c>
      <c r="X50" s="5">
        <v>300</v>
      </c>
      <c r="Y50" s="6">
        <v>0</v>
      </c>
      <c r="Z50" s="6">
        <v>300</v>
      </c>
      <c r="AA50" s="6">
        <v>1300</v>
      </c>
      <c r="AB50" s="6">
        <v>0</v>
      </c>
      <c r="AC50" s="6">
        <v>100</v>
      </c>
      <c r="AD50" s="6">
        <v>180</v>
      </c>
      <c r="AE50" s="6">
        <v>0</v>
      </c>
      <c r="AF50" s="6">
        <v>0</v>
      </c>
      <c r="AG50" s="6">
        <v>1700</v>
      </c>
      <c r="AH50" s="6">
        <v>0</v>
      </c>
      <c r="AI50" s="6">
        <v>3500</v>
      </c>
      <c r="AJ50" s="6">
        <v>600</v>
      </c>
      <c r="AK50" s="6">
        <v>1700</v>
      </c>
      <c r="AL50" s="6">
        <v>880</v>
      </c>
      <c r="AM50" s="6">
        <v>900</v>
      </c>
      <c r="AN50" s="55" t="s">
        <v>586</v>
      </c>
    </row>
    <row r="51" spans="1:40" x14ac:dyDescent="0.25">
      <c r="A51" s="34" t="s">
        <v>7</v>
      </c>
      <c r="B51" s="34" t="s">
        <v>60</v>
      </c>
      <c r="C51" s="34">
        <v>44700</v>
      </c>
      <c r="D51" s="35">
        <v>0.7966219239373602</v>
      </c>
      <c r="E51" s="35" t="s">
        <v>7</v>
      </c>
      <c r="F51" t="s">
        <v>631</v>
      </c>
      <c r="G51" s="3">
        <v>35609</v>
      </c>
      <c r="H51">
        <v>72839865</v>
      </c>
      <c r="I51" s="56">
        <v>45854</v>
      </c>
      <c r="J51" s="56" t="s">
        <v>501</v>
      </c>
      <c r="K51" s="56" t="s">
        <v>159</v>
      </c>
      <c r="L51" s="56"/>
      <c r="M51" s="5">
        <v>0.78088397790055253</v>
      </c>
      <c r="N51" s="54" t="s">
        <v>163</v>
      </c>
      <c r="O51" s="55" t="s">
        <v>604</v>
      </c>
      <c r="P51" s="6">
        <v>14134</v>
      </c>
      <c r="Q51" s="6">
        <v>18100</v>
      </c>
      <c r="R51" t="s">
        <v>549</v>
      </c>
      <c r="S51" s="3">
        <v>350</v>
      </c>
      <c r="T51">
        <v>660</v>
      </c>
      <c r="U51">
        <v>734</v>
      </c>
      <c r="V51">
        <v>0</v>
      </c>
      <c r="W51">
        <v>0</v>
      </c>
      <c r="X51" s="5">
        <v>0</v>
      </c>
      <c r="Y51" s="6">
        <v>90</v>
      </c>
      <c r="Z51" s="6">
        <v>500</v>
      </c>
      <c r="AA51" s="6">
        <v>700</v>
      </c>
      <c r="AB51" s="6">
        <v>300</v>
      </c>
      <c r="AC51" s="6">
        <v>0</v>
      </c>
      <c r="AD51" s="6">
        <v>2400</v>
      </c>
      <c r="AE51" s="6">
        <v>800</v>
      </c>
      <c r="AF51" s="6">
        <v>0</v>
      </c>
      <c r="AG51" s="6">
        <v>1300</v>
      </c>
      <c r="AH51" s="6">
        <v>0</v>
      </c>
      <c r="AI51" s="6">
        <v>0</v>
      </c>
      <c r="AJ51" s="6">
        <v>5300</v>
      </c>
      <c r="AK51" s="6">
        <v>0</v>
      </c>
      <c r="AL51" s="6">
        <v>1000</v>
      </c>
      <c r="AM51" s="6">
        <v>0</v>
      </c>
      <c r="AN51" s="55" t="s">
        <v>587</v>
      </c>
    </row>
    <row r="52" spans="1:40" x14ac:dyDescent="0.25">
      <c r="A52" s="34" t="s">
        <v>7</v>
      </c>
      <c r="B52" s="34" t="s">
        <v>72</v>
      </c>
      <c r="C52" s="34">
        <v>44700</v>
      </c>
      <c r="D52" s="35">
        <v>0.76570469798657714</v>
      </c>
      <c r="E52" s="35" t="s">
        <v>7</v>
      </c>
      <c r="F52" t="s">
        <v>629</v>
      </c>
      <c r="G52" s="3">
        <v>34227</v>
      </c>
      <c r="H52">
        <v>47690367</v>
      </c>
      <c r="I52" s="56">
        <v>45691</v>
      </c>
      <c r="J52" s="56" t="s">
        <v>501</v>
      </c>
      <c r="K52" s="56" t="s">
        <v>159</v>
      </c>
      <c r="L52" s="56"/>
      <c r="M52" s="5">
        <v>0.15497237569060773</v>
      </c>
      <c r="N52" s="54" t="s">
        <v>165</v>
      </c>
      <c r="O52" s="55" t="s">
        <v>604</v>
      </c>
      <c r="P52" s="6">
        <v>2805</v>
      </c>
      <c r="Q52" s="6">
        <v>18100</v>
      </c>
      <c r="R52" t="s">
        <v>599</v>
      </c>
      <c r="S52" s="3">
        <v>0</v>
      </c>
      <c r="T52">
        <v>0</v>
      </c>
      <c r="U52">
        <v>0</v>
      </c>
      <c r="V52">
        <v>0</v>
      </c>
      <c r="W52">
        <v>1225</v>
      </c>
      <c r="X52" s="5">
        <v>0</v>
      </c>
      <c r="Y52" s="6">
        <v>400</v>
      </c>
      <c r="Z52" s="6">
        <v>180</v>
      </c>
      <c r="AA52" s="6">
        <v>0</v>
      </c>
      <c r="AB52" s="6">
        <v>0</v>
      </c>
      <c r="AC52" s="6">
        <v>500</v>
      </c>
      <c r="AD52" s="6">
        <v>0</v>
      </c>
      <c r="AE52" s="6">
        <v>0</v>
      </c>
      <c r="AF52" s="6">
        <v>0</v>
      </c>
      <c r="AG52" s="6">
        <v>0</v>
      </c>
      <c r="AH52" s="6">
        <v>300</v>
      </c>
      <c r="AI52" s="6">
        <v>0</v>
      </c>
      <c r="AJ52" s="6">
        <v>0</v>
      </c>
      <c r="AK52" s="6">
        <v>0</v>
      </c>
      <c r="AL52" s="6">
        <v>200</v>
      </c>
      <c r="AM52" s="6">
        <v>0</v>
      </c>
      <c r="AN52" s="55" t="s">
        <v>587</v>
      </c>
    </row>
    <row r="53" spans="1:40" x14ac:dyDescent="0.25">
      <c r="A53" s="34" t="s">
        <v>7</v>
      </c>
      <c r="B53" s="34" t="s">
        <v>12</v>
      </c>
      <c r="C53" s="34">
        <v>44700</v>
      </c>
      <c r="D53" s="35">
        <v>0.73328859060402685</v>
      </c>
      <c r="E53" s="35" t="s">
        <v>7</v>
      </c>
      <c r="F53" t="s">
        <v>632</v>
      </c>
      <c r="G53" s="3">
        <v>32778</v>
      </c>
      <c r="H53">
        <v>45262585</v>
      </c>
      <c r="I53" s="56">
        <v>44868</v>
      </c>
      <c r="J53" s="56" t="s">
        <v>501</v>
      </c>
      <c r="K53" s="56" t="s">
        <v>159</v>
      </c>
      <c r="L53" s="56"/>
      <c r="M53" s="5">
        <v>1.071878453038674</v>
      </c>
      <c r="N53" s="54" t="s">
        <v>162</v>
      </c>
      <c r="O53" s="55" t="s">
        <v>604</v>
      </c>
      <c r="P53" s="6">
        <v>19401</v>
      </c>
      <c r="Q53" s="6">
        <v>18100</v>
      </c>
      <c r="R53" t="s">
        <v>41</v>
      </c>
      <c r="S53" s="3">
        <v>0</v>
      </c>
      <c r="T53">
        <v>6900</v>
      </c>
      <c r="U53">
        <v>1500</v>
      </c>
      <c r="V53">
        <v>500</v>
      </c>
      <c r="W53">
        <v>351</v>
      </c>
      <c r="X53" s="5">
        <v>0</v>
      </c>
      <c r="Y53" s="6">
        <v>550</v>
      </c>
      <c r="Z53" s="6">
        <v>0</v>
      </c>
      <c r="AA53" s="6">
        <v>0</v>
      </c>
      <c r="AB53" s="6">
        <v>0</v>
      </c>
      <c r="AC53" s="6">
        <v>0</v>
      </c>
      <c r="AD53" s="6">
        <v>2000</v>
      </c>
      <c r="AE53" s="6">
        <v>1000</v>
      </c>
      <c r="AF53" s="6">
        <v>350</v>
      </c>
      <c r="AG53" s="6">
        <v>650</v>
      </c>
      <c r="AH53" s="6">
        <v>700</v>
      </c>
      <c r="AI53" s="6">
        <v>1500</v>
      </c>
      <c r="AJ53" s="6">
        <v>500</v>
      </c>
      <c r="AK53" s="6">
        <v>1900</v>
      </c>
      <c r="AL53" s="6">
        <v>0</v>
      </c>
      <c r="AM53" s="6">
        <v>1000</v>
      </c>
      <c r="AN53" s="55" t="s">
        <v>587</v>
      </c>
    </row>
    <row r="54" spans="1:40" x14ac:dyDescent="0.25">
      <c r="A54" s="34" t="s">
        <v>7</v>
      </c>
      <c r="B54" s="34" t="s">
        <v>26</v>
      </c>
      <c r="C54" s="34">
        <v>44700</v>
      </c>
      <c r="D54" s="35">
        <v>0.48143176733780763</v>
      </c>
      <c r="E54" s="35" t="s">
        <v>7</v>
      </c>
      <c r="F54" t="s">
        <v>633</v>
      </c>
      <c r="G54" s="3">
        <v>21520</v>
      </c>
      <c r="H54">
        <v>41005089</v>
      </c>
      <c r="I54" s="56">
        <v>44257</v>
      </c>
      <c r="J54" s="56" t="s">
        <v>501</v>
      </c>
      <c r="K54" s="56" t="s">
        <v>159</v>
      </c>
      <c r="M54" s="5">
        <v>0.11906077348066299</v>
      </c>
      <c r="N54" s="54" t="s">
        <v>165</v>
      </c>
      <c r="O54" s="55" t="s">
        <v>604</v>
      </c>
      <c r="P54" s="6">
        <v>2155</v>
      </c>
      <c r="Q54" s="6">
        <v>18100</v>
      </c>
      <c r="R54" t="s">
        <v>566</v>
      </c>
      <c r="S54" s="3">
        <v>300</v>
      </c>
      <c r="T54">
        <v>0</v>
      </c>
      <c r="U54">
        <v>0</v>
      </c>
      <c r="V54">
        <v>0</v>
      </c>
      <c r="W54">
        <v>1615</v>
      </c>
      <c r="X54" s="5">
        <v>0</v>
      </c>
      <c r="Y54" s="6">
        <v>60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180</v>
      </c>
      <c r="AM54" s="6">
        <v>0</v>
      </c>
      <c r="AN54" s="55" t="s">
        <v>587</v>
      </c>
    </row>
    <row r="55" spans="1:40" x14ac:dyDescent="0.25">
      <c r="A55" s="34" t="s">
        <v>7</v>
      </c>
      <c r="B55" s="34" t="s">
        <v>75</v>
      </c>
      <c r="C55" s="34">
        <v>44700</v>
      </c>
      <c r="D55" s="35">
        <v>0.36261744966442955</v>
      </c>
      <c r="E55" s="35" t="s">
        <v>7</v>
      </c>
      <c r="F55" t="s">
        <v>634</v>
      </c>
      <c r="G55" s="3">
        <v>16209</v>
      </c>
      <c r="H55">
        <v>71264767</v>
      </c>
      <c r="I55" s="56">
        <v>44714</v>
      </c>
      <c r="J55" s="56" t="s">
        <v>501</v>
      </c>
      <c r="K55" s="56" t="s">
        <v>159</v>
      </c>
      <c r="M55" s="5">
        <v>1.1293922651933701</v>
      </c>
      <c r="N55" s="54" t="s">
        <v>162</v>
      </c>
      <c r="O55" s="55" t="s">
        <v>604</v>
      </c>
      <c r="P55" s="6">
        <v>20442</v>
      </c>
      <c r="Q55" s="6">
        <v>18100</v>
      </c>
      <c r="R55" t="s">
        <v>55</v>
      </c>
      <c r="S55">
        <v>0</v>
      </c>
      <c r="T55">
        <v>0</v>
      </c>
      <c r="U55">
        <v>0</v>
      </c>
      <c r="V55">
        <v>0</v>
      </c>
      <c r="W55">
        <v>305</v>
      </c>
      <c r="X55" s="5">
        <v>735</v>
      </c>
      <c r="Y55" s="6">
        <v>500</v>
      </c>
      <c r="Z55" s="6">
        <v>600</v>
      </c>
      <c r="AA55" s="6">
        <v>0</v>
      </c>
      <c r="AB55" s="6">
        <v>280</v>
      </c>
      <c r="AC55" s="6">
        <v>350</v>
      </c>
      <c r="AD55" s="6">
        <v>0</v>
      </c>
      <c r="AE55" s="6">
        <v>160</v>
      </c>
      <c r="AF55" s="6">
        <v>0</v>
      </c>
      <c r="AG55" s="6">
        <v>540</v>
      </c>
      <c r="AH55" s="6">
        <v>580</v>
      </c>
      <c r="AI55" s="6">
        <v>2440</v>
      </c>
      <c r="AJ55" s="6">
        <v>127</v>
      </c>
      <c r="AK55" s="6">
        <v>1450</v>
      </c>
      <c r="AL55" s="6">
        <v>2220</v>
      </c>
      <c r="AM55" s="6">
        <v>1655</v>
      </c>
      <c r="AN55" s="55" t="s">
        <v>587</v>
      </c>
    </row>
    <row r="56" spans="1:40" x14ac:dyDescent="0.25">
      <c r="A56" s="34" t="s">
        <v>7</v>
      </c>
      <c r="B56" s="34" t="s">
        <v>51</v>
      </c>
      <c r="C56" s="34">
        <v>44700</v>
      </c>
      <c r="D56" s="35">
        <v>0.1360178970917226</v>
      </c>
      <c r="E56" s="35" t="s">
        <v>7</v>
      </c>
      <c r="F56" t="s">
        <v>635</v>
      </c>
      <c r="G56" s="3">
        <v>6080</v>
      </c>
      <c r="H56">
        <v>76089925</v>
      </c>
      <c r="I56" s="56">
        <v>45678</v>
      </c>
      <c r="J56" s="56" t="s">
        <v>501</v>
      </c>
      <c r="K56" s="56" t="s">
        <v>159</v>
      </c>
      <c r="M56" s="5">
        <v>0.16850828729281769</v>
      </c>
      <c r="N56" s="54" t="s">
        <v>165</v>
      </c>
      <c r="O56" s="55" t="s">
        <v>604</v>
      </c>
      <c r="P56" s="6">
        <v>3050</v>
      </c>
      <c r="Q56" s="6">
        <v>18100</v>
      </c>
      <c r="R56" t="s">
        <v>601</v>
      </c>
      <c r="S56">
        <v>0</v>
      </c>
      <c r="T56">
        <v>300</v>
      </c>
      <c r="U56">
        <v>0</v>
      </c>
      <c r="V56">
        <v>0</v>
      </c>
      <c r="W56">
        <v>1500</v>
      </c>
      <c r="X56" s="5">
        <v>180</v>
      </c>
      <c r="Y56" s="6">
        <v>0</v>
      </c>
      <c r="Z56" s="6">
        <v>0</v>
      </c>
      <c r="AA56" s="6">
        <v>500</v>
      </c>
      <c r="AB56" s="6">
        <v>250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500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55" t="s">
        <v>587</v>
      </c>
    </row>
  </sheetData>
  <phoneticPr fontId="2" type="noConversion"/>
  <conditionalFormatting sqref="E3:E56">
    <cfRule type="containsText" dxfId="3" priority="2" operator="containsText" text="kenneth">
      <formula>NOT(ISERROR(SEARCH("kenneth",E3)))</formula>
    </cfRule>
  </conditionalFormatting>
  <conditionalFormatting sqref="R9:R56">
    <cfRule type="duplicateValues" dxfId="2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U174"/>
  <sheetViews>
    <sheetView tabSelected="1" zoomScale="70" zoomScaleNormal="70" workbookViewId="0">
      <selection activeCell="G13" sqref="G12:G13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0.5703125" bestFit="1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</cols>
  <sheetData>
    <row r="1" spans="1:73" x14ac:dyDescent="0.25">
      <c r="H1"/>
      <c r="J1" s="56"/>
      <c r="K1" s="56"/>
      <c r="L1" s="56"/>
      <c r="N1" s="5"/>
      <c r="O1"/>
    </row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144</v>
      </c>
      <c r="O3" s="33">
        <v>21</v>
      </c>
    </row>
    <row r="4" spans="1:73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29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73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18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73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48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73" x14ac:dyDescent="0.25">
      <c r="A7" s="66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66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7" s="62" cm="1">
        <f t="array" ref="C7">_xlfn.XLOOKUP(1,(TablaMeta[CONCAT]=$M$3&amp;$N$3&amp;D1_MAYO_2026[[#This Row],[SUPER]])*(TablaMeta[SEGG]=D1_MAYO_2026[[#This Row],[SEGMENTO]]),TablaMeta[Meta_Asesor])</f>
        <v>67500</v>
      </c>
      <c r="D7" s="63">
        <f>IF(D1_MAYO_2026[[#This Row],[RECUPERO]]="VACACIONES","VACACIONES",IFERROR(D1_MAYO_2026[[#This Row],[RECUPERO]]/D1_MAYO_2026[[#This Row],[META]],""))</f>
        <v>0</v>
      </c>
      <c r="E7" s="67" t="str">
        <f>D1_MAYO_2026[[#This Row],[SUPER]]</f>
        <v>JORGE</v>
      </c>
      <c r="F7" s="66" t="s">
        <v>81</v>
      </c>
      <c r="G7" s="73"/>
      <c r="H7" s="66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7" s="68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7" s="68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  <c r="BQ7" t="s">
        <v>636</v>
      </c>
      <c r="BR7" t="s">
        <v>141</v>
      </c>
      <c r="BS7" t="s">
        <v>142</v>
      </c>
      <c r="BT7" t="s">
        <v>143</v>
      </c>
      <c r="BU7" t="s">
        <v>144</v>
      </c>
    </row>
    <row r="8" spans="1:73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8" s="34" cm="1">
        <f t="array" ref="C8">_xlfn.XLOOKUP(1,(TablaMeta[CONCAT]=$M$3&amp;$N$3&amp;D1_MAYO_2026[[#This Row],[SUPER]])*(TablaMeta[SEGG]=D1_MAYO_2026[[#This Row],[SEGMENTO]]),TablaMeta[Meta_Asesor])</f>
        <v>38500</v>
      </c>
      <c r="D8" s="35">
        <f>IF(D1_MAYO_2026[[#This Row],[RECUPERO]]="VACACIONES","VACACIONES",IFERROR(D1_MAYO_2026[[#This Row],[RECUPERO]]/D1_MAYO_2026[[#This Row],[META]],""))</f>
        <v>0.38961038961038963</v>
      </c>
      <c r="E8" s="35" t="str">
        <f>D1_MAYO_2026[[#This Row],[SUPER]]</f>
        <v>SANDY</v>
      </c>
      <c r="F8" s="34" t="s">
        <v>42</v>
      </c>
      <c r="G8" s="36">
        <v>15000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8" s="61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8" s="61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533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507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512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517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9" s="34" cm="1">
        <f t="array" ref="C9">_xlfn.XLOOKUP(1,(TablaMeta[CONCAT]=$M$3&amp;$N$3&amp;D1_MAYO_2026[[#This Row],[SUPER]])*(TablaMeta[SEGG]=D1_MAYO_2026[[#This Row],[SEGMENTO]]),TablaMeta[Meta_Asesor])</f>
        <v>38500</v>
      </c>
      <c r="D9" s="35">
        <f>IF(D1_MAYO_2026[[#This Row],[RECUPERO]]="VACACIONES","VACACIONES",IFERROR(D1_MAYO_2026[[#This Row],[RECUPERO]]/D1_MAYO_2026[[#This Row],[META]],""))</f>
        <v>0.24103896103896105</v>
      </c>
      <c r="E9" s="35" t="str">
        <f>D1_MAYO_2026[[#This Row],[SUPER]]</f>
        <v>SANDY</v>
      </c>
      <c r="F9" s="34" t="s">
        <v>58</v>
      </c>
      <c r="G9" s="36">
        <v>9280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6"/>
      <c r="M9" s="5">
        <f>DATA_MAYO_2026[[#This Row],[RECUPERO]]/DATA_MAYO_2026[[#This Row],[META]]</f>
        <v>0.38961038961038963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IFERROR(VLOOKUP(DATA_MAYO_2026[[#This Row],[ASER_]],$B:$G,4,0),"")</f>
        <v>SANDY</v>
      </c>
      <c r="P9" s="6">
        <f>VLOOKUP(DATA_MAYO_2026[[#This Row],[ASER_]],D1_MAYO_2026[[ASESOR_CRR]:[RECUPERO]],6,0)</f>
        <v>15000</v>
      </c>
      <c r="Q9" s="6">
        <f>VLOOKUP(DATA_MAYO_2026[[#This Row],[ASER_]],D1_MAYO_2026[[ASESOR_CRR]:[META]],2,0)</f>
        <v>38500</v>
      </c>
      <c r="R9" t="s">
        <v>42</v>
      </c>
      <c r="S9">
        <v>0</v>
      </c>
      <c r="T9">
        <v>15000</v>
      </c>
      <c r="U9">
        <v>0</v>
      </c>
      <c r="AN9" s="55"/>
      <c r="AP9" s="10">
        <f>SUMIFS(TablaMeta[Meta_Equipo],TablaMeta[CONCAT],$M$3&amp;$N$3&amp;DITE_MAYO_2026[[#This Row],[SUPER]])</f>
        <v>554897</v>
      </c>
      <c r="AQ9" s="10">
        <f>MAX(DITE_MAYO_2026[[#This Row],[SUPER]:[CARTERA]])</f>
        <v>62160</v>
      </c>
      <c r="AR9" s="16">
        <f>IFERROR(DITE_MAYO_2026[[#This Row],[RECUPERO SUPERVISOR]]/DITE_MAYO_2026[[#This Row],[META SUPER]],"")</f>
        <v>0.1120207894438067</v>
      </c>
      <c r="AS9" s="10" t="s">
        <v>3</v>
      </c>
      <c r="AT9" s="46">
        <v>9665</v>
      </c>
      <c r="AU9" s="46">
        <v>51987</v>
      </c>
      <c r="AV9" s="46">
        <v>62160</v>
      </c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3</v>
      </c>
      <c r="BS9" t="s">
        <v>3</v>
      </c>
      <c r="BT9" t="s">
        <v>3</v>
      </c>
      <c r="BU9" t="s">
        <v>3</v>
      </c>
    </row>
    <row r="10" spans="1:73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10" s="34" cm="1">
        <f t="array" ref="C10">_xlfn.XLOOKUP(1,(TablaMeta[CONCAT]=$M$3&amp;$N$3&amp;D1_MAYO_2026[[#This Row],[SUPER]])*(TablaMeta[SEGG]=D1_MAYO_2026[[#This Row],[SEGMENTO]]),TablaMeta[Meta_Asesor])</f>
        <v>38500</v>
      </c>
      <c r="D10" s="35">
        <f>IF(D1_MAYO_2026[[#This Row],[RECUPERO]]="VACACIONES","VACACIONES",IFERROR(D1_MAYO_2026[[#This Row],[RECUPERO]]/D1_MAYO_2026[[#This Row],[META]],""))</f>
        <v>0.19246753246753245</v>
      </c>
      <c r="E10" s="35" t="str">
        <f>D1_MAYO_2026[[#This Row],[SUPER]]</f>
        <v>SANDY</v>
      </c>
      <c r="F10" s="34" t="s">
        <v>493</v>
      </c>
      <c r="G10" s="36">
        <v>7410</v>
      </c>
      <c r="H10" s="34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10" s="61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0" s="61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6"/>
      <c r="M10" s="5">
        <f>DATA_MAYO_2026[[#This Row],[RECUPERO]]/DATA_MAYO_2026[[#This Row],[META]]</f>
        <v>0.24103896103896105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IFERROR(VLOOKUP(DATA_MAYO_2026[[#This Row],[ASER_]],$B:$G,4,0),"")</f>
        <v>SANDY</v>
      </c>
      <c r="P10" s="6">
        <f>VLOOKUP(DATA_MAYO_2026[[#This Row],[ASER_]],D1_MAYO_2026[[ASESOR_CRR]:[RECUPERO]],6,0)</f>
        <v>9280</v>
      </c>
      <c r="Q10" s="6">
        <f>VLOOKUP(DATA_MAYO_2026[[#This Row],[ASER_]],D1_MAYO_2026[[ASESOR_CRR]:[META]],2,0)</f>
        <v>38500</v>
      </c>
      <c r="R10" t="s">
        <v>58</v>
      </c>
      <c r="S10">
        <v>250</v>
      </c>
      <c r="T10">
        <v>8780</v>
      </c>
      <c r="U10">
        <v>250</v>
      </c>
      <c r="AN10" s="55"/>
      <c r="AP10" s="11">
        <f>SUMIFS(TablaMeta[Meta_Equipo],TablaMeta[CONCAT],$M$3&amp;$N$3&amp;DITE_MAYO_2026[[#This Row],[SUPER]])</f>
        <v>320861</v>
      </c>
      <c r="AQ10" s="11">
        <f>MAX(DITE_MAYO_2026[[#This Row],[SUPER]:[CARTERA]])</f>
        <v>31740</v>
      </c>
      <c r="AR10" s="17">
        <f>IFERROR(DITE_MAYO_2026[[#This Row],[RECUPERO SUPERVISOR]]/DITE_MAYO_2026[[#This Row],[META SUPER]],"")</f>
        <v>9.8921339770180861E-2</v>
      </c>
      <c r="AS10" s="11" t="s">
        <v>6</v>
      </c>
      <c r="AT10" s="46">
        <v>4425</v>
      </c>
      <c r="AU10" s="46">
        <v>26245</v>
      </c>
      <c r="AV10" s="46">
        <v>31740</v>
      </c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11" s="34" cm="1">
        <f t="array" ref="C11">_xlfn.XLOOKUP(1,(TablaMeta[CONCAT]=$M$3&amp;$N$3&amp;D1_MAYO_2026[[#This Row],[SUPER]])*(TablaMeta[SEGG]=D1_MAYO_2026[[#This Row],[SEGMENTO]]),TablaMeta[Meta_Asesor])</f>
        <v>38500</v>
      </c>
      <c r="D11" s="35">
        <f>IF(D1_MAYO_2026[[#This Row],[RECUPERO]]="VACACIONES","VACACIONES",IFERROR(D1_MAYO_2026[[#This Row],[RECUPERO]]/D1_MAYO_2026[[#This Row],[META]],""))</f>
        <v>0.1775064935064935</v>
      </c>
      <c r="E11" s="35" t="str">
        <f>D1_MAYO_2026[[#This Row],[SUPER]]</f>
        <v>SANDY</v>
      </c>
      <c r="F11" t="s">
        <v>85</v>
      </c>
      <c r="G11" s="3">
        <v>6834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1" s="56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1" s="56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6"/>
      <c r="M11" s="5">
        <f>DATA_MAYO_2026[[#This Row],[RECUPERO]]/DATA_MAYO_2026[[#This Row],[META]]</f>
        <v>0.19246753246753245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IFERROR(VLOOKUP(DATA_MAYO_2026[[#This Row],[ASER_]],$B:$G,4,0),"")</f>
        <v>SANDY</v>
      </c>
      <c r="P11" s="6">
        <f>VLOOKUP(DATA_MAYO_2026[[#This Row],[ASER_]],D1_MAYO_2026[[ASESOR_CRR]:[RECUPERO]],6,0)</f>
        <v>7410</v>
      </c>
      <c r="Q11" s="6">
        <f>VLOOKUP(DATA_MAYO_2026[[#This Row],[ASER_]],D1_MAYO_2026[[ASESOR_CRR]:[META]],2,0)</f>
        <v>38500</v>
      </c>
      <c r="R11" t="s">
        <v>493</v>
      </c>
      <c r="S11">
        <v>0</v>
      </c>
      <c r="T11">
        <v>1730</v>
      </c>
      <c r="U11">
        <v>5680</v>
      </c>
      <c r="AN11" s="55"/>
      <c r="AP11" s="10">
        <f>SUMIFS(TablaMeta[Meta_Equipo],TablaMeta[CONCAT],$M$3&amp;$N$3&amp;DITE_MAYO_2026[[#This Row],[SUPER]])</f>
        <v>537194</v>
      </c>
      <c r="AQ11" s="10">
        <f>MAX(DITE_MAYO_2026[[#This Row],[SUPER]:[CARTERA]])</f>
        <v>31288</v>
      </c>
      <c r="AR11" s="16">
        <f>IFERROR(DITE_MAYO_2026[[#This Row],[RECUPERO SUPERVISOR]]/DITE_MAYO_2026[[#This Row],[META SUPER]],"")</f>
        <v>5.8243390655889682E-2</v>
      </c>
      <c r="AS11" s="10" t="s">
        <v>2</v>
      </c>
      <c r="AT11" s="46">
        <v>5000</v>
      </c>
      <c r="AU11" s="46">
        <v>19034</v>
      </c>
      <c r="AV11" s="46">
        <v>31288</v>
      </c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2</v>
      </c>
      <c r="BS11" t="s">
        <v>2</v>
      </c>
      <c r="BT11" t="s">
        <v>2</v>
      </c>
      <c r="BU11" t="s">
        <v>2</v>
      </c>
    </row>
    <row r="12" spans="1:73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12" s="34" cm="1">
        <f t="array" ref="C12">_xlfn.XLOOKUP(1,(TablaMeta[CONCAT]=$M$3&amp;$N$3&amp;D1_MAYO_2026[[#This Row],[SUPER]])*(TablaMeta[SEGG]=D1_MAYO_2026[[#This Row],[SEGMENTO]]),TablaMeta[Meta_Asesor])</f>
        <v>38500</v>
      </c>
      <c r="D12" s="35">
        <f>IF(D1_MAYO_2026[[#This Row],[RECUPERO]]="VACACIONES","VACACIONES",IFERROR(D1_MAYO_2026[[#This Row],[RECUPERO]]/D1_MAYO_2026[[#This Row],[META]],""))</f>
        <v>3.6363636363636362E-2</v>
      </c>
      <c r="E12" s="35" t="str">
        <f>D1_MAYO_2026[[#This Row],[SUPER]]</f>
        <v>SANDY</v>
      </c>
      <c r="F12" t="s">
        <v>22</v>
      </c>
      <c r="G12" s="3">
        <v>1400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6"/>
      <c r="M12" s="5">
        <f>DATA_MAYO_2026[[#This Row],[RECUPERO]]/DATA_MAYO_2026[[#This Row],[META]]</f>
        <v>0.1775064935064935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IFERROR(VLOOKUP(DATA_MAYO_2026[[#This Row],[ASER_]],$B:$G,4,0),"")</f>
        <v>SANDY</v>
      </c>
      <c r="P12" s="6">
        <f>VLOOKUP(DATA_MAYO_2026[[#This Row],[ASER_]],D1_MAYO_2026[[ASESOR_CRR]:[RECUPERO]],6,0)</f>
        <v>6834</v>
      </c>
      <c r="Q12" s="6">
        <f>VLOOKUP(DATA_MAYO_2026[[#This Row],[ASER_]],D1_MAYO_2026[[ASESOR_CRR]:[META]],2,0)</f>
        <v>38500</v>
      </c>
      <c r="R12" t="s">
        <v>85</v>
      </c>
      <c r="S12">
        <v>5195</v>
      </c>
      <c r="T12">
        <v>1006</v>
      </c>
      <c r="U12">
        <v>633.4</v>
      </c>
      <c r="AN12" s="55"/>
      <c r="AP12" s="11">
        <f>SUMIFS(TablaMeta[Meta_Equipo],TablaMeta[CONCAT],$M$3&amp;$N$3&amp;DITE_MAYO_2026[[#This Row],[SUPER]])</f>
        <v>292300</v>
      </c>
      <c r="AQ12" s="11">
        <f>MAX(DITE_MAYO_2026[[#This Row],[SUPER]:[CARTERA]])</f>
        <v>11978</v>
      </c>
      <c r="AR12" s="17">
        <f>IFERROR(DITE_MAYO_2026[[#This Row],[RECUPERO SUPERVISOR]]/DITE_MAYO_2026[[#This Row],[META SUPER]],"")</f>
        <v>4.0978446801231611E-2</v>
      </c>
      <c r="AS12" s="11" t="s">
        <v>125</v>
      </c>
      <c r="AT12" s="46">
        <v>2000</v>
      </c>
      <c r="AU12" s="46">
        <v>3100</v>
      </c>
      <c r="AV12" s="46">
        <v>11978</v>
      </c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">
        <v>158</v>
      </c>
      <c r="BQ12" t="s">
        <v>7</v>
      </c>
      <c r="BR12" t="s">
        <v>7</v>
      </c>
      <c r="BS12" t="s">
        <v>7</v>
      </c>
      <c r="BT12" t="s">
        <v>604</v>
      </c>
      <c r="BU12" t="s">
        <v>7</v>
      </c>
    </row>
    <row r="13" spans="1:73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13" s="34" cm="1">
        <f t="array" ref="C13">_xlfn.XLOOKUP(1,(TablaMeta[CONCAT]=$M$3&amp;$N$3&amp;D1_MAYO_2026[[#This Row],[SUPER]])*(TablaMeta[SEGG]=D1_MAYO_2026[[#This Row],[SEGMENTO]]),TablaMeta[Meta_Asesor])</f>
        <v>38500</v>
      </c>
      <c r="D13" s="35">
        <f>IF(D1_MAYO_2026[[#This Row],[RECUPERO]]="VACACIONES","VACACIONES",IFERROR(D1_MAYO_2026[[#This Row],[RECUPERO]]/D1_MAYO_2026[[#This Row],[META]],""))</f>
        <v>1.1948051948051949E-2</v>
      </c>
      <c r="E13" s="35" t="str">
        <f>D1_MAYO_2026[[#This Row],[SUPER]]</f>
        <v>SANDY</v>
      </c>
      <c r="F13" t="s">
        <v>96</v>
      </c>
      <c r="G13" s="3">
        <v>460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6"/>
      <c r="M13" s="5">
        <f>DATA_MAYO_2026[[#This Row],[RECUPERO]]/DATA_MAYO_2026[[#This Row],[META]]</f>
        <v>3.6363636363636362E-2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IFERROR(VLOOKUP(DATA_MAYO_2026[[#This Row],[ASER_]],$B:$G,4,0),"")</f>
        <v>SANDY</v>
      </c>
      <c r="P13" s="6">
        <f>VLOOKUP(DATA_MAYO_2026[[#This Row],[ASER_]],D1_MAYO_2026[[ASESOR_CRR]:[RECUPERO]],6,0)</f>
        <v>1400</v>
      </c>
      <c r="Q13" s="6">
        <f>VLOOKUP(DATA_MAYO_2026[[#This Row],[ASER_]],D1_MAYO_2026[[ASESOR_CRR]:[META]],2,0)</f>
        <v>38500</v>
      </c>
      <c r="R13" t="s">
        <v>22</v>
      </c>
      <c r="S13" s="47">
        <v>1400</v>
      </c>
      <c r="T13">
        <v>0</v>
      </c>
      <c r="U13">
        <v>0</v>
      </c>
      <c r="AN13" s="55"/>
      <c r="AP13" s="10">
        <f>SUMIFS(TablaMeta[Meta_Equipo],TablaMeta[CONCAT],$M$3&amp;$N$3&amp;DITE_MAYO_2026[[#This Row],[SUPER]])</f>
        <v>143766</v>
      </c>
      <c r="AQ13" s="10">
        <f>MAX(DITE_MAYO_2026[[#This Row],[SUPER]:[CARTERA]])</f>
        <v>5833</v>
      </c>
      <c r="AR13" s="16">
        <f>IFERROR(DITE_MAYO_2026[[#This Row],[RECUPERO SUPERVISOR]]/DITE_MAYO_2026[[#This Row],[META SUPER]],"")</f>
        <v>4.057287536691568E-2</v>
      </c>
      <c r="AS13" s="10" t="s">
        <v>7</v>
      </c>
      <c r="AT13" s="46">
        <v>1620</v>
      </c>
      <c r="AU13" s="46">
        <v>3473</v>
      </c>
      <c r="AV13" s="45">
        <v>5833</v>
      </c>
      <c r="AW13" s="46"/>
      <c r="AX13" s="46"/>
      <c r="AY13" s="46"/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Q13" t="s">
        <v>125</v>
      </c>
      <c r="BR13" t="s">
        <v>125</v>
      </c>
      <c r="BS13" t="s">
        <v>125</v>
      </c>
      <c r="BT13" t="s">
        <v>7</v>
      </c>
      <c r="BU13" t="s">
        <v>125</v>
      </c>
    </row>
    <row r="14" spans="1:73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14" s="34" cm="1">
        <f t="array" ref="C14">_xlfn.XLOOKUP(1,(TablaMeta[CONCAT]=$M$3&amp;$N$3&amp;D1_MAYO_2026[[#This Row],[SUPER]])*(TablaMeta[SEGG]=D1_MAYO_2026[[#This Row],[SEGMENTO]]),TablaMeta[Meta_Asesor])</f>
        <v>38500</v>
      </c>
      <c r="D14" s="35">
        <f>IF(D1_MAYO_2026[[#This Row],[RECUPERO]]="VACACIONES","VACACIONES",IFERROR(D1_MAYO_2026[[#This Row],[RECUPERO]]/D1_MAYO_2026[[#This Row],[META]],""))</f>
        <v>0</v>
      </c>
      <c r="E14" s="35" t="str">
        <f>D1_MAYO_2026[[#This Row],[SUPER]]</f>
        <v>SANDY</v>
      </c>
      <c r="F14" t="s">
        <v>32</v>
      </c>
      <c r="G14" s="3">
        <v>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4" s="56"/>
      <c r="M14" s="5">
        <f>DATA_MAYO_2026[[#This Row],[RECUPERO]]/DATA_MAYO_2026[[#This Row],[META]]</f>
        <v>1.1948051948051949E-2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IFERROR(VLOOKUP(DATA_MAYO_2026[[#This Row],[ASER_]],$B:$G,4,0),"")</f>
        <v>SANDY</v>
      </c>
      <c r="P14" s="6">
        <f>VLOOKUP(DATA_MAYO_2026[[#This Row],[ASER_]],D1_MAYO_2026[[ASESOR_CRR]:[RECUPERO]],6,0)</f>
        <v>460</v>
      </c>
      <c r="Q14" s="6">
        <f>VLOOKUP(DATA_MAYO_2026[[#This Row],[ASER_]],D1_MAYO_2026[[ASESOR_CRR]:[META]],2,0)</f>
        <v>38500</v>
      </c>
      <c r="R14" t="s">
        <v>96</v>
      </c>
      <c r="S14" s="47">
        <v>0</v>
      </c>
      <c r="T14">
        <v>0</v>
      </c>
      <c r="U14">
        <v>460</v>
      </c>
      <c r="AN14" s="55"/>
    </row>
    <row r="15" spans="1:73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15" s="34" cm="1">
        <f t="array" ref="C15">_xlfn.XLOOKUP(1,(TablaMeta[CONCAT]=$M$3&amp;$N$3&amp;D1_MAYO_2026[[#This Row],[SUPER]])*(TablaMeta[SEGG]=D1_MAYO_2026[[#This Row],[SEGMENTO]]),TablaMeta[Meta_Asesor])</f>
        <v>72000</v>
      </c>
      <c r="D15" s="35">
        <f>IF(D1_MAYO_2026[[#This Row],[RECUPERO]]="VACACIONES","VACACIONES",IFERROR(D1_MAYO_2026[[#This Row],[RECUPERO]]/D1_MAYO_2026[[#This Row],[META]],""))</f>
        <v>0.16744444444444445</v>
      </c>
      <c r="E15" s="35" t="str">
        <f>D1_MAYO_2026[[#This Row],[SUPER]]</f>
        <v>SANDY</v>
      </c>
      <c r="F15" t="s">
        <v>60</v>
      </c>
      <c r="G15" s="3">
        <v>12056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15" s="56"/>
      <c r="M15" s="5">
        <f>DATA_MAYO_2026[[#This Row],[RECUPERO]]/DATA_MAYO_2026[[#This Row],[META]]</f>
        <v>0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IFERROR(VLOOKUP(DATA_MAYO_2026[[#This Row],[ASER_]],$B:$G,4,0),"")</f>
        <v>SANDY</v>
      </c>
      <c r="P15" s="6">
        <f>VLOOKUP(DATA_MAYO_2026[[#This Row],[ASER_]],D1_MAYO_2026[[ASESOR_CRR]:[RECUPERO]],6,0)</f>
        <v>0</v>
      </c>
      <c r="Q15" s="6">
        <f>VLOOKUP(DATA_MAYO_2026[[#This Row],[ASER_]],D1_MAYO_2026[[ASESOR_CRR]:[META]],2,0)</f>
        <v>38500</v>
      </c>
      <c r="R15" t="s">
        <v>32</v>
      </c>
      <c r="S15" s="47">
        <v>0</v>
      </c>
      <c r="T15">
        <v>0</v>
      </c>
      <c r="U15">
        <v>0</v>
      </c>
      <c r="Y15" s="45"/>
      <c r="AN15" s="55"/>
      <c r="AY15" s="45"/>
      <c r="BA15" s="45"/>
      <c r="BB15" s="45"/>
      <c r="BD15" s="45"/>
    </row>
    <row r="16" spans="1:73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16" s="34" cm="1">
        <f t="array" ref="C16">_xlfn.XLOOKUP(1,(TablaMeta[CONCAT]=$M$3&amp;$N$3&amp;D1_MAYO_2026[[#This Row],[SUPER]])*(TablaMeta[SEGG]=D1_MAYO_2026[[#This Row],[SEGMENTO]]),TablaMeta[Meta_Asesor])</f>
        <v>72000</v>
      </c>
      <c r="D16" s="35">
        <f>IF(D1_MAYO_2026[[#This Row],[RECUPERO]]="VACACIONES","VACACIONES",IFERROR(D1_MAYO_2026[[#This Row],[RECUPERO]]/D1_MAYO_2026[[#This Row],[META]],""))</f>
        <v>9.0972222222222218E-2</v>
      </c>
      <c r="E16" s="35" t="str">
        <f>D1_MAYO_2026[[#This Row],[SUPER]]</f>
        <v>SANDY</v>
      </c>
      <c r="F16" t="s">
        <v>59</v>
      </c>
      <c r="G16" s="3">
        <v>6550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16" s="56"/>
      <c r="M16" s="5">
        <f>DATA_MAYO_2026[[#This Row],[RECUPERO]]/DATA_MAYO_2026[[#This Row],[META]]</f>
        <v>0.16744444444444445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IFERROR(VLOOKUP(DATA_MAYO_2026[[#This Row],[ASER_]],$B:$G,4,0),"")</f>
        <v>SANDY</v>
      </c>
      <c r="P16" s="6">
        <f>VLOOKUP(DATA_MAYO_2026[[#This Row],[ASER_]],D1_MAYO_2026[[ASESOR_CRR]:[RECUPERO]],6,0)</f>
        <v>12056</v>
      </c>
      <c r="Q16" s="6">
        <f>VLOOKUP(DATA_MAYO_2026[[#This Row],[ASER_]],D1_MAYO_2026[[ASESOR_CRR]:[META]],2,0)</f>
        <v>72000</v>
      </c>
      <c r="R16" t="s">
        <v>60</v>
      </c>
      <c r="S16">
        <v>800</v>
      </c>
      <c r="T16">
        <v>11256</v>
      </c>
      <c r="U16">
        <v>0</v>
      </c>
      <c r="AN16" s="55"/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17" s="34" cm="1">
        <f t="array" ref="C17">_xlfn.XLOOKUP(1,(TablaMeta[CONCAT]=$M$3&amp;$N$3&amp;D1_MAYO_2026[[#This Row],[SUPER]])*(TablaMeta[SEGG]=D1_MAYO_2026[[#This Row],[SEGMENTO]]),TablaMeta[Meta_Asesor])</f>
        <v>72000</v>
      </c>
      <c r="D17" s="35">
        <f>IF(D1_MAYO_2026[[#This Row],[RECUPERO]]="VACACIONES","VACACIONES",IFERROR(D1_MAYO_2026[[#This Row],[RECUPERO]]/D1_MAYO_2026[[#This Row],[META]],""))</f>
        <v>2.8055555555555556E-2</v>
      </c>
      <c r="E17" s="35" t="str">
        <f>D1_MAYO_2026[[#This Row],[SUPER]]</f>
        <v>SANDY</v>
      </c>
      <c r="F17" t="s">
        <v>68</v>
      </c>
      <c r="G17" s="3">
        <v>2020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17" s="56"/>
      <c r="M17" s="5">
        <f>DATA_MAYO_2026[[#This Row],[RECUPERO]]/DATA_MAYO_2026[[#This Row],[META]]</f>
        <v>9.0972222222222218E-2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IFERROR(VLOOKUP(DATA_MAYO_2026[[#This Row],[ASER_]],$B:$G,4,0),"")</f>
        <v>SANDY</v>
      </c>
      <c r="P17" s="6">
        <f>VLOOKUP(DATA_MAYO_2026[[#This Row],[ASER_]],D1_MAYO_2026[[ASESOR_CRR]:[RECUPERO]],6,0)</f>
        <v>6550</v>
      </c>
      <c r="Q17" s="6">
        <f>VLOOKUP(DATA_MAYO_2026[[#This Row],[ASER_]],D1_MAYO_2026[[ASESOR_CRR]:[META]],2,0)</f>
        <v>72000</v>
      </c>
      <c r="R17" t="s">
        <v>59</v>
      </c>
      <c r="S17" s="45">
        <v>0</v>
      </c>
      <c r="T17">
        <v>3550</v>
      </c>
      <c r="U17">
        <v>3000</v>
      </c>
      <c r="AN17" s="55"/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18" s="34" cm="1">
        <f t="array" ref="C18">_xlfn.XLOOKUP(1,(TablaMeta[CONCAT]=$M$3&amp;$N$3&amp;D1_MAYO_2026[[#This Row],[SUPER]])*(TablaMeta[SEGG]=D1_MAYO_2026[[#This Row],[SEGMENTO]]),TablaMeta[Meta_Asesor])</f>
        <v>72000</v>
      </c>
      <c r="D18" s="35">
        <f>IF(D1_MAYO_2026[[#This Row],[RECUPERO]]="VACACIONES","VACACIONES",IFERROR(D1_MAYO_2026[[#This Row],[RECUPERO]]/D1_MAYO_2026[[#This Row],[META]],""))</f>
        <v>1.3888888888888888E-2</v>
      </c>
      <c r="E18" s="35" t="str">
        <f>D1_MAYO_2026[[#This Row],[SUPER]]</f>
        <v>SANDY</v>
      </c>
      <c r="F18" t="s">
        <v>79</v>
      </c>
      <c r="G18" s="3">
        <v>1000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18" s="56"/>
      <c r="M18" s="5">
        <f>DATA_MAYO_2026[[#This Row],[RECUPERO]]/DATA_MAYO_2026[[#This Row],[META]]</f>
        <v>1.3888888888888888E-2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SANDY</v>
      </c>
      <c r="P18" s="6">
        <f>VLOOKUP(DATA_MAYO_2026[[#This Row],[ASER_]],D1_MAYO_2026[[ASESOR_CRR]:[RECUPERO]],6,0)</f>
        <v>1000</v>
      </c>
      <c r="Q18" s="6">
        <f>VLOOKUP(DATA_MAYO_2026[[#This Row],[ASER_]],D1_MAYO_2026[[ASESOR_CRR]:[META]],2,0)</f>
        <v>72000</v>
      </c>
      <c r="R18" t="s">
        <v>79</v>
      </c>
      <c r="S18">
        <v>0</v>
      </c>
      <c r="T18">
        <v>1000</v>
      </c>
      <c r="U18">
        <v>0</v>
      </c>
      <c r="AN18" s="55"/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19" s="34" cm="1">
        <f t="array" ref="C19">_xlfn.XLOOKUP(1,(TablaMeta[CONCAT]=$M$3&amp;$N$3&amp;D1_MAYO_2026[[#This Row],[SUPER]])*(TablaMeta[SEGG]=D1_MAYO_2026[[#This Row],[SEGMENTO]]),TablaMeta[Meta_Asesor])</f>
        <v>40500</v>
      </c>
      <c r="D19" s="35">
        <f>IF(D1_MAYO_2026[[#This Row],[RECUPERO]]="VACACIONES","VACACIONES",IFERROR(D1_MAYO_2026[[#This Row],[RECUPERO]]/D1_MAYO_2026[[#This Row],[META]],""))</f>
        <v>0.2965432098765432</v>
      </c>
      <c r="E19" s="35" t="str">
        <f>D1_MAYO_2026[[#This Row],[SUPER]]</f>
        <v>KENNETH</v>
      </c>
      <c r="F19" t="s">
        <v>97</v>
      </c>
      <c r="G19" s="3">
        <v>12010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DATA_MAYO_2026[[#This Row],[RECUPERO]]/DATA_MAYO_2026[[#This Row],[META]]</f>
        <v>2.8055555555555556E-2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SANDY</v>
      </c>
      <c r="P19" s="6">
        <f>VLOOKUP(DATA_MAYO_2026[[#This Row],[ASER_]],D1_MAYO_2026[[ASESOR_CRR]:[RECUPERO]],6,0)</f>
        <v>2020</v>
      </c>
      <c r="Q19" s="6">
        <f>VLOOKUP(DATA_MAYO_2026[[#This Row],[ASER_]],D1_MAYO_2026[[ASESOR_CRR]:[META]],2,0)</f>
        <v>72000</v>
      </c>
      <c r="R19" t="s">
        <v>68</v>
      </c>
      <c r="S19">
        <v>2020</v>
      </c>
      <c r="T19">
        <v>0</v>
      </c>
      <c r="U19">
        <v>0</v>
      </c>
      <c r="AN19" s="55"/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20" s="34" cm="1">
        <f t="array" ref="C20">_xlfn.XLOOKUP(1,(TablaMeta[CONCAT]=$M$3&amp;$N$3&amp;D1_MAYO_2026[[#This Row],[SUPER]])*(TablaMeta[SEGG]=D1_MAYO_2026[[#This Row],[SEGMENTO]]),TablaMeta[Meta_Asesor])</f>
        <v>40500</v>
      </c>
      <c r="D20" s="35">
        <f>IF(D1_MAYO_2026[[#This Row],[RECUPERO]]="VACACIONES","VACACIONES",IFERROR(D1_MAYO_2026[[#This Row],[RECUPERO]]/D1_MAYO_2026[[#This Row],[META]],""))</f>
        <v>0.17061728395061729</v>
      </c>
      <c r="E20" s="35" t="str">
        <f>D1_MAYO_2026[[#This Row],[SUPER]]</f>
        <v>KENNETH</v>
      </c>
      <c r="F20" t="s">
        <v>34</v>
      </c>
      <c r="G20" s="3">
        <v>6910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DATA_MAYO_2026[[#This Row],[RECUPERO]]/DATA_MAYO_2026[[#This Row],[META]]</f>
        <v>0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IFERROR(VLOOKUP(DATA_MAYO_2026[[#This Row],[ASER_]],$B:$G,4,0),"")</f>
        <v>JOHAN</v>
      </c>
      <c r="P20" s="6">
        <f>VLOOKUP(DATA_MAYO_2026[[#This Row],[ASER_]],D1_MAYO_2026[[ASESOR_CRR]:[RECUPERO]],6,0)</f>
        <v>0</v>
      </c>
      <c r="Q20" s="6">
        <f>VLOOKUP(DATA_MAYO_2026[[#This Row],[ASER_]],D1_MAYO_2026[[ASESOR_CRR]:[META]],2,0)</f>
        <v>29500</v>
      </c>
      <c r="R20" t="s">
        <v>564</v>
      </c>
      <c r="S20">
        <v>0</v>
      </c>
      <c r="T20">
        <v>0</v>
      </c>
      <c r="U20">
        <v>0</v>
      </c>
      <c r="AN20" s="55"/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21" s="34" cm="1">
        <f t="array" ref="C21">_xlfn.XLOOKUP(1,(TablaMeta[CONCAT]=$M$3&amp;$N$3&amp;D1_MAYO_2026[[#This Row],[SUPER]])*(TablaMeta[SEGG]=D1_MAYO_2026[[#This Row],[SEGMENTO]]),TablaMeta[Meta_Asesor])</f>
        <v>40500</v>
      </c>
      <c r="D21" s="35">
        <f>IF(D1_MAYO_2026[[#This Row],[RECUPERO]]="VACACIONES","VACACIONES",IFERROR(D1_MAYO_2026[[#This Row],[RECUPERO]]/D1_MAYO_2026[[#This Row],[META]],""))</f>
        <v>0.1111111111111111</v>
      </c>
      <c r="E21" s="35" t="str">
        <f>D1_MAYO_2026[[#This Row],[SUPER]]</f>
        <v>KENNETH</v>
      </c>
      <c r="F21" t="s">
        <v>11</v>
      </c>
      <c r="G21" s="3">
        <v>4500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DATA_MAYO_2026[[#This Row],[RECUPERO]]/DATA_MAYO_2026[[#This Row],[META]]</f>
        <v>0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IFERROR(VLOOKUP(DATA_MAYO_2026[[#This Row],[ASER_]],$B:$G,4,0),"")</f>
        <v>JOHAN</v>
      </c>
      <c r="P21" s="6">
        <f>VLOOKUP(DATA_MAYO_2026[[#This Row],[ASER_]],D1_MAYO_2026[[ASESOR_CRR]:[RECUPERO]],6,0)</f>
        <v>0</v>
      </c>
      <c r="Q21" s="6">
        <f>VLOOKUP(DATA_MAYO_2026[[#This Row],[ASER_]],D1_MAYO_2026[[ASESOR_CRR]:[META]],2,0)</f>
        <v>29500</v>
      </c>
      <c r="R21" t="s">
        <v>109</v>
      </c>
      <c r="S21">
        <v>0</v>
      </c>
      <c r="T21">
        <v>0</v>
      </c>
      <c r="U21">
        <v>0</v>
      </c>
      <c r="AN21" s="55"/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22" s="34" cm="1">
        <f t="array" ref="C22">_xlfn.XLOOKUP(1,(TablaMeta[CONCAT]=$M$3&amp;$N$3&amp;D1_MAYO_2026[[#This Row],[SUPER]])*(TablaMeta[SEGG]=D1_MAYO_2026[[#This Row],[SEGMENTO]]),TablaMeta[Meta_Asesor])</f>
        <v>40500</v>
      </c>
      <c r="D22" s="35">
        <f>IF(D1_MAYO_2026[[#This Row],[RECUPERO]]="VACACIONES","VACACIONES",IFERROR(D1_MAYO_2026[[#This Row],[RECUPERO]]/D1_MAYO_2026[[#This Row],[META]],""))</f>
        <v>9.8765432098765427E-2</v>
      </c>
      <c r="E22" s="35" t="str">
        <f>D1_MAYO_2026[[#This Row],[SUPER]]</f>
        <v>KENNETH</v>
      </c>
      <c r="F22" t="s">
        <v>105</v>
      </c>
      <c r="G22" s="3">
        <v>4000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DATA_MAYO_2026[[#This Row],[RECUPERO]]/DATA_MAYO_2026[[#This Row],[META]]</f>
        <v>3.4915254237288133E-2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IFERROR(VLOOKUP(DATA_MAYO_2026[[#This Row],[ASER_]],$B:$G,4,0),"")</f>
        <v>JOHAN</v>
      </c>
      <c r="P22" s="6">
        <f>VLOOKUP(DATA_MAYO_2026[[#This Row],[ASER_]],D1_MAYO_2026[[ASESOR_CRR]:[RECUPERO]],6,0)</f>
        <v>1030</v>
      </c>
      <c r="Q22" s="6">
        <f>VLOOKUP(DATA_MAYO_2026[[#This Row],[ASER_]],D1_MAYO_2026[[ASESOR_CRR]:[META]],2,0)</f>
        <v>29500</v>
      </c>
      <c r="R22" t="s">
        <v>75</v>
      </c>
      <c r="S22">
        <v>0</v>
      </c>
      <c r="T22">
        <v>800</v>
      </c>
      <c r="U22">
        <v>230</v>
      </c>
      <c r="AN22" s="55"/>
      <c r="AT22" s="47"/>
      <c r="BH22" s="47"/>
      <c r="BI22" s="45"/>
      <c r="BL22" s="45"/>
    </row>
    <row r="23" spans="1:66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23" s="34" cm="1">
        <f t="array" ref="C23">_xlfn.XLOOKUP(1,(TablaMeta[CONCAT]=$M$3&amp;$N$3&amp;D1_MAYO_2026[[#This Row],[SUPER]])*(TablaMeta[SEGG]=D1_MAYO_2026[[#This Row],[SEGMENTO]]),TablaMeta[Meta_Asesor])</f>
        <v>40500</v>
      </c>
      <c r="D23" s="35">
        <f>IF(D1_MAYO_2026[[#This Row],[RECUPERO]]="VACACIONES","VACACIONES",IFERROR(D1_MAYO_2026[[#This Row],[RECUPERO]]/D1_MAYO_2026[[#This Row],[META]],""))</f>
        <v>7.2592592592592597E-2</v>
      </c>
      <c r="E23" s="35" t="str">
        <f>D1_MAYO_2026[[#This Row],[SUPER]]</f>
        <v>KENNETH</v>
      </c>
      <c r="F23" t="s">
        <v>35</v>
      </c>
      <c r="G23" s="3">
        <v>2940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DATA_MAYO_2026[[#This Row],[RECUPERO]]/DATA_MAYO_2026[[#This Row],[META]]</f>
        <v>6.7796610169491525E-2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IFERROR(VLOOKUP(DATA_MAYO_2026[[#This Row],[ASER_]],$B:$G,4,0),"")</f>
        <v>JOHAN</v>
      </c>
      <c r="P23" s="6">
        <f>VLOOKUP(DATA_MAYO_2026[[#This Row],[ASER_]],D1_MAYO_2026[[ASESOR_CRR]:[RECUPERO]],6,0)</f>
        <v>2000</v>
      </c>
      <c r="Q23" s="6">
        <f>VLOOKUP(DATA_MAYO_2026[[#This Row],[ASER_]],D1_MAYO_2026[[ASESOR_CRR]:[META]],2,0)</f>
        <v>29500</v>
      </c>
      <c r="R23" t="s">
        <v>72</v>
      </c>
      <c r="S23">
        <v>0</v>
      </c>
      <c r="T23">
        <v>0</v>
      </c>
      <c r="U23">
        <v>2000</v>
      </c>
      <c r="AN23" s="55"/>
      <c r="BH23" s="45"/>
    </row>
    <row r="24" spans="1:66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24" s="34" cm="1">
        <f t="array" ref="C24">_xlfn.XLOOKUP(1,(TablaMeta[CONCAT]=$M$3&amp;$N$3&amp;D1_MAYO_2026[[#This Row],[SUPER]])*(TablaMeta[SEGG]=D1_MAYO_2026[[#This Row],[SEGMENTO]]),TablaMeta[Meta_Asesor])</f>
        <v>40500</v>
      </c>
      <c r="D24" s="35">
        <f>IF(D1_MAYO_2026[[#This Row],[RECUPERO]]="VACACIONES","VACACIONES",IFERROR(D1_MAYO_2026[[#This Row],[RECUPERO]]/D1_MAYO_2026[[#This Row],[META]],""))</f>
        <v>2.6666666666666668E-2</v>
      </c>
      <c r="E24" s="35" t="str">
        <f>D1_MAYO_2026[[#This Row],[SUPER]]</f>
        <v>KENNETH</v>
      </c>
      <c r="F24" t="s">
        <v>31</v>
      </c>
      <c r="G24" s="3">
        <v>1080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DATA_MAYO_2026[[#This Row],[RECUPERO]]/DATA_MAYO_2026[[#This Row],[META]]</f>
        <v>7.1186440677966098E-3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IFERROR(VLOOKUP(DATA_MAYO_2026[[#This Row],[ASER_]],$B:$G,4,0),"")</f>
        <v>JOHAN</v>
      </c>
      <c r="P24" s="6">
        <f>VLOOKUP(DATA_MAYO_2026[[#This Row],[ASER_]],D1_MAYO_2026[[ASESOR_CRR]:[RECUPERO]],6,0)</f>
        <v>210</v>
      </c>
      <c r="Q24" s="6">
        <f>VLOOKUP(DATA_MAYO_2026[[#This Row],[ASER_]],D1_MAYO_2026[[ASESOR_CRR]:[META]],2,0)</f>
        <v>29500</v>
      </c>
      <c r="R24" t="s">
        <v>12</v>
      </c>
      <c r="S24">
        <v>0</v>
      </c>
      <c r="T24">
        <v>0</v>
      </c>
      <c r="U24">
        <v>210</v>
      </c>
      <c r="AN24" s="55"/>
      <c r="BL24" s="45"/>
    </row>
    <row r="25" spans="1:66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25" s="34" cm="1">
        <f t="array" ref="C25">_xlfn.XLOOKUP(1,(TablaMeta[CONCAT]=$M$3&amp;$N$3&amp;D1_MAYO_2026[[#This Row],[SUPER]])*(TablaMeta[SEGG]=D1_MAYO_2026[[#This Row],[SEGMENTO]]),TablaMeta[Meta_Asesor])</f>
        <v>40500</v>
      </c>
      <c r="D25" s="35">
        <f>IF(D1_MAYO_2026[[#This Row],[RECUPERO]]="VACACIONES","VACACIONES",IFERROR(D1_MAYO_2026[[#This Row],[RECUPERO]]/D1_MAYO_2026[[#This Row],[META]],""))</f>
        <v>7.4074074074074077E-3</v>
      </c>
      <c r="E25" s="35" t="str">
        <f>D1_MAYO_2026[[#This Row],[SUPER]]</f>
        <v>KENNETH</v>
      </c>
      <c r="F25" t="s">
        <v>19</v>
      </c>
      <c r="G25" s="3">
        <v>300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DATA_MAYO_2026[[#This Row],[RECUPERO]]/DATA_MAYO_2026[[#This Row],[META]]</f>
        <v>7.1186440677966104E-2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IFERROR(VLOOKUP(DATA_MAYO_2026[[#This Row],[ASER_]],$B:$G,4,0),"")</f>
        <v>JOHAN</v>
      </c>
      <c r="P25" s="6">
        <f>VLOOKUP(DATA_MAYO_2026[[#This Row],[ASER_]],D1_MAYO_2026[[ASESOR_CRR]:[RECUPERO]],6,0)</f>
        <v>2100</v>
      </c>
      <c r="Q25" s="6">
        <f>VLOOKUP(DATA_MAYO_2026[[#This Row],[ASER_]],D1_MAYO_2026[[ASESOR_CRR]:[META]],2,0)</f>
        <v>29500</v>
      </c>
      <c r="R25" t="s">
        <v>495</v>
      </c>
      <c r="S25" s="45">
        <v>1000</v>
      </c>
      <c r="T25">
        <v>0</v>
      </c>
      <c r="U25">
        <v>1100</v>
      </c>
      <c r="AN25" s="55"/>
    </row>
    <row r="26" spans="1:66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26" s="34" cm="1">
        <f t="array" ref="C26">_xlfn.XLOOKUP(1,(TablaMeta[CONCAT]=$M$3&amp;$N$3&amp;D1_MAYO_2026[[#This Row],[SUPER]])*(TablaMeta[SEGG]=D1_MAYO_2026[[#This Row],[SEGMENTO]]),TablaMeta[Meta_Asesor])</f>
        <v>40500</v>
      </c>
      <c r="D26" s="35">
        <f>IF(D1_MAYO_2026[[#This Row],[RECUPERO]]="VACACIONES","VACACIONES",IFERROR(D1_MAYO_2026[[#This Row],[RECUPERO]]/D1_MAYO_2026[[#This Row],[META]],""))</f>
        <v>0</v>
      </c>
      <c r="E26" s="35" t="str">
        <f>D1_MAYO_2026[[#This Row],[SUPER]]</f>
        <v>KENNETH</v>
      </c>
      <c r="F26" t="s">
        <v>38</v>
      </c>
      <c r="G26" s="3">
        <v>0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DATA_MAYO_2026[[#This Row],[RECUPERO]]/DATA_MAYO_2026[[#This Row],[META]]</f>
        <v>0.12542372881355932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IFERROR(VLOOKUP(DATA_MAYO_2026[[#This Row],[ASER_]],$B:$G,4,0),"")</f>
        <v>JOHAN</v>
      </c>
      <c r="P26" s="6">
        <f>VLOOKUP(DATA_MAYO_2026[[#This Row],[ASER_]],D1_MAYO_2026[[ASESOR_CRR]:[RECUPERO]],6,0)</f>
        <v>3700</v>
      </c>
      <c r="Q26" s="6">
        <f>VLOOKUP(DATA_MAYO_2026[[#This Row],[ASER_]],D1_MAYO_2026[[ASESOR_CRR]:[META]],2,0)</f>
        <v>29500</v>
      </c>
      <c r="R26" t="s">
        <v>26</v>
      </c>
      <c r="S26" s="45">
        <v>0</v>
      </c>
      <c r="T26">
        <v>0</v>
      </c>
      <c r="U26">
        <v>3700</v>
      </c>
      <c r="AN26" s="55"/>
    </row>
    <row r="27" spans="1:66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27" s="34" cm="1">
        <f t="array" ref="C27">_xlfn.XLOOKUP(1,(TablaMeta[CONCAT]=$M$3&amp;$N$3&amp;D1_MAYO_2026[[#This Row],[SUPER]])*(TablaMeta[SEGG]=D1_MAYO_2026[[#This Row],[SEGMENTO]]),TablaMeta[Meta_Asesor])</f>
        <v>29500</v>
      </c>
      <c r="D27" s="35">
        <f>IF(D1_MAYO_2026[[#This Row],[RECUPERO]]="VACACIONES","VACACIONES",IFERROR(D1_MAYO_2026[[#This Row],[RECUPERO]]/D1_MAYO_2026[[#This Row],[META]],""))</f>
        <v>0.12542372881355932</v>
      </c>
      <c r="E27" s="35" t="str">
        <f>D1_MAYO_2026[[#This Row],[SUPER]]</f>
        <v>JOHAN</v>
      </c>
      <c r="F27" t="s">
        <v>26</v>
      </c>
      <c r="G27" s="3">
        <v>3700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DATA_MAYO_2026[[#This Row],[RECUPERO]]/DATA_MAYO_2026[[#This Row],[META]]</f>
        <v>7.4576271186440682E-2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IFERROR(VLOOKUP(DATA_MAYO_2026[[#This Row],[ASER_]],$B:$G,4,0),"")</f>
        <v>JOHAN</v>
      </c>
      <c r="P27" s="6">
        <f>VLOOKUP(DATA_MAYO_2026[[#This Row],[ASER_]],D1_MAYO_2026[[ASESOR_CRR]:[RECUPERO]],6,0)</f>
        <v>2200</v>
      </c>
      <c r="Q27" s="6">
        <f>VLOOKUP(DATA_MAYO_2026[[#This Row],[ASER_]],D1_MAYO_2026[[ASESOR_CRR]:[META]],2,0)</f>
        <v>29500</v>
      </c>
      <c r="R27" t="s">
        <v>80</v>
      </c>
      <c r="S27">
        <v>1000</v>
      </c>
      <c r="T27">
        <v>0</v>
      </c>
      <c r="U27">
        <v>1200</v>
      </c>
      <c r="AN27" s="55"/>
    </row>
    <row r="28" spans="1:66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28" s="34" cm="1">
        <f t="array" ref="C28">_xlfn.XLOOKUP(1,(TablaMeta[CONCAT]=$M$3&amp;$N$3&amp;D1_MAYO_2026[[#This Row],[SUPER]])*(TablaMeta[SEGG]=D1_MAYO_2026[[#This Row],[SEGMENTO]]),TablaMeta[Meta_Asesor])</f>
        <v>29500</v>
      </c>
      <c r="D28" s="35">
        <f>IF(D1_MAYO_2026[[#This Row],[RECUPERO]]="VACACIONES","VACACIONES",IFERROR(D1_MAYO_2026[[#This Row],[RECUPERO]]/D1_MAYO_2026[[#This Row],[META]],""))</f>
        <v>7.4576271186440682E-2</v>
      </c>
      <c r="E28" s="35" t="str">
        <f>D1_MAYO_2026[[#This Row],[SUPER]]</f>
        <v>JOHAN</v>
      </c>
      <c r="F28" t="s">
        <v>80</v>
      </c>
      <c r="G28" s="3">
        <v>2200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DATA_MAYO_2026[[#This Row],[RECUPERO]]/DATA_MAYO_2026[[#This Row],[META]]</f>
        <v>1.4847457627118645E-2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IFERROR(VLOOKUP(DATA_MAYO_2026[[#This Row],[ASER_]],$B:$G,4,0),"")</f>
        <v>JOHAN</v>
      </c>
      <c r="P28" s="6">
        <f>VLOOKUP(DATA_MAYO_2026[[#This Row],[ASER_]],D1_MAYO_2026[[ASESOR_CRR]:[RECUPERO]],6,0)</f>
        <v>438</v>
      </c>
      <c r="Q28" s="6">
        <f>VLOOKUP(DATA_MAYO_2026[[#This Row],[ASER_]],D1_MAYO_2026[[ASESOR_CRR]:[META]],2,0)</f>
        <v>29500</v>
      </c>
      <c r="R28" t="s">
        <v>61</v>
      </c>
      <c r="S28">
        <v>0</v>
      </c>
      <c r="T28">
        <v>0</v>
      </c>
      <c r="U28">
        <v>438</v>
      </c>
      <c r="AN28" s="55"/>
    </row>
    <row r="29" spans="1:66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29" s="34" cm="1">
        <f t="array" ref="C29">_xlfn.XLOOKUP(1,(TablaMeta[CONCAT]=$M$3&amp;$N$3&amp;D1_MAYO_2026[[#This Row],[SUPER]])*(TablaMeta[SEGG]=D1_MAYO_2026[[#This Row],[SEGMENTO]]),TablaMeta[Meta_Asesor])</f>
        <v>29500</v>
      </c>
      <c r="D29" s="35">
        <f>IF(D1_MAYO_2026[[#This Row],[RECUPERO]]="VACACIONES","VACACIONES",IFERROR(D1_MAYO_2026[[#This Row],[RECUPERO]]/D1_MAYO_2026[[#This Row],[META]],""))</f>
        <v>7.1186440677966104E-2</v>
      </c>
      <c r="E29" s="35" t="str">
        <f>D1_MAYO_2026[[#This Row],[SUPER]]</f>
        <v>JOHAN</v>
      </c>
      <c r="F29" t="s">
        <v>495</v>
      </c>
      <c r="G29" s="3">
        <v>2100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DATA_MAYO_2026[[#This Row],[RECUPERO]]/DATA_MAYO_2026[[#This Row],[META]]</f>
        <v>0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IFERROR(VLOOKUP(DATA_MAYO_2026[[#This Row],[ASER_]],$B:$G,4,0),"")</f>
        <v>JOHAN</v>
      </c>
      <c r="P29" s="6">
        <f>VLOOKUP(DATA_MAYO_2026[[#This Row],[ASER_]],D1_MAYO_2026[[ASESOR_CRR]:[RECUPERO]],6,0)</f>
        <v>0</v>
      </c>
      <c r="Q29" s="6">
        <f>VLOOKUP(DATA_MAYO_2026[[#This Row],[ASER_]],D1_MAYO_2026[[ASESOR_CRR]:[META]],2,0)</f>
        <v>29500</v>
      </c>
      <c r="R29" t="s">
        <v>41</v>
      </c>
      <c r="S29" s="47">
        <v>0</v>
      </c>
      <c r="T29">
        <v>0</v>
      </c>
      <c r="U29" s="45">
        <v>0</v>
      </c>
      <c r="AN29" s="55"/>
    </row>
    <row r="30" spans="1:66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30" s="34" cm="1">
        <f t="array" ref="C30">_xlfn.XLOOKUP(1,(TablaMeta[CONCAT]=$M$3&amp;$N$3&amp;D1_MAYO_2026[[#This Row],[SUPER]])*(TablaMeta[SEGG]=D1_MAYO_2026[[#This Row],[SEGMENTO]]),TablaMeta[Meta_Asesor])</f>
        <v>29500</v>
      </c>
      <c r="D30" s="35">
        <f>IF(D1_MAYO_2026[[#This Row],[RECUPERO]]="VACACIONES","VACACIONES",IFERROR(D1_MAYO_2026[[#This Row],[RECUPERO]]/D1_MAYO_2026[[#This Row],[META]],""))</f>
        <v>6.7796610169491525E-2</v>
      </c>
      <c r="E30" s="35" t="str">
        <f>D1_MAYO_2026[[#This Row],[SUPER]]</f>
        <v>JOHAN</v>
      </c>
      <c r="F30" t="s">
        <v>72</v>
      </c>
      <c r="G30" s="3">
        <v>2000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DATA_MAYO_2026[[#This Row],[RECUPERO]]/DATA_MAYO_2026[[#This Row],[META]]</f>
        <v>1.8333333333333333E-2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IFERROR(VLOOKUP(DATA_MAYO_2026[[#This Row],[ASER_]],$B:$G,4,0),"")</f>
        <v>LEONOR</v>
      </c>
      <c r="P30" s="6">
        <f>VLOOKUP(DATA_MAYO_2026[[#This Row],[ASER_]],D1_MAYO_2026[[ASESOR_CRR]:[RECUPERO]],6,0)</f>
        <v>220</v>
      </c>
      <c r="Q30" s="6">
        <f>VLOOKUP(DATA_MAYO_2026[[#This Row],[ASER_]],D1_MAYO_2026[[ASESOR_CRR]:[META]],2,0)</f>
        <v>12000</v>
      </c>
      <c r="R30" t="s">
        <v>49</v>
      </c>
      <c r="S30" s="47">
        <v>220</v>
      </c>
      <c r="T30">
        <v>0</v>
      </c>
      <c r="U30">
        <v>0</v>
      </c>
      <c r="AN30" s="55"/>
    </row>
    <row r="31" spans="1:66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31" s="34" cm="1">
        <f t="array" ref="C31">_xlfn.XLOOKUP(1,(TablaMeta[CONCAT]=$M$3&amp;$N$3&amp;D1_MAYO_2026[[#This Row],[SUPER]])*(TablaMeta[SEGG]=D1_MAYO_2026[[#This Row],[SEGMENTO]]),TablaMeta[Meta_Asesor])</f>
        <v>29500</v>
      </c>
      <c r="D31" s="35">
        <f>IF(D1_MAYO_2026[[#This Row],[RECUPERO]]="VACACIONES","VACACIONES",IFERROR(D1_MAYO_2026[[#This Row],[RECUPERO]]/D1_MAYO_2026[[#This Row],[META]],""))</f>
        <v>3.4915254237288133E-2</v>
      </c>
      <c r="E31" s="35" t="str">
        <f>D1_MAYO_2026[[#This Row],[SUPER]]</f>
        <v>JOHAN</v>
      </c>
      <c r="F31" t="s">
        <v>75</v>
      </c>
      <c r="G31" s="3">
        <v>1030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DATA_MAYO_2026[[#This Row],[RECUPERO]]/DATA_MAYO_2026[[#This Row],[META]]</f>
        <v>0.12083333333333333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IFERROR(VLOOKUP(DATA_MAYO_2026[[#This Row],[ASER_]],$B:$G,4,0),"")</f>
        <v>LEONOR</v>
      </c>
      <c r="P31" s="6">
        <f>VLOOKUP(DATA_MAYO_2026[[#This Row],[ASER_]],D1_MAYO_2026[[ASESOR_CRR]:[RECUPERO]],6,0)</f>
        <v>1450</v>
      </c>
      <c r="Q31" s="6">
        <f>VLOOKUP(DATA_MAYO_2026[[#This Row],[ASER_]],D1_MAYO_2026[[ASESOR_CRR]:[META]],2,0)</f>
        <v>12000</v>
      </c>
      <c r="R31" t="s">
        <v>600</v>
      </c>
      <c r="S31" s="47">
        <v>750</v>
      </c>
      <c r="T31">
        <v>700</v>
      </c>
      <c r="U31">
        <v>0</v>
      </c>
      <c r="AN31" s="55"/>
    </row>
    <row r="32" spans="1:66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32" s="34" cm="1">
        <f t="array" ref="C32">_xlfn.XLOOKUP(1,(TablaMeta[CONCAT]=$M$3&amp;$N$3&amp;D1_MAYO_2026[[#This Row],[SUPER]])*(TablaMeta[SEGG]=D1_MAYO_2026[[#This Row],[SEGMENTO]]),TablaMeta[Meta_Asesor])</f>
        <v>29500</v>
      </c>
      <c r="D32" s="35">
        <f>IF(D1_MAYO_2026[[#This Row],[RECUPERO]]="VACACIONES","VACACIONES",IFERROR(D1_MAYO_2026[[#This Row],[RECUPERO]]/D1_MAYO_2026[[#This Row],[META]],""))</f>
        <v>1.4847457627118645E-2</v>
      </c>
      <c r="E32" s="35" t="str">
        <f>D1_MAYO_2026[[#This Row],[SUPER]]</f>
        <v>JOHAN</v>
      </c>
      <c r="F32" t="s">
        <v>61</v>
      </c>
      <c r="G32" s="3">
        <v>438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DATA_MAYO_2026[[#This Row],[RECUPERO]]/DATA_MAYO_2026[[#This Row],[META]]</f>
        <v>8.3333333333333332E-3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IFERROR(VLOOKUP(DATA_MAYO_2026[[#This Row],[ASER_]],$B:$G,4,0),"")</f>
        <v>LEONOR</v>
      </c>
      <c r="P32" s="6">
        <f>VLOOKUP(DATA_MAYO_2026[[#This Row],[ASER_]],D1_MAYO_2026[[ASESOR_CRR]:[RECUPERO]],6,0)</f>
        <v>100</v>
      </c>
      <c r="Q32" s="6">
        <f>VLOOKUP(DATA_MAYO_2026[[#This Row],[ASER_]],D1_MAYO_2026[[ASESOR_CRR]:[META]],2,0)</f>
        <v>12000</v>
      </c>
      <c r="R32" t="s">
        <v>51</v>
      </c>
      <c r="S32" s="47">
        <v>100</v>
      </c>
      <c r="T32">
        <v>0</v>
      </c>
      <c r="U32">
        <v>0</v>
      </c>
      <c r="AN32" s="55"/>
    </row>
    <row r="33" spans="1:40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33" s="34" cm="1">
        <f t="array" ref="C33">_xlfn.XLOOKUP(1,(TablaMeta[CONCAT]=$M$3&amp;$N$3&amp;D1_MAYO_2026[[#This Row],[SUPER]])*(TablaMeta[SEGG]=D1_MAYO_2026[[#This Row],[SEGMENTO]]),TablaMeta[Meta_Asesor])</f>
        <v>29500</v>
      </c>
      <c r="D33" s="35">
        <f>IF(D1_MAYO_2026[[#This Row],[RECUPERO]]="VACACIONES","VACACIONES",IFERROR(D1_MAYO_2026[[#This Row],[RECUPERO]]/D1_MAYO_2026[[#This Row],[META]],""))</f>
        <v>7.1186440677966098E-3</v>
      </c>
      <c r="E33" s="35" t="str">
        <f>D1_MAYO_2026[[#This Row],[SUPER]]</f>
        <v>JOHAN</v>
      </c>
      <c r="F33" t="s">
        <v>12</v>
      </c>
      <c r="G33" s="3">
        <v>210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DATA_MAYO_2026[[#This Row],[RECUPERO]]/DATA_MAYO_2026[[#This Row],[META]]</f>
        <v>0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IFERROR(VLOOKUP(DATA_MAYO_2026[[#This Row],[ASER_]],$B:$G,4,0),"")</f>
        <v>LEONOR</v>
      </c>
      <c r="P33" s="6">
        <f>VLOOKUP(DATA_MAYO_2026[[#This Row],[ASER_]],D1_MAYO_2026[[ASESOR_CRR]:[RECUPERO]],6,0)</f>
        <v>0</v>
      </c>
      <c r="Q33" s="6">
        <f>VLOOKUP(DATA_MAYO_2026[[#This Row],[ASER_]],D1_MAYO_2026[[ASESOR_CRR]:[META]],2,0)</f>
        <v>12000</v>
      </c>
      <c r="R33" t="s">
        <v>50</v>
      </c>
      <c r="S33" s="47">
        <v>0</v>
      </c>
      <c r="T33">
        <v>0</v>
      </c>
      <c r="U33">
        <v>0</v>
      </c>
      <c r="AB33" s="6"/>
      <c r="AC33" s="6"/>
      <c r="AD33" s="6"/>
      <c r="AE33" s="6"/>
      <c r="AF33" s="6"/>
      <c r="AG33" s="6"/>
      <c r="AH33" s="6"/>
      <c r="AN33" s="55"/>
    </row>
    <row r="34" spans="1:40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34" s="34" cm="1">
        <f t="array" ref="C34">_xlfn.XLOOKUP(1,(TablaMeta[CONCAT]=$M$3&amp;$N$3&amp;D1_MAYO_2026[[#This Row],[SUPER]])*(TablaMeta[SEGG]=D1_MAYO_2026[[#This Row],[SEGMENTO]]),TablaMeta[Meta_Asesor])</f>
        <v>29500</v>
      </c>
      <c r="D34" s="35">
        <f>IF(D1_MAYO_2026[[#This Row],[RECUPERO]]="VACACIONES","VACACIONES",IFERROR(D1_MAYO_2026[[#This Row],[RECUPERO]]/D1_MAYO_2026[[#This Row],[META]],""))</f>
        <v>0</v>
      </c>
      <c r="E34" s="35" t="str">
        <f>D1_MAYO_2026[[#This Row],[SUPER]]</f>
        <v>JOHAN</v>
      </c>
      <c r="F34" t="s">
        <v>648</v>
      </c>
      <c r="G34" s="3">
        <v>0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6"/>
      <c r="M34" s="5">
        <f>DATA_MAYO_2026[[#This Row],[RECUPERO]]/DATA_MAYO_2026[[#This Row],[META]]</f>
        <v>7.9166666666666663E-2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IFERROR(VLOOKUP(DATA_MAYO_2026[[#This Row],[ASER_]],$B:$G,4,0),"")</f>
        <v>LEONOR</v>
      </c>
      <c r="P34" s="6">
        <f>VLOOKUP(DATA_MAYO_2026[[#This Row],[ASER_]],D1_MAYO_2026[[ASESOR_CRR]:[RECUPERO]],6,0)</f>
        <v>950</v>
      </c>
      <c r="Q34" s="6">
        <f>VLOOKUP(DATA_MAYO_2026[[#This Row],[ASER_]],D1_MAYO_2026[[ASESOR_CRR]:[META]],2,0)</f>
        <v>12000</v>
      </c>
      <c r="R34" t="s">
        <v>73</v>
      </c>
      <c r="S34" s="47">
        <v>0</v>
      </c>
      <c r="T34">
        <v>0</v>
      </c>
      <c r="U34">
        <v>950</v>
      </c>
      <c r="AB34" s="6"/>
      <c r="AC34" s="6"/>
      <c r="AD34" s="6"/>
      <c r="AE34" s="6"/>
      <c r="AF34" s="6"/>
      <c r="AG34" s="6"/>
      <c r="AH34" s="6"/>
      <c r="AN34" s="55"/>
    </row>
    <row r="35" spans="1:40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35" s="34" cm="1">
        <f t="array" ref="C35">_xlfn.XLOOKUP(1,(TablaMeta[CONCAT]=$M$3&amp;$N$3&amp;D1_MAYO_2026[[#This Row],[SUPER]])*(TablaMeta[SEGG]=D1_MAYO_2026[[#This Row],[SEGMENTO]]),TablaMeta[Meta_Asesor])</f>
        <v>29500</v>
      </c>
      <c r="D35" s="35">
        <f>IF(D1_MAYO_2026[[#This Row],[RECUPERO]]="VACACIONES","VACACIONES",IFERROR(D1_MAYO_2026[[#This Row],[RECUPERO]]/D1_MAYO_2026[[#This Row],[META]],""))</f>
        <v>0</v>
      </c>
      <c r="E35" s="35" t="str">
        <f>D1_MAYO_2026[[#This Row],[SUPER]]</f>
        <v>JOHAN</v>
      </c>
      <c r="F35" t="s">
        <v>109</v>
      </c>
      <c r="G35" s="3">
        <v>0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6"/>
      <c r="M35" s="5">
        <f>DATA_MAYO_2026[[#This Row],[RECUPERO]]/DATA_MAYO_2026[[#This Row],[META]]</f>
        <v>5.4166666666666669E-2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IFERROR(VLOOKUP(DATA_MAYO_2026[[#This Row],[ASER_]],$B:$G,4,0),"")</f>
        <v>LEONOR</v>
      </c>
      <c r="P35" s="6">
        <f>VLOOKUP(DATA_MAYO_2026[[#This Row],[ASER_]],D1_MAYO_2026[[ASESOR_CRR]:[RECUPERO]],6,0)</f>
        <v>650</v>
      </c>
      <c r="Q35" s="6">
        <f>VLOOKUP(DATA_MAYO_2026[[#This Row],[ASER_]],D1_MAYO_2026[[ASESOR_CRR]:[META]],2,0)</f>
        <v>12000</v>
      </c>
      <c r="R35" t="s">
        <v>599</v>
      </c>
      <c r="S35" s="45">
        <v>0</v>
      </c>
      <c r="T35">
        <v>300</v>
      </c>
      <c r="U35">
        <v>350</v>
      </c>
      <c r="W35" s="5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5"/>
    </row>
    <row r="36" spans="1:40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36" s="34" cm="1">
        <f t="array" ref="C36">_xlfn.XLOOKUP(1,(TablaMeta[CONCAT]=$M$3&amp;$N$3&amp;D1_MAYO_2026[[#This Row],[SUPER]])*(TablaMeta[SEGG]=D1_MAYO_2026[[#This Row],[SEGMENTO]]),TablaMeta[Meta_Asesor])</f>
        <v>29500</v>
      </c>
      <c r="D36" s="35">
        <f>IF(D1_MAYO_2026[[#This Row],[RECUPERO]]="VACACIONES","VACACIONES",IFERROR(D1_MAYO_2026[[#This Row],[RECUPERO]]/D1_MAYO_2026[[#This Row],[META]],""))</f>
        <v>0</v>
      </c>
      <c r="E36" s="35" t="str">
        <f>D1_MAYO_2026[[#This Row],[SUPER]]</f>
        <v>JOHAN</v>
      </c>
      <c r="F36" t="s">
        <v>41</v>
      </c>
      <c r="G36" s="3">
        <v>0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6"/>
      <c r="M36" s="5">
        <f>DATA_MAYO_2026[[#This Row],[RECUPERO]]/DATA_MAYO_2026[[#This Row],[META]]</f>
        <v>1.6666666666666666E-2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IFERROR(VLOOKUP(DATA_MAYO_2026[[#This Row],[ASER_]],$B:$G,4,0),"")</f>
        <v>LEONOR</v>
      </c>
      <c r="P36" s="6">
        <f>VLOOKUP(DATA_MAYO_2026[[#This Row],[ASER_]],D1_MAYO_2026[[ASESOR_CRR]:[RECUPERO]],6,0)</f>
        <v>200</v>
      </c>
      <c r="Q36" s="6">
        <f>VLOOKUP(DATA_MAYO_2026[[#This Row],[ASER_]],D1_MAYO_2026[[ASESOR_CRR]:[META]],2,0)</f>
        <v>12000</v>
      </c>
      <c r="R36" t="s">
        <v>77</v>
      </c>
      <c r="S36" s="45">
        <v>0</v>
      </c>
      <c r="T36">
        <v>0</v>
      </c>
      <c r="U36">
        <v>200</v>
      </c>
      <c r="W36" s="5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5"/>
    </row>
    <row r="37" spans="1:40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37" s="34" cm="1">
        <f t="array" ref="C37">_xlfn.XLOOKUP(1,(TablaMeta[CONCAT]=$M$3&amp;$N$3&amp;D1_MAYO_2026[[#This Row],[SUPER]])*(TablaMeta[SEGG]=D1_MAYO_2026[[#This Row],[SEGMENTO]]),TablaMeta[Meta_Asesor])</f>
        <v>12000</v>
      </c>
      <c r="D37" s="35">
        <f>IF(D1_MAYO_2026[[#This Row],[RECUPERO]]="VACACIONES","VACACIONES",IFERROR(D1_MAYO_2026[[#This Row],[RECUPERO]]/D1_MAYO_2026[[#This Row],[META]],""))</f>
        <v>0.12083333333333333</v>
      </c>
      <c r="E37" s="35" t="str">
        <f>D1_MAYO_2026[[#This Row],[SUPER]]</f>
        <v>LEONOR</v>
      </c>
      <c r="F37" t="s">
        <v>603</v>
      </c>
      <c r="G37" s="3">
        <v>1450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7" s="56"/>
      <c r="M37" s="5">
        <f>DATA_MAYO_2026[[#This Row],[RECUPERO]]/DATA_MAYO_2026[[#This Row],[META]]</f>
        <v>5.8749999999999997E-2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IFERROR(VLOOKUP(DATA_MAYO_2026[[#This Row],[ASER_]],$B:$G,4,0),"")</f>
        <v>LEONOR</v>
      </c>
      <c r="P37" s="6">
        <f>VLOOKUP(DATA_MAYO_2026[[#This Row],[ASER_]],D1_MAYO_2026[[ASESOR_CRR]:[RECUPERO]],6,0)</f>
        <v>705</v>
      </c>
      <c r="Q37" s="6">
        <f>VLOOKUP(DATA_MAYO_2026[[#This Row],[ASER_]],D1_MAYO_2026[[ASESOR_CRR]:[META]],2,0)</f>
        <v>12000</v>
      </c>
      <c r="R37" t="s">
        <v>55</v>
      </c>
      <c r="S37" s="45">
        <v>325</v>
      </c>
      <c r="T37">
        <v>0</v>
      </c>
      <c r="U37">
        <v>380</v>
      </c>
      <c r="W37" s="5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5"/>
    </row>
    <row r="38" spans="1:40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38" s="34" cm="1">
        <f t="array" ref="C38">_xlfn.XLOOKUP(1,(TablaMeta[CONCAT]=$M$3&amp;$N$3&amp;D1_MAYO_2026[[#This Row],[SUPER]])*(TablaMeta[SEGG]=D1_MAYO_2026[[#This Row],[SEGMENTO]]),TablaMeta[Meta_Asesor])</f>
        <v>12000</v>
      </c>
      <c r="D38" s="35">
        <f>IF(D1_MAYO_2026[[#This Row],[RECUPERO]]="VACACIONES","VACACIONES",IFERROR(D1_MAYO_2026[[#This Row],[RECUPERO]]/D1_MAYO_2026[[#This Row],[META]],""))</f>
        <v>7.9166666666666663E-2</v>
      </c>
      <c r="E38" s="35" t="str">
        <f>D1_MAYO_2026[[#This Row],[SUPER]]</f>
        <v>LEONOR</v>
      </c>
      <c r="F38" t="s">
        <v>646</v>
      </c>
      <c r="G38" s="3">
        <v>950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8" s="56"/>
      <c r="M38" s="5">
        <f>DATA_MAYO_2026[[#This Row],[RECUPERO]]/DATA_MAYO_2026[[#This Row],[META]]</f>
        <v>1.2500000000000001E-2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IFERROR(VLOOKUP(DATA_MAYO_2026[[#This Row],[ASER_]],$B:$G,4,0),"")</f>
        <v>LEONOR</v>
      </c>
      <c r="P38" s="6">
        <f>VLOOKUP(DATA_MAYO_2026[[#This Row],[ASER_]],D1_MAYO_2026[[ASESOR_CRR]:[RECUPERO]],6,0)</f>
        <v>150</v>
      </c>
      <c r="Q38" s="6">
        <f>VLOOKUP(DATA_MAYO_2026[[#This Row],[ASER_]],D1_MAYO_2026[[ASESOR_CRR]:[META]],2,0)</f>
        <v>12000</v>
      </c>
      <c r="R38" t="s">
        <v>78</v>
      </c>
      <c r="S38" s="45">
        <v>0</v>
      </c>
      <c r="T38">
        <v>150</v>
      </c>
      <c r="U38">
        <v>0</v>
      </c>
      <c r="W38" s="5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/>
    </row>
    <row r="39" spans="1:40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39" s="34" cm="1">
        <f t="array" ref="C39">_xlfn.XLOOKUP(1,(TablaMeta[CONCAT]=$M$3&amp;$N$3&amp;D1_MAYO_2026[[#This Row],[SUPER]])*(TablaMeta[SEGG]=D1_MAYO_2026[[#This Row],[SEGMENTO]]),TablaMeta[Meta_Asesor])</f>
        <v>12000</v>
      </c>
      <c r="D39" s="35">
        <f>IF(D1_MAYO_2026[[#This Row],[RECUPERO]]="VACACIONES","VACACIONES",IFERROR(D1_MAYO_2026[[#This Row],[RECUPERO]]/D1_MAYO_2026[[#This Row],[META]],""))</f>
        <v>5.8749999999999997E-2</v>
      </c>
      <c r="E39" s="35" t="str">
        <f>D1_MAYO_2026[[#This Row],[SUPER]]</f>
        <v>LEONOR</v>
      </c>
      <c r="F39" t="s">
        <v>55</v>
      </c>
      <c r="G39" s="3">
        <v>705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9" s="56"/>
      <c r="M39" s="5">
        <f>DATA_MAYO_2026[[#This Row],[RECUPERO]]/DATA_MAYO_2026[[#This Row],[META]]</f>
        <v>0.04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IFERROR(VLOOKUP(DATA_MAYO_2026[[#This Row],[ASER_]],$B:$G,4,0),"")</f>
        <v>LEONOR</v>
      </c>
      <c r="P39" s="6">
        <f>VLOOKUP(DATA_MAYO_2026[[#This Row],[ASER_]],D1_MAYO_2026[[ASESOR_CRR]:[RECUPERO]],6,0)</f>
        <v>480</v>
      </c>
      <c r="Q39" s="6">
        <f>VLOOKUP(DATA_MAYO_2026[[#This Row],[ASER_]],D1_MAYO_2026[[ASESOR_CRR]:[META]],2,0)</f>
        <v>12000</v>
      </c>
      <c r="R39" t="s">
        <v>549</v>
      </c>
      <c r="S39" s="45">
        <v>0</v>
      </c>
      <c r="T39">
        <v>250</v>
      </c>
      <c r="U39">
        <v>230</v>
      </c>
      <c r="W39" s="5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/>
    </row>
    <row r="40" spans="1:40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40" s="34" cm="1">
        <f t="array" ref="C40">_xlfn.XLOOKUP(1,(TablaMeta[CONCAT]=$M$3&amp;$N$3&amp;D1_MAYO_2026[[#This Row],[SUPER]])*(TablaMeta[SEGG]=D1_MAYO_2026[[#This Row],[SEGMENTO]]),TablaMeta[Meta_Asesor])</f>
        <v>12000</v>
      </c>
      <c r="D40" s="35">
        <f>IF(D1_MAYO_2026[[#This Row],[RECUPERO]]="VACACIONES","VACACIONES",IFERROR(D1_MAYO_2026[[#This Row],[RECUPERO]]/D1_MAYO_2026[[#This Row],[META]],""))</f>
        <v>5.4166666666666669E-2</v>
      </c>
      <c r="E40" s="35" t="str">
        <f>D1_MAYO_2026[[#This Row],[SUPER]]</f>
        <v>LEONOR</v>
      </c>
      <c r="F40" t="s">
        <v>642</v>
      </c>
      <c r="G40" s="3">
        <v>650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0" s="56"/>
      <c r="M40" s="5">
        <f>DATA_MAYO_2026[[#This Row],[RECUPERO]]/DATA_MAYO_2026[[#This Row],[META]]</f>
        <v>0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IFERROR(VLOOKUP(DATA_MAYO_2026[[#This Row],[ASER_]],$B:$G,4,0),"")</f>
        <v>LEONOR</v>
      </c>
      <c r="P40" s="6">
        <f>VLOOKUP(DATA_MAYO_2026[[#This Row],[ASER_]],D1_MAYO_2026[[ASESOR_CRR]:[RECUPERO]],6,0)</f>
        <v>0</v>
      </c>
      <c r="Q40" s="6">
        <f>VLOOKUP(DATA_MAYO_2026[[#This Row],[ASER_]],D1_MAYO_2026[[ASESOR_CRR]:[META]],2,0)</f>
        <v>12000</v>
      </c>
      <c r="R40" t="s">
        <v>640</v>
      </c>
      <c r="S40">
        <v>0</v>
      </c>
      <c r="T40">
        <v>0</v>
      </c>
      <c r="U40">
        <v>0</v>
      </c>
      <c r="W40" s="5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/>
    </row>
    <row r="41" spans="1:40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41" s="34" cm="1">
        <f t="array" ref="C41">_xlfn.XLOOKUP(1,(TablaMeta[CONCAT]=$M$3&amp;$N$3&amp;D1_MAYO_2026[[#This Row],[SUPER]])*(TablaMeta[SEGG]=D1_MAYO_2026[[#This Row],[SEGMENTO]]),TablaMeta[Meta_Asesor])</f>
        <v>12000</v>
      </c>
      <c r="D41" s="35">
        <f>IF(D1_MAYO_2026[[#This Row],[RECUPERO]]="VACACIONES","VACACIONES",IFERROR(D1_MAYO_2026[[#This Row],[RECUPERO]]/D1_MAYO_2026[[#This Row],[META]],""))</f>
        <v>4.816666666666667E-2</v>
      </c>
      <c r="E41" s="35" t="str">
        <f>D1_MAYO_2026[[#This Row],[SUPER]]</f>
        <v>LEONOR</v>
      </c>
      <c r="F41" t="s">
        <v>641</v>
      </c>
      <c r="G41" s="3">
        <v>578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1" s="56"/>
      <c r="M41" s="5">
        <f>DATA_MAYO_2026[[#This Row],[RECUPERO]]/DATA_MAYO_2026[[#This Row],[META]]</f>
        <v>4.816666666666667E-2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IFERROR(VLOOKUP(DATA_MAYO_2026[[#This Row],[ASER_]],$B:$G,4,0),"")</f>
        <v>LEONOR</v>
      </c>
      <c r="P41" s="6">
        <f>VLOOKUP(DATA_MAYO_2026[[#This Row],[ASER_]],D1_MAYO_2026[[ASESOR_CRR]:[RECUPERO]],6,0)</f>
        <v>578</v>
      </c>
      <c r="Q41" s="6">
        <f>VLOOKUP(DATA_MAYO_2026[[#This Row],[ASER_]],D1_MAYO_2026[[ASESOR_CRR]:[META]],2,0)</f>
        <v>12000</v>
      </c>
      <c r="R41" t="s">
        <v>37</v>
      </c>
      <c r="S41" s="45">
        <v>225</v>
      </c>
      <c r="T41">
        <v>353</v>
      </c>
      <c r="U41">
        <v>0</v>
      </c>
      <c r="X41" s="5"/>
      <c r="Y41" s="77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/>
    </row>
    <row r="42" spans="1:40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42" s="34" cm="1">
        <f t="array" ref="C42">_xlfn.XLOOKUP(1,(TablaMeta[CONCAT]=$M$3&amp;$N$3&amp;D1_MAYO_2026[[#This Row],[SUPER]])*(TablaMeta[SEGG]=D1_MAYO_2026[[#This Row],[SEGMENTO]]),TablaMeta[Meta_Asesor])</f>
        <v>12000</v>
      </c>
      <c r="D42" s="35">
        <f>IF(D1_MAYO_2026[[#This Row],[RECUPERO]]="VACACIONES","VACACIONES",IFERROR(D1_MAYO_2026[[#This Row],[RECUPERO]]/D1_MAYO_2026[[#This Row],[META]],""))</f>
        <v>0.04</v>
      </c>
      <c r="E42" s="35" t="str">
        <f>D1_MAYO_2026[[#This Row],[SUPER]]</f>
        <v>LEONOR</v>
      </c>
      <c r="F42" t="s">
        <v>647</v>
      </c>
      <c r="G42" s="3">
        <v>480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2" s="56"/>
      <c r="M42" s="5">
        <f>DATA_MAYO_2026[[#This Row],[RECUPERO]]/DATA_MAYO_2026[[#This Row],[META]]</f>
        <v>2.6666666666666668E-2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IFERROR(VLOOKUP(DATA_MAYO_2026[[#This Row],[ASER_]],$B:$G,4,0),"")</f>
        <v>KENNETH</v>
      </c>
      <c r="P42" s="6">
        <f>VLOOKUP(DATA_MAYO_2026[[#This Row],[ASER_]],D1_MAYO_2026[[ASESOR_CRR]:[RECUPERO]],6,0)</f>
        <v>1080</v>
      </c>
      <c r="Q42" s="6">
        <f>VLOOKUP(DATA_MAYO_2026[[#This Row],[ASER_]],D1_MAYO_2026[[ASESOR_CRR]:[META]],2,0)</f>
        <v>40500</v>
      </c>
      <c r="R42" t="s">
        <v>31</v>
      </c>
      <c r="S42" s="3">
        <v>1000</v>
      </c>
      <c r="T42">
        <v>80</v>
      </c>
      <c r="U42">
        <v>0</v>
      </c>
      <c r="X42" s="5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/>
    </row>
    <row r="43" spans="1:40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43" s="34" cm="1">
        <f t="array" ref="C43">_xlfn.XLOOKUP(1,(TablaMeta[CONCAT]=$M$3&amp;$N$3&amp;D1_MAYO_2026[[#This Row],[SUPER]])*(TablaMeta[SEGG]=D1_MAYO_2026[[#This Row],[SEGMENTO]]),TablaMeta[Meta_Asesor])</f>
        <v>12000</v>
      </c>
      <c r="D43" s="35">
        <f>IF(D1_MAYO_2026[[#This Row],[RECUPERO]]="VACACIONES","VACACIONES",IFERROR(D1_MAYO_2026[[#This Row],[RECUPERO]]/D1_MAYO_2026[[#This Row],[META]],""))</f>
        <v>1.8333333333333333E-2</v>
      </c>
      <c r="E43" s="35" t="str">
        <f>D1_MAYO_2026[[#This Row],[SUPER]]</f>
        <v>LEONOR</v>
      </c>
      <c r="F43" t="s">
        <v>49</v>
      </c>
      <c r="G43" s="3">
        <v>220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3" s="56"/>
      <c r="M43" s="5">
        <f>DATA_MAYO_2026[[#This Row],[RECUPERO]]/DATA_MAYO_2026[[#This Row],[META]]</f>
        <v>0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IFERROR(VLOOKUP(DATA_MAYO_2026[[#This Row],[ASER_]],$B:$G,4,0),"")</f>
        <v>KENNETH</v>
      </c>
      <c r="P43" s="6">
        <f>VLOOKUP(DATA_MAYO_2026[[#This Row],[ASER_]],D1_MAYO_2026[[ASESOR_CRR]:[RECUPERO]],6,0)</f>
        <v>0</v>
      </c>
      <c r="Q43" s="6">
        <f>VLOOKUP(DATA_MAYO_2026[[#This Row],[ASER_]],D1_MAYO_2026[[ASESOR_CRR]:[META]],2,0)</f>
        <v>40500</v>
      </c>
      <c r="R43" t="s">
        <v>38</v>
      </c>
      <c r="S43" s="3">
        <v>0</v>
      </c>
      <c r="T43">
        <v>0</v>
      </c>
      <c r="U43">
        <v>0</v>
      </c>
      <c r="X43" s="5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/>
    </row>
    <row r="44" spans="1:40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44" s="34" cm="1">
        <f t="array" ref="C44">_xlfn.XLOOKUP(1,(TablaMeta[CONCAT]=$M$3&amp;$N$3&amp;D1_MAYO_2026[[#This Row],[SUPER]])*(TablaMeta[SEGG]=D1_MAYO_2026[[#This Row],[SEGMENTO]]),TablaMeta[Meta_Asesor])</f>
        <v>12000</v>
      </c>
      <c r="D44" s="35">
        <f>IF(D1_MAYO_2026[[#This Row],[RECUPERO]]="VACACIONES","VACACIONES",IFERROR(D1_MAYO_2026[[#This Row],[RECUPERO]]/D1_MAYO_2026[[#This Row],[META]],""))</f>
        <v>1.6666666666666666E-2</v>
      </c>
      <c r="E44" s="35" t="str">
        <f>D1_MAYO_2026[[#This Row],[SUPER]]</f>
        <v>LEONOR</v>
      </c>
      <c r="F44" t="s">
        <v>77</v>
      </c>
      <c r="G44" s="3">
        <v>200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4" s="56"/>
      <c r="M44" s="5">
        <f>DATA_MAYO_2026[[#This Row],[RECUPERO]]/DATA_MAYO_2026[[#This Row],[META]]</f>
        <v>7.2592592592592597E-2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IFERROR(VLOOKUP(DATA_MAYO_2026[[#This Row],[ASER_]],$B:$G,4,0),"")</f>
        <v>KENNETH</v>
      </c>
      <c r="P44" s="6">
        <f>VLOOKUP(DATA_MAYO_2026[[#This Row],[ASER_]],D1_MAYO_2026[[ASESOR_CRR]:[RECUPERO]],6,0)</f>
        <v>2940</v>
      </c>
      <c r="Q44" s="6">
        <f>VLOOKUP(DATA_MAYO_2026[[#This Row],[ASER_]],D1_MAYO_2026[[ASESOR_CRR]:[META]],2,0)</f>
        <v>40500</v>
      </c>
      <c r="R44" t="s">
        <v>35</v>
      </c>
      <c r="S44" s="3">
        <v>700</v>
      </c>
      <c r="T44">
        <v>2240</v>
      </c>
      <c r="U44">
        <v>0</v>
      </c>
      <c r="X44" s="5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/>
    </row>
    <row r="45" spans="1:40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45" s="34" cm="1">
        <f t="array" ref="C45">_xlfn.XLOOKUP(1,(TablaMeta[CONCAT]=$M$3&amp;$N$3&amp;D1_MAYO_2026[[#This Row],[SUPER]])*(TablaMeta[SEGG]=D1_MAYO_2026[[#This Row],[SEGMENTO]]),TablaMeta[Meta_Asesor])</f>
        <v>12000</v>
      </c>
      <c r="D45" s="35">
        <f>IF(D1_MAYO_2026[[#This Row],[RECUPERO]]="VACACIONES","VACACIONES",IFERROR(D1_MAYO_2026[[#This Row],[RECUPERO]]/D1_MAYO_2026[[#This Row],[META]],""))</f>
        <v>1.2500000000000001E-2</v>
      </c>
      <c r="E45" s="35" t="str">
        <f>D1_MAYO_2026[[#This Row],[SUPER]]</f>
        <v>LEONOR</v>
      </c>
      <c r="F45" t="s">
        <v>643</v>
      </c>
      <c r="G45" s="3">
        <v>150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5" s="56"/>
      <c r="M45" s="5">
        <f>DATA_MAYO_2026[[#This Row],[RECUPERO]]/DATA_MAYO_2026[[#This Row],[META]]</f>
        <v>0.2965432098765432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IFERROR(VLOOKUP(DATA_MAYO_2026[[#This Row],[ASER_]],$B:$G,4,0),"")</f>
        <v>KENNETH</v>
      </c>
      <c r="P45" s="6">
        <f>VLOOKUP(DATA_MAYO_2026[[#This Row],[ASER_]],D1_MAYO_2026[[ASESOR_CRR]:[RECUPERO]],6,0)</f>
        <v>12010</v>
      </c>
      <c r="Q45" s="6">
        <f>VLOOKUP(DATA_MAYO_2026[[#This Row],[ASER_]],D1_MAYO_2026[[ASESOR_CRR]:[META]],2,0)</f>
        <v>40500</v>
      </c>
      <c r="R45" t="s">
        <v>97</v>
      </c>
      <c r="S45" s="3">
        <v>2725</v>
      </c>
      <c r="T45">
        <v>5000</v>
      </c>
      <c r="U45">
        <v>285</v>
      </c>
      <c r="X45" s="5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/>
    </row>
    <row r="46" spans="1:40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46" s="34" cm="1">
        <f t="array" ref="C46">_xlfn.XLOOKUP(1,(TablaMeta[CONCAT]=$M$3&amp;$N$3&amp;D1_MAYO_2026[[#This Row],[SUPER]])*(TablaMeta[SEGG]=D1_MAYO_2026[[#This Row],[SEGMENTO]]),TablaMeta[Meta_Asesor])</f>
        <v>12000</v>
      </c>
      <c r="D46" s="35">
        <f>IF(D1_MAYO_2026[[#This Row],[RECUPERO]]="VACACIONES","VACACIONES",IFERROR(D1_MAYO_2026[[#This Row],[RECUPERO]]/D1_MAYO_2026[[#This Row],[META]],""))</f>
        <v>8.3333333333333332E-3</v>
      </c>
      <c r="E46" s="35" t="str">
        <f>D1_MAYO_2026[[#This Row],[SUPER]]</f>
        <v>LEONOR</v>
      </c>
      <c r="F46" t="s">
        <v>644</v>
      </c>
      <c r="G46" s="3">
        <v>100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6" s="56"/>
      <c r="M46" s="5">
        <f>DATA_MAYO_2026[[#This Row],[RECUPERO]]/DATA_MAYO_2026[[#This Row],[META]]</f>
        <v>9.8765432098765427E-2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IFERROR(VLOOKUP(DATA_MAYO_2026[[#This Row],[ASER_]],$B:$G,4,0),"")</f>
        <v>KENNETH</v>
      </c>
      <c r="P46" s="6">
        <f>VLOOKUP(DATA_MAYO_2026[[#This Row],[ASER_]],D1_MAYO_2026[[ASESOR_CRR]:[RECUPERO]],6,0)</f>
        <v>4000</v>
      </c>
      <c r="Q46" s="6">
        <f>VLOOKUP(DATA_MAYO_2026[[#This Row],[ASER_]],D1_MAYO_2026[[ASESOR_CRR]:[META]],2,0)</f>
        <v>40500</v>
      </c>
      <c r="R46" t="s">
        <v>105</v>
      </c>
      <c r="S46" s="3">
        <v>0</v>
      </c>
      <c r="T46">
        <v>4000</v>
      </c>
      <c r="U46">
        <v>0</v>
      </c>
      <c r="X46" s="5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/>
    </row>
    <row r="47" spans="1:40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47" s="34" cm="1">
        <f t="array" ref="C47">_xlfn.XLOOKUP(1,(TablaMeta[CONCAT]=$M$3&amp;$N$3&amp;D1_MAYO_2026[[#This Row],[SUPER]])*(TablaMeta[SEGG]=D1_MAYO_2026[[#This Row],[SEGMENTO]]),TablaMeta[Meta_Asesor])</f>
        <v>12000</v>
      </c>
      <c r="D47" s="35">
        <f>IF(D1_MAYO_2026[[#This Row],[RECUPERO]]="VACACIONES","VACACIONES",IFERROR(D1_MAYO_2026[[#This Row],[RECUPERO]]/D1_MAYO_2026[[#This Row],[META]],""))</f>
        <v>0</v>
      </c>
      <c r="E47" s="35" t="str">
        <f>D1_MAYO_2026[[#This Row],[SUPER]]</f>
        <v>LEONOR</v>
      </c>
      <c r="F47" t="s">
        <v>645</v>
      </c>
      <c r="G47" s="3">
        <v>0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7" s="56"/>
      <c r="M47" s="5">
        <f>DATA_MAYO_2026[[#This Row],[RECUPERO]]/DATA_MAYO_2026[[#This Row],[META]]</f>
        <v>0.1111111111111111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IFERROR(VLOOKUP(DATA_MAYO_2026[[#This Row],[ASER_]],$B:$G,4,0),"")</f>
        <v>KENNETH</v>
      </c>
      <c r="P47" s="6">
        <f>VLOOKUP(DATA_MAYO_2026[[#This Row],[ASER_]],D1_MAYO_2026[[ASESOR_CRR]:[RECUPERO]],6,0)</f>
        <v>4500</v>
      </c>
      <c r="Q47" s="6">
        <f>VLOOKUP(DATA_MAYO_2026[[#This Row],[ASER_]],D1_MAYO_2026[[ASESOR_CRR]:[META]],2,0)</f>
        <v>40500</v>
      </c>
      <c r="R47" t="s">
        <v>11</v>
      </c>
      <c r="S47" s="3">
        <v>0</v>
      </c>
      <c r="T47">
        <v>4500</v>
      </c>
      <c r="U47">
        <v>0</v>
      </c>
      <c r="X47" s="5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/>
    </row>
    <row r="48" spans="1:40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48" s="34" cm="1">
        <f t="array" ref="C48">_xlfn.XLOOKUP(1,(TablaMeta[CONCAT]=$M$3&amp;$N$3&amp;D1_MAYO_2026[[#This Row],[SUPER]])*(TablaMeta[SEGG]=D1_MAYO_2026[[#This Row],[SEGMENTO]]),TablaMeta[Meta_Asesor])</f>
        <v>12000</v>
      </c>
      <c r="D48" s="35">
        <f>IF(D1_MAYO_2026[[#This Row],[RECUPERO]]="VACACIONES","VACACIONES",IFERROR(D1_MAYO_2026[[#This Row],[RECUPERO]]/D1_MAYO_2026[[#This Row],[META]],""))</f>
        <v>0</v>
      </c>
      <c r="E48" s="35" t="str">
        <f>D1_MAYO_2026[[#This Row],[SUPER]]</f>
        <v>LEONOR</v>
      </c>
      <c r="F48" t="s">
        <v>640</v>
      </c>
      <c r="G48" s="3">
        <v>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8" s="56"/>
      <c r="M48" s="5">
        <f>DATA_MAYO_2026[[#This Row],[RECUPERO]]/DATA_MAYO_2026[[#This Row],[META]]</f>
        <v>7.4074074074074077E-3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IFERROR(VLOOKUP(DATA_MAYO_2026[[#This Row],[ASER_]],$B:$G,4,0),"")</f>
        <v>KENNETH</v>
      </c>
      <c r="P48" s="6">
        <f>VLOOKUP(DATA_MAYO_2026[[#This Row],[ASER_]],D1_MAYO_2026[[ASESOR_CRR]:[RECUPERO]],6,0)</f>
        <v>300</v>
      </c>
      <c r="Q48" s="6">
        <f>VLOOKUP(DATA_MAYO_2026[[#This Row],[ASER_]],D1_MAYO_2026[[ASESOR_CRR]:[META]],2,0)</f>
        <v>40500</v>
      </c>
      <c r="R48" t="s">
        <v>19</v>
      </c>
      <c r="S48" s="3">
        <v>0</v>
      </c>
      <c r="T48">
        <v>0</v>
      </c>
      <c r="U48">
        <v>300</v>
      </c>
      <c r="X48" s="5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/>
    </row>
    <row r="49" spans="1:40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49" s="34" cm="1">
        <f t="array" ref="C49">_xlfn.XLOOKUP(1,(TablaMeta[CONCAT]=$M$3&amp;$N$3&amp;D1_MAYO_2026[[#This Row],[SUPER]])*(TablaMeta[SEGG]=D1_MAYO_2026[[#This Row],[SEGMENTO]]),TablaMeta[Meta_Asesor])</f>
        <v>67500</v>
      </c>
      <c r="D49" s="35">
        <f>IF(D1_MAYO_2026[[#This Row],[RECUPERO]]="VACACIONES","VACACIONES",IFERROR(D1_MAYO_2026[[#This Row],[RECUPERO]]/D1_MAYO_2026[[#This Row],[META]],""))</f>
        <v>0.21777777777777776</v>
      </c>
      <c r="E49" s="35" t="str">
        <f>D1_MAYO_2026[[#This Row],[SUPER]]</f>
        <v>JORGE</v>
      </c>
      <c r="F49" t="s">
        <v>13</v>
      </c>
      <c r="G49" s="3">
        <v>14700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DATA_MAYO_2026[[#This Row],[RECUPERO]]/DATA_MAYO_2026[[#This Row],[META]]</f>
        <v>0.17061728395061729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IFERROR(VLOOKUP(DATA_MAYO_2026[[#This Row],[ASER_]],$B:$G,4,0),"")</f>
        <v>KENNETH</v>
      </c>
      <c r="P49" s="6">
        <f>VLOOKUP(DATA_MAYO_2026[[#This Row],[ASER_]],D1_MAYO_2026[[ASESOR_CRR]:[RECUPERO]],6,0)</f>
        <v>6910</v>
      </c>
      <c r="Q49" s="6">
        <f>VLOOKUP(DATA_MAYO_2026[[#This Row],[ASER_]],D1_MAYO_2026[[ASESOR_CRR]:[META]],2,0)</f>
        <v>40500</v>
      </c>
      <c r="R49" t="s">
        <v>34</v>
      </c>
      <c r="S49">
        <v>0</v>
      </c>
      <c r="T49">
        <v>6000</v>
      </c>
      <c r="U49">
        <v>910</v>
      </c>
      <c r="X49" s="5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/>
    </row>
    <row r="50" spans="1:40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50" s="34" cm="1">
        <f t="array" ref="C50">_xlfn.XLOOKUP(1,(TablaMeta[CONCAT]=$M$3&amp;$N$3&amp;D1_MAYO_2026[[#This Row],[SUPER]])*(TablaMeta[SEGG]=D1_MAYO_2026[[#This Row],[SEGMENTO]]),TablaMeta[Meta_Asesor])</f>
        <v>67500</v>
      </c>
      <c r="D50" s="35">
        <f>IF(D1_MAYO_2026[[#This Row],[RECUPERO]]="VACACIONES","VACACIONES",IFERROR(D1_MAYO_2026[[#This Row],[RECUPERO]]/D1_MAYO_2026[[#This Row],[META]],""))</f>
        <v>0.1870074074074074</v>
      </c>
      <c r="E50" s="35" t="str">
        <f>D1_MAYO_2026[[#This Row],[SUPER]]</f>
        <v>JORGE</v>
      </c>
      <c r="F50" t="s">
        <v>25</v>
      </c>
      <c r="G50" s="3">
        <v>12623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87">
        <f>DATA_MAYO_2026[[#This Row],[RECUPERO]]/DATA_MAYO_2026[[#This Row],[META]]</f>
        <v>1.5318518518518518E-2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&gt;0%</v>
      </c>
      <c r="O50" s="88" t="str">
        <f>IFERROR(VLOOKUP(DATA_MAYO_2026[[#This Row],[ASER_]],$B:$G,4,0),"")</f>
        <v>JORGE</v>
      </c>
      <c r="P50" s="89">
        <f>VLOOKUP(DATA_MAYO_2026[[#This Row],[ASER_]],D1_MAYO_2026[[ASESOR_CRR]:[RECUPERO]],6,0)</f>
        <v>1034</v>
      </c>
      <c r="Q50" s="89">
        <f>VLOOKUP(DATA_MAYO_2026[[#This Row],[ASER_]],D1_MAYO_2026[[ASESOR_CRR]:[META]],2,0)</f>
        <v>67500</v>
      </c>
      <c r="R50" s="86" t="s">
        <v>76</v>
      </c>
      <c r="S50" s="86">
        <v>0</v>
      </c>
      <c r="T50" s="86">
        <v>1034</v>
      </c>
      <c r="U50" s="86">
        <v>0</v>
      </c>
      <c r="V50" s="86"/>
      <c r="W50" s="86"/>
      <c r="X50" s="87"/>
      <c r="Y50" s="89"/>
      <c r="Z50" s="89"/>
      <c r="AA50" s="89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89"/>
      <c r="AM50" s="89"/>
      <c r="AN50" s="88"/>
    </row>
    <row r="51" spans="1:40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51" s="34" cm="1">
        <f t="array" ref="C51">_xlfn.XLOOKUP(1,(TablaMeta[CONCAT]=$M$3&amp;$N$3&amp;D1_MAYO_2026[[#This Row],[SUPER]])*(TablaMeta[SEGG]=D1_MAYO_2026[[#This Row],[SEGMENTO]]),TablaMeta[Meta_Asesor])</f>
        <v>67500</v>
      </c>
      <c r="D51" s="35">
        <f>IF(D1_MAYO_2026[[#This Row],[RECUPERO]]="VACACIONES","VACACIONES",IFERROR(D1_MAYO_2026[[#This Row],[RECUPERO]]/D1_MAYO_2026[[#This Row],[META]],""))</f>
        <v>3.3792592592592589E-2</v>
      </c>
      <c r="E51" s="35" t="str">
        <f>D1_MAYO_2026[[#This Row],[SUPER]]</f>
        <v>JORGE</v>
      </c>
      <c r="F51" t="s">
        <v>65</v>
      </c>
      <c r="G51" s="3">
        <v>2281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87">
        <f>DATA_MAYO_2026[[#This Row],[RECUPERO]]/DATA_MAYO_2026[[#This Row],[META]]</f>
        <v>0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&gt;0%</v>
      </c>
      <c r="O51" s="88" t="str">
        <f>IFERROR(VLOOKUP(DATA_MAYO_2026[[#This Row],[ASER_]],$B:$G,4,0),"")</f>
        <v>JORGE</v>
      </c>
      <c r="P51" s="89">
        <f>VLOOKUP(DATA_MAYO_2026[[#This Row],[ASER_]],D1_MAYO_2026[[ASESOR_CRR]:[RECUPERO]],6,0)</f>
        <v>0</v>
      </c>
      <c r="Q51" s="89">
        <f>VLOOKUP(DATA_MAYO_2026[[#This Row],[ASER_]],D1_MAYO_2026[[ASESOR_CRR]:[META]],2,0)</f>
        <v>67500</v>
      </c>
      <c r="R51" s="86" t="s">
        <v>15</v>
      </c>
      <c r="S51" s="86">
        <v>0</v>
      </c>
      <c r="T51" s="86">
        <v>0</v>
      </c>
      <c r="U51" s="86">
        <v>0</v>
      </c>
      <c r="V51" s="86"/>
      <c r="W51" s="86"/>
      <c r="X51" s="87"/>
      <c r="Y51" s="89"/>
      <c r="Z51" s="89"/>
      <c r="AA51" s="89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89"/>
      <c r="AM51" s="89"/>
      <c r="AN51" s="88"/>
    </row>
    <row r="52" spans="1:40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52" s="34" cm="1">
        <f t="array" ref="C52">_xlfn.XLOOKUP(1,(TablaMeta[CONCAT]=$M$3&amp;$N$3&amp;D1_MAYO_2026[[#This Row],[SUPER]])*(TablaMeta[SEGG]=D1_MAYO_2026[[#This Row],[SEGMENTO]]),TablaMeta[Meta_Asesor])</f>
        <v>67500</v>
      </c>
      <c r="D52" s="35">
        <f>IF(D1_MAYO_2026[[#This Row],[RECUPERO]]="VACACIONES","VACACIONES",IFERROR(D1_MAYO_2026[[#This Row],[RECUPERO]]/D1_MAYO_2026[[#This Row],[META]],""))</f>
        <v>1.5318518518518518E-2</v>
      </c>
      <c r="E52" s="35" t="str">
        <f>D1_MAYO_2026[[#This Row],[SUPER]]</f>
        <v>JORGE</v>
      </c>
      <c r="F52" t="s">
        <v>76</v>
      </c>
      <c r="G52" s="3">
        <v>1034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87">
        <f>DATA_MAYO_2026[[#This Row],[RECUPERO]]/DATA_MAYO_2026[[#This Row],[META]]</f>
        <v>3.3792592592592589E-2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88" t="str">
        <f>IFERROR(VLOOKUP(DATA_MAYO_2026[[#This Row],[ASER_]],$B:$G,4,0),"")</f>
        <v>JORGE</v>
      </c>
      <c r="P52" s="89">
        <f>VLOOKUP(DATA_MAYO_2026[[#This Row],[ASER_]],D1_MAYO_2026[[ASESOR_CRR]:[RECUPERO]],6,0)</f>
        <v>2281</v>
      </c>
      <c r="Q52" s="89">
        <f>VLOOKUP(DATA_MAYO_2026[[#This Row],[ASER_]],D1_MAYO_2026[[ASESOR_CRR]:[META]],2,0)</f>
        <v>67500</v>
      </c>
      <c r="R52" s="86" t="s">
        <v>65</v>
      </c>
      <c r="S52" s="86">
        <v>0</v>
      </c>
      <c r="T52" s="86">
        <v>0</v>
      </c>
      <c r="U52" s="86">
        <v>2281</v>
      </c>
      <c r="V52" s="86"/>
      <c r="W52" s="86"/>
      <c r="X52" s="87"/>
      <c r="Y52" s="89"/>
      <c r="Z52" s="89"/>
      <c r="AA52" s="89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89"/>
      <c r="AM52" s="89"/>
      <c r="AN52" s="88"/>
    </row>
    <row r="53" spans="1:40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53" s="34" cm="1">
        <f t="array" ref="C53">_xlfn.XLOOKUP(1,(TablaMeta[CONCAT]=$M$3&amp;$N$3&amp;D1_MAYO_2026[[#This Row],[SUPER]])*(TablaMeta[SEGG]=D1_MAYO_2026[[#This Row],[SEGMENTO]]),TablaMeta[Meta_Asesor])</f>
        <v>67500</v>
      </c>
      <c r="D53" s="35">
        <f>IF(D1_MAYO_2026[[#This Row],[RECUPERO]]="VACACIONES","VACACIONES",IFERROR(D1_MAYO_2026[[#This Row],[RECUPERO]]/D1_MAYO_2026[[#This Row],[META]],""))</f>
        <v>5.185185185185185E-3</v>
      </c>
      <c r="E53" s="35" t="str">
        <f>D1_MAYO_2026[[#This Row],[SUPER]]</f>
        <v>JORGE</v>
      </c>
      <c r="F53" t="s">
        <v>24</v>
      </c>
      <c r="G53" s="3">
        <v>350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87">
        <f>DATA_MAYO_2026[[#This Row],[RECUPERO]]/DATA_MAYO_2026[[#This Row],[META]]</f>
        <v>0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&gt;0%</v>
      </c>
      <c r="O53" s="88" t="str">
        <f>IFERROR(VLOOKUP(DATA_MAYO_2026[[#This Row],[ASER_]],$B:$G,4,0),"")</f>
        <v>JORGE</v>
      </c>
      <c r="P53" s="89">
        <f>VLOOKUP(DATA_MAYO_2026[[#This Row],[ASER_]],D1_MAYO_2026[[ASESOR_CRR]:[RECUPERO]],6,0)</f>
        <v>0</v>
      </c>
      <c r="Q53" s="89">
        <f>VLOOKUP(DATA_MAYO_2026[[#This Row],[ASER_]],D1_MAYO_2026[[ASESOR_CRR]:[META]],2,0)</f>
        <v>67500</v>
      </c>
      <c r="R53" s="86" t="s">
        <v>10</v>
      </c>
      <c r="S53" s="86">
        <v>0</v>
      </c>
      <c r="T53" s="86">
        <v>0</v>
      </c>
      <c r="U53" s="86">
        <v>0</v>
      </c>
      <c r="V53" s="86"/>
      <c r="W53" s="86"/>
      <c r="X53" s="87"/>
      <c r="Y53" s="89"/>
      <c r="Z53" s="89"/>
      <c r="AA53" s="89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89"/>
      <c r="AM53" s="89"/>
      <c r="AN53" s="88"/>
    </row>
    <row r="54" spans="1:40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54" s="34" cm="1">
        <f t="array" ref="C54">_xlfn.XLOOKUP(1,(TablaMeta[CONCAT]=$M$3&amp;$N$3&amp;D1_MAYO_2026[[#This Row],[SUPER]])*(TablaMeta[SEGG]=D1_MAYO_2026[[#This Row],[SEGMENTO]]),TablaMeta[Meta_Asesor])</f>
        <v>67500</v>
      </c>
      <c r="D54" s="35">
        <f>IF(D1_MAYO_2026[[#This Row],[RECUPERO]]="VACACIONES","VACACIONES",IFERROR(D1_MAYO_2026[[#This Row],[RECUPERO]]/D1_MAYO_2026[[#This Row],[META]],""))</f>
        <v>0</v>
      </c>
      <c r="E54" s="35" t="str">
        <f>D1_MAYO_2026[[#This Row],[SUPER]]</f>
        <v>JORGE</v>
      </c>
      <c r="F54" t="s">
        <v>15</v>
      </c>
      <c r="G54" s="3">
        <v>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87">
        <f>DATA_MAYO_2026[[#This Row],[RECUPERO]]/DATA_MAYO_2026[[#This Row],[META]]</f>
        <v>5.185185185185185E-3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88" t="str">
        <f>IFERROR(VLOOKUP(DATA_MAYO_2026[[#This Row],[ASER_]],$B:$G,4,0),"")</f>
        <v>JORGE</v>
      </c>
      <c r="P54" s="89">
        <f>VLOOKUP(DATA_MAYO_2026[[#This Row],[ASER_]],D1_MAYO_2026[[ASESOR_CRR]:[RECUPERO]],6,0)</f>
        <v>350</v>
      </c>
      <c r="Q54" s="89">
        <f>VLOOKUP(DATA_MAYO_2026[[#This Row],[ASER_]],D1_MAYO_2026[[ASESOR_CRR]:[META]],2,0)</f>
        <v>67500</v>
      </c>
      <c r="R54" s="86" t="s">
        <v>24</v>
      </c>
      <c r="S54" s="86">
        <v>0</v>
      </c>
      <c r="T54" s="86">
        <v>0</v>
      </c>
      <c r="U54" s="86">
        <v>350</v>
      </c>
      <c r="V54" s="86"/>
      <c r="W54" s="86"/>
      <c r="X54" s="87"/>
      <c r="Y54" s="89"/>
      <c r="Z54" s="89"/>
      <c r="AA54" s="89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89"/>
      <c r="AM54" s="89"/>
      <c r="AN54" s="88"/>
    </row>
    <row r="55" spans="1:40" x14ac:dyDescent="0.25">
      <c r="A55" s="8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8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55" s="84" cm="1">
        <f t="array" ref="C55">_xlfn.XLOOKUP(1,(TablaMeta[CONCAT]=$M$3&amp;$N$3&amp;D1_MAYO_2026[[#This Row],[SUPER]])*(TablaMeta[SEGG]=D1_MAYO_2026[[#This Row],[SEGMENTO]]),TablaMeta[Meta_Asesor])</f>
        <v>67500</v>
      </c>
      <c r="D55" s="85">
        <f>IF(D1_MAYO_2026[[#This Row],[RECUPERO]]="VACACIONES","VACACIONES",IFERROR(D1_MAYO_2026[[#This Row],[RECUPERO]]/D1_MAYO_2026[[#This Row],[META]],""))</f>
        <v>0</v>
      </c>
      <c r="E55" s="35" t="str">
        <f>D1_MAYO_2026[[#This Row],[SUPER]]</f>
        <v>JORGE</v>
      </c>
      <c r="F55" t="s">
        <v>10</v>
      </c>
      <c r="G55" s="3">
        <v>0</v>
      </c>
      <c r="H55" s="86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5" s="56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5" s="56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87">
        <f>DATA_MAYO_2026[[#This Row],[RECUPERO]]/DATA_MAYO_2026[[#This Row],[META]]</f>
        <v>0.21777777777777776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&gt;0%</v>
      </c>
      <c r="O55" s="88" t="str">
        <f>IFERROR(VLOOKUP(DATA_MAYO_2026[[#This Row],[ASER_]],$B:$G,4,0),"")</f>
        <v>JORGE</v>
      </c>
      <c r="P55" s="89">
        <f>VLOOKUP(DATA_MAYO_2026[[#This Row],[ASER_]],D1_MAYO_2026[[ASESOR_CRR]:[RECUPERO]],6,0)</f>
        <v>14700</v>
      </c>
      <c r="Q55" s="89">
        <f>VLOOKUP(DATA_MAYO_2026[[#This Row],[ASER_]],D1_MAYO_2026[[ASESOR_CRR]:[META]],2,0)</f>
        <v>67500</v>
      </c>
      <c r="R55" s="86" t="s">
        <v>13</v>
      </c>
      <c r="S55" s="86">
        <v>5000</v>
      </c>
      <c r="T55" s="86">
        <v>7000</v>
      </c>
      <c r="U55" s="86">
        <v>2700</v>
      </c>
      <c r="V55" s="86"/>
      <c r="W55" s="86"/>
      <c r="X55" s="87"/>
      <c r="Y55" s="89"/>
      <c r="Z55" s="89"/>
      <c r="AA55" s="89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89"/>
      <c r="AM55" s="89"/>
      <c r="AN55" s="88"/>
    </row>
    <row r="56" spans="1:40" x14ac:dyDescent="0.25">
      <c r="H56"/>
      <c r="M56" s="87">
        <f>DATA_MAYO_2026[[#This Row],[RECUPERO]]/DATA_MAYO_2026[[#This Row],[META]]</f>
        <v>0.1870074074074074</v>
      </c>
      <c r="N56" s="54" t="str" cm="1">
        <f t="array" ref="N56">IF(DATA_MAYO_2026[[#This Row],[ASER_]]="","",IFERROR(_xlfn.IFS(M56&gt;=100%,"&gt;100%",AND(M56&lt;100%,M56&gt;=70%),"&gt;70%",AND(M56&lt;70%,M56&gt;=40%),"&gt;40%",AND(M56&lt;40%,M56&gt;=0%),"&gt;0%"),""))</f>
        <v>&gt;0%</v>
      </c>
      <c r="O56" s="88" t="str">
        <f>IFERROR(VLOOKUP(DATA_MAYO_2026[[#This Row],[ASER_]],$B:$G,4,0),"")</f>
        <v>JORGE</v>
      </c>
      <c r="P56" s="89">
        <f>VLOOKUP(DATA_MAYO_2026[[#This Row],[ASER_]],D1_MAYO_2026[[ASESOR_CRR]:[RECUPERO]],6,0)</f>
        <v>12623</v>
      </c>
      <c r="Q56" s="89">
        <f>VLOOKUP(DATA_MAYO_2026[[#This Row],[ASER_]],D1_MAYO_2026[[ASESOR_CRR]:[META]],2,0)</f>
        <v>67500</v>
      </c>
      <c r="R56" s="86" t="s">
        <v>25</v>
      </c>
      <c r="S56" s="86">
        <v>0</v>
      </c>
      <c r="T56" s="86">
        <v>6000</v>
      </c>
      <c r="U56" s="86">
        <v>6623</v>
      </c>
      <c r="V56" s="86"/>
      <c r="W56" s="86"/>
      <c r="X56" s="87"/>
      <c r="Y56" s="89"/>
      <c r="Z56" s="89"/>
      <c r="AA56" s="89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89"/>
      <c r="AM56" s="89"/>
      <c r="AN56" s="88"/>
    </row>
    <row r="57" spans="1:40" x14ac:dyDescent="0.25">
      <c r="H57"/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 spans="1:40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spans="1:40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AO77" s="6"/>
    </row>
    <row r="78" spans="7:41" x14ac:dyDescent="0.25">
      <c r="AO78" s="6"/>
    </row>
    <row r="79" spans="7:41" x14ac:dyDescent="0.25">
      <c r="AO79" s="6"/>
    </row>
    <row r="80" spans="7:41" x14ac:dyDescent="0.25">
      <c r="AO80" s="6"/>
    </row>
    <row r="81" spans="41:42" x14ac:dyDescent="0.25">
      <c r="AO81" s="6"/>
    </row>
    <row r="82" spans="41:42" x14ac:dyDescent="0.25">
      <c r="AO82" s="6"/>
    </row>
    <row r="83" spans="41:42" x14ac:dyDescent="0.25">
      <c r="AO83" s="6"/>
      <c r="AP83" s="4"/>
    </row>
    <row r="84" spans="41:42" x14ac:dyDescent="0.25">
      <c r="AO84" s="6"/>
      <c r="AP84" s="6"/>
    </row>
    <row r="85" spans="41:42" x14ac:dyDescent="0.25">
      <c r="AO85" s="6"/>
      <c r="AP85" s="6"/>
    </row>
    <row r="86" spans="41:42" x14ac:dyDescent="0.25">
      <c r="AO86" s="6"/>
      <c r="AP86" s="6"/>
    </row>
    <row r="87" spans="41:42" x14ac:dyDescent="0.25">
      <c r="AO87" s="6"/>
      <c r="AP87" s="6"/>
    </row>
    <row r="88" spans="41:42" x14ac:dyDescent="0.25">
      <c r="AO88" s="6"/>
      <c r="AP88" s="6"/>
    </row>
    <row r="89" spans="41:42" x14ac:dyDescent="0.25">
      <c r="AO89" s="6"/>
      <c r="AP89" s="6"/>
    </row>
    <row r="90" spans="41:42" x14ac:dyDescent="0.25">
      <c r="AO90" s="6"/>
      <c r="AP90" s="6"/>
    </row>
    <row r="91" spans="41:42" x14ac:dyDescent="0.25">
      <c r="AO91" s="6"/>
      <c r="AP91" s="6"/>
    </row>
    <row r="92" spans="41:42" x14ac:dyDescent="0.25">
      <c r="AO92" s="6"/>
      <c r="AP92" s="6"/>
    </row>
    <row r="93" spans="41:42" x14ac:dyDescent="0.25">
      <c r="AO93" s="6"/>
      <c r="AP93" s="6"/>
    </row>
    <row r="94" spans="41:42" x14ac:dyDescent="0.25">
      <c r="AO94" s="6"/>
      <c r="AP94" s="6"/>
    </row>
    <row r="95" spans="41:42" x14ac:dyDescent="0.25">
      <c r="AO95" s="6"/>
      <c r="AP95" s="6"/>
    </row>
    <row r="96" spans="41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5">
    <cfRule type="containsText" dxfId="1" priority="1" operator="containsText" text="kenneth">
      <formula>NOT(ISERROR(SEARCH("kenneth",E3)))</formula>
    </cfRule>
  </conditionalFormatting>
  <conditionalFormatting sqref="R9:R56">
    <cfRule type="duplicateValues" dxfId="0" priority="53"/>
  </conditionalFormatting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8"/>
  <sheetViews>
    <sheetView topLeftCell="A509" workbookViewId="0">
      <selection activeCell="E514" sqref="E51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70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42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87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89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59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45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100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94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63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56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56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49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48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48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47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44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44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44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43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43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42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41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40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40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39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38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34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34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34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33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29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28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27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27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27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27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26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26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25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24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21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21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19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16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16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16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16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14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14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12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12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12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12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11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10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9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9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9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9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9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9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9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8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70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49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87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89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100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94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63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56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49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48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48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47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44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44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44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43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43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42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41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40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38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34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34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33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29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28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27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27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27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27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26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26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25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24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21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21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19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16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16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12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12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12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10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9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9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9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8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6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70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49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87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89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47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44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44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40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33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26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25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12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63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49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29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26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21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12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100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94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43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34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28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24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16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9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48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48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41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34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27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16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10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6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43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42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38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27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27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21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9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6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70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49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87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42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89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100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94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63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49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48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48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47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44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44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43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43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42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41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40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38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34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34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33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29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28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27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27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27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26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26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25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24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21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21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16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16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12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12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10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9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9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6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6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5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5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4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4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4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4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4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70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49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87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42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56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100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94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34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28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16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6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4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4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48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48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43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41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34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27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16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10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6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5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5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4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47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44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44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33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26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25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12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63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49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40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29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26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21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12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9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42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38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27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21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9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4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4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3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3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3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70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49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87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42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100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94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63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49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48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48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47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44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44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43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42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41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40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38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34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34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33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29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28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27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27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26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26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25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21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21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16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16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12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12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10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9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9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6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6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5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5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4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4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4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4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3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3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3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3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3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70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49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87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42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4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6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33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26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21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9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3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100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4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44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12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9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26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47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38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27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44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25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21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12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43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27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34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48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10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41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16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48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29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63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4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5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34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94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28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3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3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1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1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1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1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42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40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49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16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70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49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87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44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9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26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49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4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33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26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21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9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3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100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4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38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27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44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25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6">
        <v>45511</v>
      </c>
      <c r="H498">
        <v>21</v>
      </c>
      <c r="I498" t="s">
        <v>602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1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48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43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27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34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48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10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41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16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29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16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63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4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5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94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40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1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28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3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6">
        <v>46084</v>
      </c>
      <c r="H520">
        <v>2</v>
      </c>
      <c r="I520" t="s">
        <v>587</v>
      </c>
      <c r="J520" s="56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1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6">
        <v>46141</v>
      </c>
      <c r="H523">
        <v>1</v>
      </c>
      <c r="I523" t="s">
        <v>587</v>
      </c>
      <c r="J523" s="56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42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12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47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12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34</v>
      </c>
      <c r="I528" t="s">
        <v>500</v>
      </c>
      <c r="J528" s="56"/>
    </row>
    <row r="529" spans="1:10" x14ac:dyDescent="0.25">
      <c r="A529" t="s">
        <v>638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6">
        <v>44022</v>
      </c>
      <c r="H529">
        <v>70</v>
      </c>
      <c r="I529" t="s">
        <v>209</v>
      </c>
      <c r="J529" s="56"/>
    </row>
    <row r="530" spans="1:10" x14ac:dyDescent="0.25">
      <c r="A530" t="s">
        <v>638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6">
        <v>44673</v>
      </c>
      <c r="H530">
        <v>49</v>
      </c>
      <c r="I530" t="s">
        <v>159</v>
      </c>
      <c r="J530" s="56"/>
    </row>
    <row r="531" spans="1:10" x14ac:dyDescent="0.25">
      <c r="A531" t="s">
        <v>638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6">
        <v>43506</v>
      </c>
      <c r="H531">
        <v>87</v>
      </c>
      <c r="I531" t="s">
        <v>209</v>
      </c>
      <c r="J531" s="56"/>
    </row>
    <row r="532" spans="1:10" x14ac:dyDescent="0.25">
      <c r="A532" t="s">
        <v>638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6">
        <v>44109</v>
      </c>
      <c r="H532">
        <v>67</v>
      </c>
      <c r="I532" t="s">
        <v>159</v>
      </c>
      <c r="J532" s="56"/>
    </row>
    <row r="533" spans="1:10" x14ac:dyDescent="0.25">
      <c r="A533" t="s">
        <v>638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6">
        <v>43805</v>
      </c>
      <c r="H533">
        <v>77</v>
      </c>
      <c r="I533" t="s">
        <v>158</v>
      </c>
      <c r="J533" s="56"/>
    </row>
    <row r="534" spans="1:10" x14ac:dyDescent="0.25">
      <c r="A534" t="s">
        <v>638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6">
        <v>44109</v>
      </c>
      <c r="H534">
        <v>67</v>
      </c>
      <c r="I534" t="s">
        <v>209</v>
      </c>
      <c r="J534" s="56"/>
    </row>
    <row r="535" spans="1:10" x14ac:dyDescent="0.25">
      <c r="A535" t="s">
        <v>638</v>
      </c>
      <c r="B535" t="s">
        <v>59</v>
      </c>
      <c r="C535">
        <v>60870839</v>
      </c>
      <c r="D535" t="s">
        <v>3</v>
      </c>
      <c r="E535" t="s">
        <v>501</v>
      </c>
      <c r="F535" t="s">
        <v>575</v>
      </c>
      <c r="G535" s="56">
        <v>45344</v>
      </c>
      <c r="H535">
        <v>27</v>
      </c>
      <c r="I535" t="s">
        <v>639</v>
      </c>
      <c r="J535" s="56"/>
    </row>
    <row r="536" spans="1:10" x14ac:dyDescent="0.25">
      <c r="A536" t="s">
        <v>638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6">
        <v>45854</v>
      </c>
      <c r="H536">
        <v>10</v>
      </c>
      <c r="I536" t="s">
        <v>639</v>
      </c>
      <c r="J536" s="56"/>
    </row>
    <row r="537" spans="1:10" x14ac:dyDescent="0.25">
      <c r="A537" t="s">
        <v>638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6">
        <v>45145</v>
      </c>
      <c r="H537">
        <v>33</v>
      </c>
      <c r="I537" t="s">
        <v>639</v>
      </c>
      <c r="J537" s="56"/>
    </row>
    <row r="538" spans="1:10" x14ac:dyDescent="0.25">
      <c r="A538" t="s">
        <v>638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6">
        <v>45363</v>
      </c>
      <c r="H538">
        <v>26</v>
      </c>
      <c r="I538" t="s">
        <v>639</v>
      </c>
      <c r="J538" s="56"/>
    </row>
    <row r="539" spans="1:10" x14ac:dyDescent="0.25">
      <c r="A539" t="s">
        <v>638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6">
        <v>45884</v>
      </c>
      <c r="H539">
        <v>9</v>
      </c>
      <c r="I539" t="s">
        <v>209</v>
      </c>
      <c r="J539" s="56"/>
    </row>
    <row r="540" spans="1:10" x14ac:dyDescent="0.25">
      <c r="A540" t="s">
        <v>638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6">
        <v>46027</v>
      </c>
      <c r="H540">
        <v>4</v>
      </c>
      <c r="I540" t="s">
        <v>209</v>
      </c>
      <c r="J540" s="56"/>
    </row>
    <row r="541" spans="1:10" x14ac:dyDescent="0.25">
      <c r="A541" t="s">
        <v>638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6">
        <v>46141</v>
      </c>
      <c r="H541">
        <v>1</v>
      </c>
      <c r="I541" t="s">
        <v>209</v>
      </c>
      <c r="J541" s="56"/>
    </row>
    <row r="542" spans="1:10" x14ac:dyDescent="0.25">
      <c r="A542" t="s">
        <v>638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6">
        <v>44746</v>
      </c>
      <c r="H542">
        <v>46</v>
      </c>
      <c r="I542" t="s">
        <v>209</v>
      </c>
      <c r="J542" s="56"/>
    </row>
    <row r="543" spans="1:10" x14ac:dyDescent="0.25">
      <c r="A543" t="s">
        <v>638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6">
        <v>45369</v>
      </c>
      <c r="H543">
        <v>26</v>
      </c>
      <c r="I543" t="s">
        <v>209</v>
      </c>
      <c r="J543" s="56"/>
    </row>
    <row r="544" spans="1:10" x14ac:dyDescent="0.25">
      <c r="A544" t="s">
        <v>638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6">
        <v>45173</v>
      </c>
      <c r="H544">
        <v>32</v>
      </c>
      <c r="I544" t="s">
        <v>209</v>
      </c>
      <c r="J544" s="56"/>
    </row>
    <row r="545" spans="1:10" x14ac:dyDescent="0.25">
      <c r="A545" t="s">
        <v>638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6">
        <v>44671</v>
      </c>
      <c r="H545">
        <v>49</v>
      </c>
      <c r="I545" t="s">
        <v>209</v>
      </c>
      <c r="J545" s="56"/>
    </row>
    <row r="546" spans="1:10" x14ac:dyDescent="0.25">
      <c r="A546" t="s">
        <v>638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6">
        <v>45800</v>
      </c>
      <c r="H546">
        <v>12</v>
      </c>
      <c r="I546" t="s">
        <v>209</v>
      </c>
      <c r="J546" s="56"/>
    </row>
    <row r="547" spans="1:10" x14ac:dyDescent="0.25">
      <c r="A547" t="s">
        <v>638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6">
        <v>46052</v>
      </c>
      <c r="H547">
        <v>4</v>
      </c>
      <c r="I547" t="s">
        <v>209</v>
      </c>
      <c r="J547" s="56"/>
    </row>
    <row r="548" spans="1:10" x14ac:dyDescent="0.25">
      <c r="A548" t="s">
        <v>638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6">
        <v>45526</v>
      </c>
      <c r="H548">
        <v>21</v>
      </c>
      <c r="I548" t="s">
        <v>209</v>
      </c>
      <c r="J548" s="56"/>
    </row>
    <row r="549" spans="1:10" x14ac:dyDescent="0.25">
      <c r="A549" t="s">
        <v>638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6">
        <v>45295</v>
      </c>
      <c r="H549">
        <v>28</v>
      </c>
      <c r="I549" t="s">
        <v>209</v>
      </c>
      <c r="J549" s="56"/>
    </row>
    <row r="550" spans="1:10" x14ac:dyDescent="0.25">
      <c r="A550" t="s">
        <v>638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6">
        <v>45398</v>
      </c>
      <c r="H550">
        <v>25</v>
      </c>
      <c r="I550" t="s">
        <v>209</v>
      </c>
      <c r="J550" s="56"/>
    </row>
    <row r="551" spans="1:10" x14ac:dyDescent="0.25">
      <c r="A551" t="s">
        <v>638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6">
        <v>45882</v>
      </c>
      <c r="H551">
        <v>9</v>
      </c>
      <c r="I551" t="s">
        <v>209</v>
      </c>
      <c r="J551" s="56"/>
    </row>
    <row r="552" spans="1:10" x14ac:dyDescent="0.25">
      <c r="A552" t="s">
        <v>638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6">
        <v>46055</v>
      </c>
      <c r="H552">
        <v>4</v>
      </c>
      <c r="I552" t="s">
        <v>209</v>
      </c>
      <c r="J552" s="56"/>
    </row>
    <row r="553" spans="1:10" x14ac:dyDescent="0.25">
      <c r="A553" t="s">
        <v>638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6">
        <v>43119</v>
      </c>
      <c r="H553">
        <v>100</v>
      </c>
      <c r="I553" t="s">
        <v>209</v>
      </c>
      <c r="J553" s="56"/>
    </row>
    <row r="554" spans="1:10" x14ac:dyDescent="0.25">
      <c r="A554" t="s">
        <v>638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6">
        <v>44817</v>
      </c>
      <c r="H554">
        <v>44</v>
      </c>
      <c r="I554" t="s">
        <v>159</v>
      </c>
      <c r="J554" s="56"/>
    </row>
    <row r="555" spans="1:10" x14ac:dyDescent="0.25">
      <c r="A555" t="s">
        <v>638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6">
        <v>45019</v>
      </c>
      <c r="H555">
        <v>38</v>
      </c>
      <c r="I555" t="s">
        <v>159</v>
      </c>
      <c r="J555" s="56"/>
    </row>
    <row r="556" spans="1:10" x14ac:dyDescent="0.25">
      <c r="A556" t="s">
        <v>638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6">
        <v>44809</v>
      </c>
      <c r="H556">
        <v>44</v>
      </c>
      <c r="I556" t="s">
        <v>159</v>
      </c>
      <c r="J556" s="56"/>
    </row>
    <row r="557" spans="1:10" x14ac:dyDescent="0.25">
      <c r="A557" t="s">
        <v>638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6">
        <v>44818</v>
      </c>
      <c r="H557">
        <v>44</v>
      </c>
      <c r="I557" t="s">
        <v>159</v>
      </c>
      <c r="J557" s="56"/>
    </row>
    <row r="558" spans="1:10" x14ac:dyDescent="0.25">
      <c r="A558" t="s">
        <v>638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6">
        <v>45511</v>
      </c>
      <c r="H558">
        <v>21</v>
      </c>
      <c r="I558" t="s">
        <v>159</v>
      </c>
      <c r="J558" s="56"/>
    </row>
    <row r="559" spans="1:10" x14ac:dyDescent="0.25">
      <c r="A559" t="s">
        <v>638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6">
        <v>44704</v>
      </c>
      <c r="H559">
        <v>48</v>
      </c>
      <c r="I559" t="s">
        <v>159</v>
      </c>
      <c r="J559" s="56"/>
    </row>
    <row r="560" spans="1:10" x14ac:dyDescent="0.25">
      <c r="A560" t="s">
        <v>638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6">
        <v>45334</v>
      </c>
      <c r="H560">
        <v>27</v>
      </c>
      <c r="I560" t="s">
        <v>159</v>
      </c>
      <c r="J560" s="56"/>
    </row>
    <row r="561" spans="1:10" x14ac:dyDescent="0.25">
      <c r="A561" t="s">
        <v>638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6">
        <v>44733</v>
      </c>
      <c r="H561">
        <v>47</v>
      </c>
      <c r="I561" t="s">
        <v>159</v>
      </c>
      <c r="J561" s="56"/>
    </row>
    <row r="562" spans="1:10" x14ac:dyDescent="0.25">
      <c r="A562" t="s">
        <v>638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6">
        <v>46024</v>
      </c>
      <c r="H562">
        <v>5</v>
      </c>
      <c r="I562" t="s">
        <v>159</v>
      </c>
      <c r="J562" s="56"/>
    </row>
    <row r="563" spans="1:10" x14ac:dyDescent="0.25">
      <c r="A563" t="s">
        <v>638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6">
        <v>45302</v>
      </c>
      <c r="H563">
        <v>28</v>
      </c>
      <c r="I563" t="s">
        <v>159</v>
      </c>
      <c r="J563" s="56"/>
    </row>
    <row r="564" spans="1:10" x14ac:dyDescent="0.25">
      <c r="A564" t="s">
        <v>638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6">
        <v>44868</v>
      </c>
      <c r="H564">
        <v>43</v>
      </c>
      <c r="I564" t="s">
        <v>159</v>
      </c>
      <c r="J564" s="56"/>
    </row>
    <row r="565" spans="1:10" x14ac:dyDescent="0.25">
      <c r="A565" t="s">
        <v>638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6">
        <v>45281</v>
      </c>
      <c r="H565">
        <v>29</v>
      </c>
      <c r="I565" t="s">
        <v>159</v>
      </c>
      <c r="J565" s="56"/>
    </row>
    <row r="566" spans="1:10" x14ac:dyDescent="0.25">
      <c r="A566" t="s">
        <v>638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6">
        <v>46083</v>
      </c>
      <c r="H566">
        <v>3</v>
      </c>
      <c r="I566" t="s">
        <v>159</v>
      </c>
      <c r="J566" s="56"/>
    </row>
    <row r="567" spans="1:10" x14ac:dyDescent="0.25">
      <c r="A567" t="s">
        <v>638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6">
        <v>45691</v>
      </c>
      <c r="H567">
        <v>16</v>
      </c>
      <c r="I567" t="s">
        <v>159</v>
      </c>
      <c r="J567" s="56"/>
    </row>
    <row r="568" spans="1:10" x14ac:dyDescent="0.25">
      <c r="A568" t="s">
        <v>638</v>
      </c>
      <c r="B568" t="s">
        <v>75</v>
      </c>
      <c r="C568">
        <v>71264767</v>
      </c>
      <c r="D568" t="s">
        <v>125</v>
      </c>
      <c r="E568" t="s">
        <v>501</v>
      </c>
      <c r="F568" t="s">
        <v>575</v>
      </c>
      <c r="G568" s="56">
        <v>44714</v>
      </c>
      <c r="H568">
        <v>48</v>
      </c>
      <c r="I568" t="s">
        <v>159</v>
      </c>
      <c r="J568" s="56"/>
    </row>
    <row r="569" spans="1:10" x14ac:dyDescent="0.25">
      <c r="A569" t="s">
        <v>638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6">
        <v>46052</v>
      </c>
      <c r="H569">
        <v>4</v>
      </c>
      <c r="I569" t="s">
        <v>159</v>
      </c>
      <c r="J569" s="56"/>
    </row>
    <row r="570" spans="1:10" x14ac:dyDescent="0.25">
      <c r="A570" t="s">
        <v>638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6">
        <v>44907</v>
      </c>
      <c r="H570">
        <v>41</v>
      </c>
      <c r="I570" t="s">
        <v>159</v>
      </c>
      <c r="J570" s="56"/>
    </row>
    <row r="571" spans="1:10" x14ac:dyDescent="0.25">
      <c r="A571" t="s">
        <v>638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6">
        <v>44257</v>
      </c>
      <c r="H571">
        <v>63</v>
      </c>
      <c r="I571" t="s">
        <v>159</v>
      </c>
      <c r="J571" s="56"/>
    </row>
    <row r="572" spans="1:10" x14ac:dyDescent="0.25">
      <c r="A572" t="s">
        <v>638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6">
        <v>44838</v>
      </c>
      <c r="H572">
        <v>43</v>
      </c>
      <c r="I572" t="s">
        <v>158</v>
      </c>
      <c r="J572" s="56"/>
    </row>
    <row r="573" spans="1:10" x14ac:dyDescent="0.25">
      <c r="A573" t="s">
        <v>638</v>
      </c>
      <c r="B573" t="s">
        <v>51</v>
      </c>
      <c r="C573">
        <v>76089925</v>
      </c>
      <c r="D573" t="s">
        <v>7</v>
      </c>
      <c r="E573" t="s">
        <v>501</v>
      </c>
      <c r="F573" t="s">
        <v>575</v>
      </c>
      <c r="G573" s="56">
        <v>45678</v>
      </c>
      <c r="H573">
        <v>16</v>
      </c>
      <c r="I573" t="s">
        <v>158</v>
      </c>
      <c r="J573" s="56"/>
    </row>
    <row r="574" spans="1:10" x14ac:dyDescent="0.25">
      <c r="A574" t="s">
        <v>638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6">
        <v>43313</v>
      </c>
      <c r="H574">
        <v>94</v>
      </c>
      <c r="I574" t="s">
        <v>158</v>
      </c>
      <c r="J574" s="56"/>
    </row>
    <row r="575" spans="1:10" x14ac:dyDescent="0.25">
      <c r="A575" t="s">
        <v>638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6">
        <v>45789</v>
      </c>
      <c r="H575">
        <v>12</v>
      </c>
      <c r="I575" t="s">
        <v>158</v>
      </c>
      <c r="J575" s="56"/>
    </row>
    <row r="576" spans="1:10" x14ac:dyDescent="0.25">
      <c r="A576" t="s">
        <v>638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6">
        <v>46139</v>
      </c>
      <c r="H576">
        <v>1</v>
      </c>
      <c r="I576" t="s">
        <v>158</v>
      </c>
      <c r="J576" s="56"/>
    </row>
    <row r="577" spans="1:10" x14ac:dyDescent="0.25">
      <c r="A577" t="s">
        <v>638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6">
        <v>46065</v>
      </c>
      <c r="H577">
        <v>3</v>
      </c>
      <c r="I577" t="s">
        <v>158</v>
      </c>
      <c r="J577" s="56"/>
    </row>
    <row r="578" spans="1:10" x14ac:dyDescent="0.25">
      <c r="A578" t="s">
        <v>638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6">
        <v>45813</v>
      </c>
      <c r="H578">
        <v>11</v>
      </c>
      <c r="I578" t="s">
        <v>158</v>
      </c>
      <c r="J578" s="56"/>
    </row>
    <row r="579" spans="1:10" x14ac:dyDescent="0.25">
      <c r="A579" t="s">
        <v>638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6">
        <v>46121</v>
      </c>
      <c r="H579">
        <v>1</v>
      </c>
      <c r="I579" t="s">
        <v>158</v>
      </c>
      <c r="J579" s="56"/>
    </row>
    <row r="580" spans="1:10" x14ac:dyDescent="0.25">
      <c r="A580" t="s">
        <v>638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6">
        <v>45112</v>
      </c>
      <c r="H580">
        <v>34</v>
      </c>
      <c r="I580" t="s">
        <v>158</v>
      </c>
      <c r="J580" s="56"/>
    </row>
    <row r="581" spans="1:10" x14ac:dyDescent="0.25">
      <c r="A581" t="s">
        <v>638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6">
        <v>44943</v>
      </c>
      <c r="H581">
        <v>40</v>
      </c>
      <c r="I581" t="s">
        <v>158</v>
      </c>
      <c r="J581" s="56"/>
    </row>
    <row r="582" spans="1:10" x14ac:dyDescent="0.25">
      <c r="A582" t="s">
        <v>638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6">
        <v>45141</v>
      </c>
      <c r="H582">
        <v>34</v>
      </c>
      <c r="I582" t="s">
        <v>158</v>
      </c>
      <c r="J582" s="56"/>
    </row>
    <row r="583" spans="1:10" x14ac:dyDescent="0.25">
      <c r="A583" t="s">
        <v>638</v>
      </c>
      <c r="B583" t="s">
        <v>640</v>
      </c>
      <c r="C583">
        <v>72505926</v>
      </c>
      <c r="D583" t="s">
        <v>7</v>
      </c>
      <c r="E583" t="s">
        <v>501</v>
      </c>
      <c r="F583" t="s">
        <v>575</v>
      </c>
      <c r="G583" s="56">
        <v>46175</v>
      </c>
      <c r="H583">
        <v>0</v>
      </c>
      <c r="I583" t="s">
        <v>158</v>
      </c>
      <c r="J583" s="56"/>
    </row>
    <row r="584" spans="1:10" x14ac:dyDescent="0.25">
      <c r="A584" t="s">
        <v>638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6">
        <v>44685</v>
      </c>
      <c r="H584">
        <v>48</v>
      </c>
      <c r="I584" t="s">
        <v>500</v>
      </c>
      <c r="J584" s="56"/>
    </row>
    <row r="585" spans="1:10" x14ac:dyDescent="0.25">
      <c r="A585" t="s">
        <v>638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6">
        <v>45132</v>
      </c>
      <c r="H585">
        <v>34</v>
      </c>
      <c r="I585" t="s">
        <v>500</v>
      </c>
      <c r="J585" s="56"/>
    </row>
    <row r="586" spans="1:10" x14ac:dyDescent="0.25">
      <c r="A586" t="s">
        <v>638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6">
        <v>44746</v>
      </c>
      <c r="H586">
        <v>46</v>
      </c>
      <c r="I586" t="s">
        <v>500</v>
      </c>
      <c r="J586" s="56"/>
    </row>
    <row r="587" spans="1:10" x14ac:dyDescent="0.25">
      <c r="A587" t="s">
        <v>638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6">
        <v>44886</v>
      </c>
      <c r="H587">
        <v>42</v>
      </c>
      <c r="I587" t="s">
        <v>602</v>
      </c>
      <c r="J587" s="56"/>
    </row>
    <row r="588" spans="1:10" x14ac:dyDescent="0.25">
      <c r="A588" t="s">
        <v>638</v>
      </c>
      <c r="B588" t="s">
        <v>81</v>
      </c>
      <c r="C588">
        <v>72716299</v>
      </c>
      <c r="D588" t="s">
        <v>602</v>
      </c>
      <c r="E588" t="s">
        <v>602</v>
      </c>
      <c r="F588" t="s">
        <v>575</v>
      </c>
      <c r="G588" s="56">
        <v>45511</v>
      </c>
      <c r="H588">
        <v>21</v>
      </c>
      <c r="I588" t="s">
        <v>602</v>
      </c>
      <c r="J588" s="5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195" zoomScale="85" zoomScaleNormal="85" workbookViewId="0">
      <selection activeCell="D207" sqref="D207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79" t="s">
        <v>143</v>
      </c>
      <c r="D203" s="80" t="s">
        <v>3</v>
      </c>
      <c r="E203" s="81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79" t="s">
        <v>143</v>
      </c>
      <c r="D204" s="80" t="s">
        <v>6</v>
      </c>
      <c r="E204" s="81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79" t="s">
        <v>143</v>
      </c>
      <c r="D205" s="80" t="s">
        <v>604</v>
      </c>
      <c r="E205" s="81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79" t="s">
        <v>143</v>
      </c>
      <c r="D206" s="80" t="s">
        <v>604</v>
      </c>
      <c r="E206" s="81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79" t="s">
        <v>143</v>
      </c>
      <c r="D207" s="80" t="s">
        <v>2</v>
      </c>
      <c r="E207" s="81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79" t="s">
        <v>143</v>
      </c>
      <c r="D208" s="82" t="s">
        <v>7</v>
      </c>
      <c r="E208" s="83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5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5" t="s">
        <v>3</v>
      </c>
      <c r="E210" s="9">
        <v>287738</v>
      </c>
      <c r="F210" s="9">
        <v>72000</v>
      </c>
      <c r="G210" s="39" t="s">
        <v>639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5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5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5" t="s">
        <v>2</v>
      </c>
      <c r="E213" s="9">
        <v>537194</v>
      </c>
      <c r="F213" s="9">
        <v>67500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49" t="s">
        <v>208</v>
      </c>
      <c r="C214" s="27" t="s">
        <v>144</v>
      </c>
      <c r="D214" s="76" t="s">
        <v>7</v>
      </c>
      <c r="E214" s="29">
        <v>143766</v>
      </c>
      <c r="F214" s="29">
        <v>12000</v>
      </c>
      <c r="G214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2026-06-04T12:54:27Z</dcterms:modified>
</cp:coreProperties>
</file>